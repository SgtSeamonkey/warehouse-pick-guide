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ler\Desktop\delete\warehouse-pick-guide\reference pics\"/>
    </mc:Choice>
  </mc:AlternateContent>
  <xr:revisionPtr revIDLastSave="0" documentId="13_ncr:1_{8E2374EF-A6FE-438C-9CC9-91410603A65F}" xr6:coauthVersionLast="47" xr6:coauthVersionMax="47" xr10:uidLastSave="{00000000-0000-0000-0000-000000000000}"/>
  <bookViews>
    <workbookView xWindow="-120" yWindow="-120" windowWidth="29040" windowHeight="15720" activeTab="2" xr2:uid="{7617A66A-7C53-44C5-8543-B110FD56F12B}"/>
  </bookViews>
  <sheets>
    <sheet name="Sheet1" sheetId="1" r:id="rId1"/>
    <sheet name="Sheet6" sheetId="6" r:id="rId2"/>
    <sheet name="Rack Guide" sheetId="7" r:id="rId3"/>
    <sheet name="Unique PNs" sheetId="2" r:id="rId4"/>
    <sheet name="Sheet3" sheetId="3" r:id="rId5"/>
    <sheet name="Sheet4" sheetId="4" r:id="rId6"/>
    <sheet name="Sheet5" sheetId="5" r:id="rId7"/>
  </sheets>
  <definedNames>
    <definedName name="_xlnm._FilterDatabase" localSheetId="0" hidden="1">Sheet1!$A$1:$E$446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7" l="1"/>
  <c r="M5" i="7"/>
  <c r="L7" i="7"/>
  <c r="M7" i="7"/>
  <c r="L8" i="7"/>
  <c r="M8" i="7"/>
  <c r="L9" i="7"/>
  <c r="M9" i="7"/>
  <c r="L10" i="7"/>
  <c r="M10" i="7"/>
  <c r="L11" i="7"/>
  <c r="M11" i="7"/>
  <c r="L12" i="7"/>
  <c r="M12" i="7"/>
  <c r="L13" i="7"/>
  <c r="M13" i="7"/>
  <c r="L15" i="7"/>
  <c r="M15" i="7"/>
  <c r="L16" i="7"/>
  <c r="M16" i="7"/>
  <c r="L18" i="7"/>
  <c r="M18" i="7"/>
  <c r="L19" i="7"/>
  <c r="M19" i="7"/>
  <c r="L20" i="7"/>
  <c r="M20" i="7"/>
  <c r="L21" i="7"/>
  <c r="M21" i="7"/>
  <c r="L22" i="7"/>
  <c r="M22" i="7"/>
  <c r="L23" i="7"/>
  <c r="M23" i="7"/>
  <c r="L24" i="7"/>
  <c r="M24" i="7"/>
  <c r="L26" i="7"/>
  <c r="M26" i="7"/>
  <c r="L28" i="7"/>
  <c r="M28" i="7"/>
  <c r="L29" i="7"/>
  <c r="M29" i="7"/>
  <c r="L30" i="7"/>
  <c r="M30" i="7"/>
  <c r="L31" i="7"/>
  <c r="M31" i="7"/>
  <c r="L33" i="7"/>
  <c r="M33" i="7"/>
  <c r="L35" i="7"/>
  <c r="M35" i="7"/>
  <c r="L36" i="7"/>
  <c r="M36" i="7"/>
  <c r="L37" i="7"/>
  <c r="M37" i="7"/>
  <c r="L38" i="7"/>
  <c r="M38" i="7"/>
  <c r="M4" i="7"/>
  <c r="L4" i="7"/>
  <c r="B12" i="7"/>
  <c r="E12" i="7" s="1"/>
  <c r="B11" i="7"/>
  <c r="E11" i="7" s="1"/>
  <c r="B10" i="7"/>
  <c r="E10" i="7" s="1"/>
  <c r="B9" i="7"/>
  <c r="E9" i="7" s="1"/>
  <c r="E36" i="7"/>
  <c r="E37" i="7"/>
  <c r="E38" i="7"/>
  <c r="B32" i="7"/>
  <c r="E32" i="7" s="1"/>
  <c r="B31" i="7"/>
  <c r="E31" i="7" s="1"/>
  <c r="B30" i="7"/>
  <c r="E30" i="7" s="1"/>
  <c r="B29" i="7"/>
  <c r="E29" i="7" s="1"/>
  <c r="B28" i="7"/>
  <c r="E28" i="7" s="1"/>
  <c r="B20" i="7"/>
  <c r="B18" i="7"/>
  <c r="E18" i="7" s="1"/>
  <c r="B17" i="7"/>
  <c r="E17" i="7" s="1"/>
  <c r="B15" i="7"/>
  <c r="E15" i="7" s="1"/>
  <c r="B16" i="7"/>
  <c r="E16" i="7" s="1"/>
  <c r="B13" i="7"/>
  <c r="E13" i="7" s="1"/>
  <c r="B6" i="7"/>
  <c r="E6" i="7" s="1"/>
  <c r="B5" i="7"/>
  <c r="E5" i="7" s="1"/>
  <c r="B4" i="7"/>
  <c r="E4" i="7" s="1"/>
  <c r="B3" i="7"/>
  <c r="E3" i="7" s="1"/>
  <c r="B2" i="7"/>
  <c r="E2" i="7" s="1"/>
  <c r="B1" i="7"/>
  <c r="E1" i="7" s="1"/>
  <c r="B7" i="7"/>
  <c r="E7" i="7" s="1"/>
  <c r="B8" i="7"/>
  <c r="E8" i="7" s="1"/>
  <c r="B14" i="7"/>
  <c r="E14" i="7" s="1"/>
  <c r="B19" i="7"/>
  <c r="E19" i="7" s="1"/>
  <c r="B21" i="7"/>
  <c r="E21" i="7" s="1"/>
  <c r="B22" i="7"/>
  <c r="B23" i="7"/>
  <c r="E23" i="7" s="1"/>
  <c r="B24" i="7"/>
  <c r="E24" i="7" s="1"/>
  <c r="B25" i="7"/>
  <c r="E25" i="7" s="1"/>
  <c r="B26" i="7"/>
  <c r="E26" i="7" s="1"/>
  <c r="B27" i="7"/>
  <c r="E27" i="7" s="1"/>
  <c r="B33" i="7"/>
  <c r="E33" i="7" s="1"/>
  <c r="B34" i="7"/>
  <c r="E34" i="7" s="1"/>
  <c r="B35" i="7"/>
  <c r="E35" i="7" s="1"/>
  <c r="B39" i="7"/>
  <c r="E39" i="7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2" i="2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5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2" i="2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4" i="4"/>
  <c r="E22" i="7" l="1"/>
  <c r="E20" i="7"/>
</calcChain>
</file>

<file path=xl/sharedStrings.xml><?xml version="1.0" encoding="utf-8"?>
<sst xmlns="http://schemas.openxmlformats.org/spreadsheetml/2006/main" count="38649" uniqueCount="8717">
  <si>
    <t>PartNumber</t>
  </si>
  <si>
    <t>partdesc</t>
  </si>
  <si>
    <t>AttributeID</t>
  </si>
  <si>
    <t>AttributeDesc</t>
  </si>
  <si>
    <t>Value</t>
  </si>
  <si>
    <t>N1WB E23942 BF1G1E</t>
  </si>
  <si>
    <t>P703 DOOR FRT DBL RH</t>
  </si>
  <si>
    <t>VERTICAL INSERT</t>
  </si>
  <si>
    <t>ASYE23942FEBONY</t>
  </si>
  <si>
    <t>TOP ROLL</t>
  </si>
  <si>
    <t>ASY23900ASE</t>
  </si>
  <si>
    <t>APPLIQUE</t>
  </si>
  <si>
    <t>PCPE237W28APIA91</t>
  </si>
  <si>
    <t>AMBIENT LIGHT</t>
  </si>
  <si>
    <t>PCP14E072AD00P703</t>
  </si>
  <si>
    <t>IP EXTENSIION</t>
  </si>
  <si>
    <t>PCPE23942APIA20JA6</t>
  </si>
  <si>
    <t>LOCK SWITCH</t>
  </si>
  <si>
    <t>PCP14017E</t>
  </si>
  <si>
    <t>ARM REST</t>
  </si>
  <si>
    <t>PCPE23942AR02</t>
  </si>
  <si>
    <t>N1WB E23942 BF3LU4</t>
  </si>
  <si>
    <t>ASYE23864APIA9103</t>
  </si>
  <si>
    <t>PCPE23942AR03</t>
  </si>
  <si>
    <t>N1WB E23942 BH1G1E</t>
  </si>
  <si>
    <t>PCPE23942IN01.H</t>
  </si>
  <si>
    <t>ASYE23900ASE</t>
  </si>
  <si>
    <t>N1WB14E072A</t>
  </si>
  <si>
    <t>PCPE23942AR02.H</t>
  </si>
  <si>
    <t>N1WB E23942 BH3LU4</t>
  </si>
  <si>
    <t>PCPE23942IN02.H</t>
  </si>
  <si>
    <t>PCPE23942AR03.H</t>
  </si>
  <si>
    <t>N1WB E23942 BJ1G1C</t>
  </si>
  <si>
    <t>ASYE23900ABP</t>
  </si>
  <si>
    <t>PCPE23942AR05.H</t>
  </si>
  <si>
    <t>N1WB E23942 BJ1G1E</t>
  </si>
  <si>
    <t>N1WB E23942 BJ3LU4</t>
  </si>
  <si>
    <t>N1WB E23942 BK1G1C</t>
  </si>
  <si>
    <t>PCPE237W28APIA71</t>
  </si>
  <si>
    <t>N1WB E23942 BK1G1E</t>
  </si>
  <si>
    <t>N1WB E23942 BK3LU4</t>
  </si>
  <si>
    <t>N1WB E23942 BL1G1C</t>
  </si>
  <si>
    <t>MLDE23942APIA32</t>
  </si>
  <si>
    <t>N1WB E23942 BL1G1E</t>
  </si>
  <si>
    <t>N1WB E23942 BL3LU4</t>
  </si>
  <si>
    <t>N1WB E23942 HE3ZHE</t>
  </si>
  <si>
    <t>ASYE23900AMIC</t>
  </si>
  <si>
    <t>PCPE23942APIA30</t>
  </si>
  <si>
    <t>PCPE23942AR01</t>
  </si>
  <si>
    <t>N1WB E23942 HF3ZHE</t>
  </si>
  <si>
    <t>PCPE23942AR01.H</t>
  </si>
  <si>
    <t>N1WB E23942 SE1G1E</t>
  </si>
  <si>
    <t>ASYE23900HARDTOP</t>
  </si>
  <si>
    <t>N1WB E23942 SE3LU4</t>
  </si>
  <si>
    <t>N1WB E23942 SF1G1C</t>
  </si>
  <si>
    <t>N1WB E23942 SF1G1E</t>
  </si>
  <si>
    <t>N1WB E23942 SF3LU4</t>
  </si>
  <si>
    <t>N1WB E23942 TF1G1C</t>
  </si>
  <si>
    <t>ASYE23864APIA9102</t>
  </si>
  <si>
    <t>ASYE23900ATS</t>
  </si>
  <si>
    <t>PCPE237W28APIA70</t>
  </si>
  <si>
    <t>PCP14E072EC00P703</t>
  </si>
  <si>
    <t>PCPE23942APIA201MY</t>
  </si>
  <si>
    <t>PCPE23942AR04</t>
  </si>
  <si>
    <t>N1WB E23942 TH1G1C</t>
  </si>
  <si>
    <t>PCPE23942IN03.H</t>
  </si>
  <si>
    <t>N1WB14E072E</t>
  </si>
  <si>
    <t>PCPE23942AR04.H</t>
  </si>
  <si>
    <t>N1WB E23942 TJ1G1C</t>
  </si>
  <si>
    <t>N1WB E23942 TK1G1C</t>
  </si>
  <si>
    <t>N1WB E23942 TL1G1C</t>
  </si>
  <si>
    <t>N1WB E23943 KF1G1E</t>
  </si>
  <si>
    <t>P703 DOOR FRT DBL LH</t>
  </si>
  <si>
    <t>ASYE23865APIA91</t>
  </si>
  <si>
    <t>ASYE23901ASE</t>
  </si>
  <si>
    <t>PCPE237W29APIA91</t>
  </si>
  <si>
    <t>PCP14E073AD00P703</t>
  </si>
  <si>
    <t>PCPE23943APIA20JA6</t>
  </si>
  <si>
    <t>PCP14776C</t>
  </si>
  <si>
    <t>PCPE23943AR02</t>
  </si>
  <si>
    <t>N1WB E23943 KF3LU4</t>
  </si>
  <si>
    <t>ASYE23865APIA9103</t>
  </si>
  <si>
    <t>PCPE23943AR03</t>
  </si>
  <si>
    <t>N1WB E23943 KH1G1E</t>
  </si>
  <si>
    <t>N1WB E23943 KH3LU4</t>
  </si>
  <si>
    <t>N1WB E23943 KJ1G1E</t>
  </si>
  <si>
    <t>PCPE23943IN01.H</t>
  </si>
  <si>
    <t>N1WB14E073A</t>
  </si>
  <si>
    <t>PCPE23943AR02.H</t>
  </si>
  <si>
    <t>N1WB E23943 KJ3LU4</t>
  </si>
  <si>
    <t>PCPE23943IN02.H</t>
  </si>
  <si>
    <t>PCPE23943AR03.H</t>
  </si>
  <si>
    <t>N1WB E23943 KK1G1C</t>
  </si>
  <si>
    <t>ASYE23901ABP</t>
  </si>
  <si>
    <t>PCPE23943AR05.H</t>
  </si>
  <si>
    <t>N1WB E23943 KK1G1E</t>
  </si>
  <si>
    <t>N1WB E23943 KK3LU4</t>
  </si>
  <si>
    <t>N1WB E23943 KL1G1C</t>
  </si>
  <si>
    <t>PCPE237W29APIA71</t>
  </si>
  <si>
    <t>N1WB E23943 KL1G1E</t>
  </si>
  <si>
    <t>N1WB E23943 KL3LU4</t>
  </si>
  <si>
    <t>N1WB E23943 KM1G1C</t>
  </si>
  <si>
    <t>MLDE23943APIA50</t>
  </si>
  <si>
    <t>N1WB E23943 KM1G1E</t>
  </si>
  <si>
    <t>N1WB E23943 KM3LU4</t>
  </si>
  <si>
    <t>N1WB E23943 UE3ZHE</t>
  </si>
  <si>
    <t>ASYE23901HARDTOP</t>
  </si>
  <si>
    <t>PCPE23943APIA30</t>
  </si>
  <si>
    <t>PCP14017F</t>
  </si>
  <si>
    <t>PCPE23943AR01</t>
  </si>
  <si>
    <t>N1WB E23943 UF3ZHE</t>
  </si>
  <si>
    <t>ASYE23901AMIC</t>
  </si>
  <si>
    <t>PCPE23943AR01.H</t>
  </si>
  <si>
    <t>N1WB E23943 VE1G1E</t>
  </si>
  <si>
    <t>N1WB E23943 VE3LU4</t>
  </si>
  <si>
    <t>N1WB E23943 VF1G1C</t>
  </si>
  <si>
    <t>N1WB E23943 VF1G1E</t>
  </si>
  <si>
    <t>N1WB E23943 VF3LU4</t>
  </si>
  <si>
    <t>N1WB E23943 YF1G1C</t>
  </si>
  <si>
    <t>ASYE23865APIA9102</t>
  </si>
  <si>
    <t>ASYE23901ATS</t>
  </si>
  <si>
    <t>PCPE237W29APIA70</t>
  </si>
  <si>
    <t>PCP14E073EC00P703</t>
  </si>
  <si>
    <t>PCPE23943APIA201MY</t>
  </si>
  <si>
    <t>PCPE23943AR04</t>
  </si>
  <si>
    <t>N1WB E23943 YH1G1C</t>
  </si>
  <si>
    <t>N1WB E23943 YJ1G1C</t>
  </si>
  <si>
    <t>PCPE23943AR04.H</t>
  </si>
  <si>
    <t>PCPE23943IN03.H</t>
  </si>
  <si>
    <t>N1WB14E073E</t>
  </si>
  <si>
    <t>N1WB E23943 YK1G1C</t>
  </si>
  <si>
    <t>N1WB E23943 YL1G1C</t>
  </si>
  <si>
    <t>N1WB E23943 YM1G1C</t>
  </si>
  <si>
    <t>N1WB E27406 CJ3ZHE</t>
  </si>
  <si>
    <t>P703 DOOR REAR DBL RH</t>
  </si>
  <si>
    <t>PCPE27406AR01</t>
  </si>
  <si>
    <t>N1WB E27406 CK3ZHE</t>
  </si>
  <si>
    <t>N1WB E27406 CL3ZHE</t>
  </si>
  <si>
    <t>PCPE27406AR01.H</t>
  </si>
  <si>
    <t>N1WB E27406 RJ1G1E</t>
  </si>
  <si>
    <t>ASYE27406BEBONY</t>
  </si>
  <si>
    <t>PCPE27406AR02</t>
  </si>
  <si>
    <t>N1WB E27406 RJ3LU4</t>
  </si>
  <si>
    <t>ASYE27406SANDSTONE</t>
  </si>
  <si>
    <t>PCPE27406AR03</t>
  </si>
  <si>
    <t>N1WB E27406 RK1G1E</t>
  </si>
  <si>
    <t>N1WB E27406 RK3LU4</t>
  </si>
  <si>
    <t>N1WB E27406 RL1G1C</t>
  </si>
  <si>
    <t>PCPE27406IN01.H</t>
  </si>
  <si>
    <t>PCPE27406AR05.H</t>
  </si>
  <si>
    <t>N1WB E27406 RL1G1E</t>
  </si>
  <si>
    <t>PCPE27406AR02.H</t>
  </si>
  <si>
    <t>N1WB E27406 RL3LU4</t>
  </si>
  <si>
    <t>PCPE27406IN02.H</t>
  </si>
  <si>
    <t>PCPE27406AR03.H</t>
  </si>
  <si>
    <t>N1WB E27406 RN1G1C</t>
  </si>
  <si>
    <t>N1WB E27406 RN1G1E</t>
  </si>
  <si>
    <t>N1WB E27406 RN3LU4</t>
  </si>
  <si>
    <t>N1WB E27406 RP1G1C</t>
  </si>
  <si>
    <t>N1WB E27406 RP1G1E</t>
  </si>
  <si>
    <t>N1WB E27406 RP3LU4</t>
  </si>
  <si>
    <t>N1WB E27406 SJ1G1C</t>
  </si>
  <si>
    <t>ASYE27406SUPERMATTE</t>
  </si>
  <si>
    <t>PCPE27406AR04</t>
  </si>
  <si>
    <t>N1WB E27406 SK1G1C</t>
  </si>
  <si>
    <t>N1WB E27406 SL1G1C</t>
  </si>
  <si>
    <t>PCPE27406IN03.H</t>
  </si>
  <si>
    <t>PCPE27406AR04.H</t>
  </si>
  <si>
    <t>N1WB E27406 UJ1G1E</t>
  </si>
  <si>
    <t>N1WB E27406 UJ3LU4</t>
  </si>
  <si>
    <t>N1WB E27406 UK1G1E</t>
  </si>
  <si>
    <t>N1WB E27406 UK3LU4</t>
  </si>
  <si>
    <t>N1WB E27406 UL1G1C</t>
  </si>
  <si>
    <t>N1WB E27406 UL1G1E</t>
  </si>
  <si>
    <t>N1WB E27406 UL3LU4</t>
  </si>
  <si>
    <t>N1WB E27407 CJ3ZHE</t>
  </si>
  <si>
    <t>P703 DOOR REAR DBL LH</t>
  </si>
  <si>
    <t>PCPE27407AR01</t>
  </si>
  <si>
    <t>N1WB E27407 CK3ZHE</t>
  </si>
  <si>
    <t>N1WB E27407 CL3ZHE</t>
  </si>
  <si>
    <t>PCPE27407AR01.H</t>
  </si>
  <si>
    <t>N1WB E27407 RJ1G1E</t>
  </si>
  <si>
    <t>ASYE27407BEBONY</t>
  </si>
  <si>
    <t>PCPE27407AR02</t>
  </si>
  <si>
    <t>N1WB E27407 RJ3LU4</t>
  </si>
  <si>
    <t>ASYE7407SANDSTONE</t>
  </si>
  <si>
    <t>PCPE27407AR03</t>
  </si>
  <si>
    <t>N1WB E27407 RK1G1E</t>
  </si>
  <si>
    <t>N1WB E27407 RK3LU4</t>
  </si>
  <si>
    <t>ASYE27407SANDSTONE</t>
  </si>
  <si>
    <t>N1WB E27407 RL1G1C</t>
  </si>
  <si>
    <t>PCPE27407IN01.H</t>
  </si>
  <si>
    <t>PCPE27407AR05.H</t>
  </si>
  <si>
    <t>N1WB E27407 RL1G1E</t>
  </si>
  <si>
    <t>PCPE27407AR02.H</t>
  </si>
  <si>
    <t>N1WB E27407 RL3LU4</t>
  </si>
  <si>
    <t>PCPE27407IN02.H</t>
  </si>
  <si>
    <t>PCPE27407AR03.H</t>
  </si>
  <si>
    <t>N1WB E27407 RN1G1C</t>
  </si>
  <si>
    <t>N1WB E27407 RN1G1E</t>
  </si>
  <si>
    <t>N1WB E27407 RN3LU4</t>
  </si>
  <si>
    <t>N1WB E27407 RP1G1C</t>
  </si>
  <si>
    <t>N1WB E27407 RP1G1E</t>
  </si>
  <si>
    <t>N1WB E27407 RP3LU4</t>
  </si>
  <si>
    <t>N1WB E27407 SJ1G1C</t>
  </si>
  <si>
    <t>ASYE27407SUPERMATTE</t>
  </si>
  <si>
    <t>PCPE27407AR04</t>
  </si>
  <si>
    <t>N1WB E27407 SK1G1C</t>
  </si>
  <si>
    <t>N1WB E27407 SL1G1C</t>
  </si>
  <si>
    <t>PCPE27407IN03.H</t>
  </si>
  <si>
    <t>PCPE27407AR04.H</t>
  </si>
  <si>
    <t>N1WB E27407 UJ1G1E</t>
  </si>
  <si>
    <t>N1WB E27407 UJ3LU4</t>
  </si>
  <si>
    <t>N1WB E27407 UK1G1E</t>
  </si>
  <si>
    <t>N1WB E27407 UK3LU4</t>
  </si>
  <si>
    <t>N1WB E27407 UL1G1C</t>
  </si>
  <si>
    <t>N1WB E27407 UL1G1E</t>
  </si>
  <si>
    <t>N1WB E27407 UL3LU4</t>
  </si>
  <si>
    <t>S1WJ E23942 AA1G1C</t>
  </si>
  <si>
    <t>PCPE23942AA1HD5</t>
  </si>
  <si>
    <t>S1WJ E23943 AA1G1C</t>
  </si>
  <si>
    <t>PCPE23943AA1HD5</t>
  </si>
  <si>
    <t>T1WB E23942 BB1HO8</t>
  </si>
  <si>
    <t>PCPE23942AR07.H</t>
  </si>
  <si>
    <t>T1WB E23942 BB31Y5</t>
  </si>
  <si>
    <t>PCPE23942AR06.H</t>
  </si>
  <si>
    <t>T1WB E23942 DB1HHY</t>
  </si>
  <si>
    <t>PCPE23942AR08.H</t>
  </si>
  <si>
    <t>T1WB E23943 BB1HO8</t>
  </si>
  <si>
    <t>PCPE23943AR07.H</t>
  </si>
  <si>
    <t>T1WB E23943 BB31Y5</t>
  </si>
  <si>
    <t>PCPE23943AR06.H</t>
  </si>
  <si>
    <t>T1WB E23943 DB1HHY</t>
  </si>
  <si>
    <t>PCPE23943AR08.H</t>
  </si>
  <si>
    <t>T1WB E27406 BB1HO8</t>
  </si>
  <si>
    <t>PCPE27406AR07.H</t>
  </si>
  <si>
    <t>T1WB E27406 BB31Y5</t>
  </si>
  <si>
    <t>PCPE27406AR06.H</t>
  </si>
  <si>
    <t>T1WB E27406 DB1HHY</t>
  </si>
  <si>
    <t>PCPE27406AR08.H</t>
  </si>
  <si>
    <t>T1WB E27407 BB1HO8</t>
  </si>
  <si>
    <t>PCPE27407AR07.H</t>
  </si>
  <si>
    <t>T1WB E27407 BB31Y5</t>
  </si>
  <si>
    <t>PCPE27407AR06.H</t>
  </si>
  <si>
    <t>T1WB E27407 DB1HHY</t>
  </si>
  <si>
    <t>PCPE27407AR08.H</t>
  </si>
  <si>
    <t>Production Schedule - Weekly w/Days On Hand - FDDAT</t>
  </si>
  <si>
    <r>
      <rPr>
        <sz val="10"/>
        <color theme="1"/>
        <rFont val="Arial"/>
        <family val="2"/>
      </rPr>
      <t>Mar 6, 2026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Arial"/>
        <family val="2"/>
      </rPr>
      <t>6:02:44 AM</t>
    </r>
  </si>
  <si>
    <t>Prod Dept</t>
  </si>
  <si>
    <t>Prod Resc</t>
  </si>
  <si>
    <t>Part Number</t>
  </si>
  <si>
    <t>Part Description 1</t>
  </si>
  <si>
    <t>Major Group</t>
  </si>
  <si>
    <t>Minor Group</t>
  </si>
  <si>
    <t>Std Rate</t>
  </si>
  <si>
    <t>Qty On Hand</t>
  </si>
  <si>
    <t>Past Entries</t>
  </si>
  <si>
    <t>DFTAS</t>
  </si>
  <si>
    <t>70301</t>
  </si>
  <si>
    <t xml:space="preserve">N1WB E03512 DE31NB  </t>
  </si>
  <si>
    <t xml:space="preserve">P703 A PLR UPR NONBRANDED RH  </t>
  </si>
  <si>
    <t>703</t>
  </si>
  <si>
    <t>PLA</t>
  </si>
  <si>
    <t xml:space="preserve">N1WB E03512 EE31NB  </t>
  </si>
  <si>
    <t xml:space="preserve">P703 A PILLAR UPR BRANDED RH  </t>
  </si>
  <si>
    <t xml:space="preserve">N1WB E03512 EE3ZHE  </t>
  </si>
  <si>
    <t xml:space="preserve">N1WB E03512 EEW-01  </t>
  </si>
  <si>
    <t xml:space="preserve">N1WB E03513 DG31NB  </t>
  </si>
  <si>
    <t xml:space="preserve">P703 A PLR UPR NONBRANDED LH  </t>
  </si>
  <si>
    <t xml:space="preserve">N1WB E03513 DH31NB  </t>
  </si>
  <si>
    <t xml:space="preserve">N1WB E03513 EG31NB  </t>
  </si>
  <si>
    <t xml:space="preserve">P703 A PILLAR UPR BRANDED LH  </t>
  </si>
  <si>
    <t xml:space="preserve">N1WB E03513 EG3ZHE  </t>
  </si>
  <si>
    <t xml:space="preserve">N1WB E03513 EH31NB  </t>
  </si>
  <si>
    <t xml:space="preserve">N1WB E03513 EH3ZHE  </t>
  </si>
  <si>
    <t xml:space="preserve">N1WB E03513 EHW-01  </t>
  </si>
  <si>
    <t>70302</t>
  </si>
  <si>
    <t xml:space="preserve">N1WB E13201 DA3ZHE  </t>
  </si>
  <si>
    <t xml:space="preserve">P703 PLT ASY FRT DR SCF       </t>
  </si>
  <si>
    <t xml:space="preserve">N1WB E243A53 ED3ZHE </t>
  </si>
  <si>
    <t xml:space="preserve">P703 PNL ASY CTR BDY PLR LH   </t>
  </si>
  <si>
    <t xml:space="preserve">N1WB E31007 EB3ZHE  </t>
  </si>
  <si>
    <t xml:space="preserve">P703 PNL BDY SD RR CNR TR     </t>
  </si>
  <si>
    <t>70303</t>
  </si>
  <si>
    <t xml:space="preserve">N1WB 17D568 EF3JA6  </t>
  </si>
  <si>
    <t xml:space="preserve">P703 RAIN SENSOR COVER        </t>
  </si>
  <si>
    <t xml:space="preserve">N1WB 17D568 EFW-01  </t>
  </si>
  <si>
    <t>70304</t>
  </si>
  <si>
    <t xml:space="preserve">ASYE025B85B         </t>
  </si>
  <si>
    <t xml:space="preserve">P703 TWTR CVR BRANDED ASSY LH </t>
  </si>
  <si>
    <t xml:space="preserve">ASYE025B85B1NB      </t>
  </si>
  <si>
    <t>70306</t>
  </si>
  <si>
    <t xml:space="preserve">N1WB E41018 CD      </t>
  </si>
  <si>
    <t xml:space="preserve">P703 TAILGATE ASSY            </t>
  </si>
  <si>
    <t xml:space="preserve">R1WB E41018 CA      </t>
  </si>
  <si>
    <t>70308</t>
  </si>
  <si>
    <t xml:space="preserve">KTN1WB 16L559 DB    </t>
  </si>
  <si>
    <t xml:space="preserve">P703 REAR SPLA SHIELDS        </t>
  </si>
  <si>
    <t xml:space="preserve">KTN1WB 16L559 FB    </t>
  </si>
  <si>
    <t>70309</t>
  </si>
  <si>
    <t xml:space="preserve">N1WB 17C790 GA      </t>
  </si>
  <si>
    <t xml:space="preserve">P703 REDBACK SUPT BRKT RH     </t>
  </si>
  <si>
    <t xml:space="preserve">N1WB 17D698 AD3ZHE  </t>
  </si>
  <si>
    <t>P703 CVR ASY RV O/S MIR MTG HL</t>
  </si>
  <si>
    <t>70310</t>
  </si>
  <si>
    <t xml:space="preserve">N1WB 17C791 GA      </t>
  </si>
  <si>
    <t xml:space="preserve">P703 REDBACK SUPT BRKT LH     </t>
  </si>
  <si>
    <t xml:space="preserve">N1WB 17D699 AD3ZHE  </t>
  </si>
  <si>
    <t>70313</t>
  </si>
  <si>
    <t xml:space="preserve">ASYE23901ABP        </t>
  </si>
  <si>
    <t xml:space="preserve">P703 BLACK PACK VERSION       </t>
  </si>
  <si>
    <t xml:space="preserve">ASYE23901ADSG       </t>
  </si>
  <si>
    <t>P703 Dark Space Grey TopRollLH</t>
  </si>
  <si>
    <t xml:space="preserve">ASYE23901AMIC       </t>
  </si>
  <si>
    <t xml:space="preserve">P703 Hard Top Roll W REINF    </t>
  </si>
  <si>
    <t xml:space="preserve">ASYE23901ASE        </t>
  </si>
  <si>
    <t xml:space="preserve">P703 Soho Ebony W/ Urban Gray </t>
  </si>
  <si>
    <t xml:space="preserve">ASYE23901ATS        </t>
  </si>
  <si>
    <t xml:space="preserve">P703 Terra Suede Ebony W/ BLK </t>
  </si>
  <si>
    <t>70314</t>
  </si>
  <si>
    <t xml:space="preserve">N1WB 14A563 KD3ZHE  </t>
  </si>
  <si>
    <t>P703 HSG ASY-WDO REG FRT RH SW</t>
  </si>
  <si>
    <t>70315</t>
  </si>
  <si>
    <t xml:space="preserve">N1WB 14A567 BE3ZHE  </t>
  </si>
  <si>
    <t xml:space="preserve">P703 HSG ASY-WDO REG RH SW RR </t>
  </si>
  <si>
    <t>70325</t>
  </si>
  <si>
    <t xml:space="preserve">N1WB E13200 DA3ZHE  </t>
  </si>
  <si>
    <t xml:space="preserve">N1WB E243A52 ED3ZHE </t>
  </si>
  <si>
    <t xml:space="preserve">P703 PNL ASY CTR BDY PLR RH   </t>
  </si>
  <si>
    <t xml:space="preserve">N1WB E31006 EB3ZHE  </t>
  </si>
  <si>
    <t>70326</t>
  </si>
  <si>
    <t xml:space="preserve">N1WB E291A35 MAE    </t>
  </si>
  <si>
    <t xml:space="preserve">P703 BOX TOPS LH              </t>
  </si>
  <si>
    <t xml:space="preserve">R1WB E291A34 MAA    </t>
  </si>
  <si>
    <t xml:space="preserve">P703 BOX TOP RH               </t>
  </si>
  <si>
    <t xml:space="preserve">R1WB E291A35 MAA    </t>
  </si>
  <si>
    <t>70331</t>
  </si>
  <si>
    <t xml:space="preserve">N1WB E31002 CD3ZHE  </t>
  </si>
  <si>
    <t xml:space="preserve">P703 PNL ASY QTR TR UPR       </t>
  </si>
  <si>
    <t>70332</t>
  </si>
  <si>
    <t xml:space="preserve">ASYE025B84B         </t>
  </si>
  <si>
    <t xml:space="preserve">P703 TWTR CVR BRANDED ASSY RH </t>
  </si>
  <si>
    <t xml:space="preserve">ASYE025B84B1NB      </t>
  </si>
  <si>
    <t>70333</t>
  </si>
  <si>
    <t xml:space="preserve">N1WB 14A564 SD3ZHE  </t>
  </si>
  <si>
    <t>P703 HSG ASY-WDO REG FRT LH SW</t>
  </si>
  <si>
    <t xml:space="preserve">N1WB 14A564 VD3ZHE  </t>
  </si>
  <si>
    <t>70334</t>
  </si>
  <si>
    <t xml:space="preserve">N1WB 14A568 BE3ZHE  </t>
  </si>
  <si>
    <t xml:space="preserve">P703 HSG ASY-WDO REG LH SW RR </t>
  </si>
  <si>
    <t>70335</t>
  </si>
  <si>
    <t xml:space="preserve">ASYE23900ABP        </t>
  </si>
  <si>
    <t xml:space="preserve">P703 BLACK PACK VERSION.      </t>
  </si>
  <si>
    <t xml:space="preserve">ASYE23900ADSG       </t>
  </si>
  <si>
    <t xml:space="preserve">P703 Dark Space Grey Top Roll </t>
  </si>
  <si>
    <t xml:space="preserve">ASYE23900AMIC       </t>
  </si>
  <si>
    <t xml:space="preserve">ASYE23900ASE        </t>
  </si>
  <si>
    <t xml:space="preserve">ASYE23900ATS        </t>
  </si>
  <si>
    <t>70338</t>
  </si>
  <si>
    <t xml:space="preserve">KTN1WB 16L558 DB    </t>
  </si>
  <si>
    <t xml:space="preserve">KTN1WB 16L558 FB    </t>
  </si>
  <si>
    <t>AGS01</t>
  </si>
  <si>
    <t xml:space="preserve">P2DB 16E166 AB      </t>
  </si>
  <si>
    <t xml:space="preserve">U725 UPPER AGS NON-CAPABLE A  </t>
  </si>
  <si>
    <t>BRN</t>
  </si>
  <si>
    <t xml:space="preserve">SB3V 16E166 ZB      </t>
  </si>
  <si>
    <t xml:space="preserve">U725 FRONT WARTHOG-AGS        </t>
  </si>
  <si>
    <t xml:space="preserve">T2DJ 16E166 AA      </t>
  </si>
  <si>
    <t xml:space="preserve">U725 AGS 60TH ANNIVERSARY     </t>
  </si>
  <si>
    <t xml:space="preserve">V2DB 16E166 AA      </t>
  </si>
  <si>
    <t xml:space="preserve">U725 UPPER AGS WILDSIDE       </t>
  </si>
  <si>
    <t>AGS02</t>
  </si>
  <si>
    <t xml:space="preserve">P2DB 16E166 BB      </t>
  </si>
  <si>
    <t xml:space="preserve">U725 UPPER AGS CAPABLE-B      </t>
  </si>
  <si>
    <t>BP001</t>
  </si>
  <si>
    <t xml:space="preserve">M2DB 17E810 BA5YZ9  </t>
  </si>
  <si>
    <t xml:space="preserve">U725 CVR FRT BMPR OPG RH      </t>
  </si>
  <si>
    <t xml:space="preserve">M2DB 17E810 GC5YZ9  </t>
  </si>
  <si>
    <t xml:space="preserve">U725 BUMPERTTE MODULAR        </t>
  </si>
  <si>
    <t>BP002</t>
  </si>
  <si>
    <t xml:space="preserve">M2DB 17E811 BA5YZ9  </t>
  </si>
  <si>
    <t xml:space="preserve">U725 CVR FRT BMPR OPG LH      </t>
  </si>
  <si>
    <t xml:space="preserve">M2DB 17E811 GC5YZ9  </t>
  </si>
  <si>
    <t xml:space="preserve">U725 BUMPERETTE MODULAR       </t>
  </si>
  <si>
    <t>BP003</t>
  </si>
  <si>
    <t xml:space="preserve">M2DB 17E810 CB5YZ9  </t>
  </si>
  <si>
    <t xml:space="preserve">U725 CVR FRT BMPR W/BEZEL RH  </t>
  </si>
  <si>
    <t>BP004</t>
  </si>
  <si>
    <t xml:space="preserve">M2DB 17E811 CA5YZ9  </t>
  </si>
  <si>
    <t xml:space="preserve">U725 CVR FRT BMPR W/BEZEL LH  </t>
  </si>
  <si>
    <t xml:space="preserve">M2DB 17E811 CB5YZ9  </t>
  </si>
  <si>
    <t>DT001</t>
  </si>
  <si>
    <t xml:space="preserve">PC68451020C00U      </t>
  </si>
  <si>
    <t xml:space="preserve">DT CENTER SUPPORT BRACKET     </t>
  </si>
  <si>
    <t xml:space="preserve">DT </t>
  </si>
  <si>
    <t>DT002</t>
  </si>
  <si>
    <t xml:space="preserve">68566341AB          </t>
  </si>
  <si>
    <t xml:space="preserve">DT MCA CENTER BRACKET         </t>
  </si>
  <si>
    <t xml:space="preserve">MEXICO68566341AB    </t>
  </si>
  <si>
    <t xml:space="preserve">MLD56030001AB       </t>
  </si>
  <si>
    <t xml:space="preserve">DT MCA CENTER BRACKET SERVICE </t>
  </si>
  <si>
    <t>G002L</t>
  </si>
  <si>
    <t xml:space="preserve">85824846            </t>
  </si>
  <si>
    <t xml:space="preserve">BT1CC A-PILLAR UP LEVEL LH    </t>
  </si>
  <si>
    <t xml:space="preserve">GM </t>
  </si>
  <si>
    <t>G002R</t>
  </si>
  <si>
    <t xml:space="preserve">85755678            </t>
  </si>
  <si>
    <t xml:space="preserve">BT1CC A Pillar Garn RH        </t>
  </si>
  <si>
    <t xml:space="preserve">85824848            </t>
  </si>
  <si>
    <t xml:space="preserve">BT1CC A-PILLAR UP LEVEL RH    </t>
  </si>
  <si>
    <t>G003L</t>
  </si>
  <si>
    <t xml:space="preserve">85132153            </t>
  </si>
  <si>
    <t xml:space="preserve">BT1CC SIDE SILL PLATE LH      </t>
  </si>
  <si>
    <t>G003R</t>
  </si>
  <si>
    <t xml:space="preserve">85132154            </t>
  </si>
  <si>
    <t xml:space="preserve">BT1CC SIDE SILL PLATE RH      </t>
  </si>
  <si>
    <t>G004L</t>
  </si>
  <si>
    <t xml:space="preserve">85058016            </t>
  </si>
  <si>
    <t xml:space="preserve">BT1CC C-PILLAR UPR LH VALUE   </t>
  </si>
  <si>
    <t>G004R</t>
  </si>
  <si>
    <t xml:space="preserve">85058020            </t>
  </si>
  <si>
    <t xml:space="preserve">BT1CC C-PILLAR UPR RH VALUE   </t>
  </si>
  <si>
    <t>G005L</t>
  </si>
  <si>
    <t xml:space="preserve">85701330            </t>
  </si>
  <si>
    <t>BT1CC C-PLR UPR LH RST/ REFINE</t>
  </si>
  <si>
    <t>G005R</t>
  </si>
  <si>
    <t xml:space="preserve">85701332            </t>
  </si>
  <si>
    <t>BT1CC C-PLR UPR RH RST/ REFINE</t>
  </si>
  <si>
    <t>G006L</t>
  </si>
  <si>
    <t xml:space="preserve">86584061            </t>
  </si>
  <si>
    <t xml:space="preserve">BT1CC C-PILLAR LWR LH VALUE   </t>
  </si>
  <si>
    <t>G006R</t>
  </si>
  <si>
    <t xml:space="preserve">86584065            </t>
  </si>
  <si>
    <t xml:space="preserve">BT1CC C-PILLAR LWR RH         </t>
  </si>
  <si>
    <t>G007L</t>
  </si>
  <si>
    <t xml:space="preserve">85132157            </t>
  </si>
  <si>
    <t xml:space="preserve">BT1CC B-PILLAR LOWER LH       </t>
  </si>
  <si>
    <t>G007R</t>
  </si>
  <si>
    <t xml:space="preserve">85132158            </t>
  </si>
  <si>
    <t xml:space="preserve">BT1CC B-PILLAR LOWER RH       </t>
  </si>
  <si>
    <t>G008L</t>
  </si>
  <si>
    <t xml:space="preserve">ASYBEE18154         </t>
  </si>
  <si>
    <t xml:space="preserve">BT1CC FRONT SILL PLATE ASY LH </t>
  </si>
  <si>
    <t xml:space="preserve">ASYBEH03511         </t>
  </si>
  <si>
    <t xml:space="preserve">BT1CC FRONT SILL GARNISH LH   </t>
  </si>
  <si>
    <t>G008R</t>
  </si>
  <si>
    <t xml:space="preserve">ASYBEH03514         </t>
  </si>
  <si>
    <t xml:space="preserve">BT1CC FRT SILL GARNISH RH     </t>
  </si>
  <si>
    <t xml:space="preserve">G011 </t>
  </si>
  <si>
    <t xml:space="preserve">85648120            </t>
  </si>
  <si>
    <t xml:space="preserve">BT1CC REAR WDO UPR VALUE      </t>
  </si>
  <si>
    <t>G012L</t>
  </si>
  <si>
    <t xml:space="preserve">85027342            </t>
  </si>
  <si>
    <t xml:space="preserve">BT1CC HEADLINER CVR LH        </t>
  </si>
  <si>
    <t xml:space="preserve">86808195            </t>
  </si>
  <si>
    <t xml:space="preserve">BT1CC HEADLINER BACK COVER RH </t>
  </si>
  <si>
    <t xml:space="preserve">BT1CC008            </t>
  </si>
  <si>
    <t xml:space="preserve">BT1CC HEADLINER BACK PLATE LH </t>
  </si>
  <si>
    <t>G012R</t>
  </si>
  <si>
    <t xml:space="preserve">BT1CC009            </t>
  </si>
  <si>
    <t xml:space="preserve">BT1CC HEADLINER BACK PLATE RH </t>
  </si>
  <si>
    <t xml:space="preserve">G013 </t>
  </si>
  <si>
    <t xml:space="preserve">ASY85132701         </t>
  </si>
  <si>
    <t xml:space="preserve">BT1CC A PLR GRAB HNDL         </t>
  </si>
  <si>
    <t xml:space="preserve">G014 </t>
  </si>
  <si>
    <t xml:space="preserve">85067811            </t>
  </si>
  <si>
    <t xml:space="preserve">BT1CC STORAGE MAIN BIN W/SUB  </t>
  </si>
  <si>
    <t>G015L</t>
  </si>
  <si>
    <t xml:space="preserve">86584059            </t>
  </si>
  <si>
    <t xml:space="preserve">BT1CC C PLR LWR MIDGATE LH    </t>
  </si>
  <si>
    <t>G015R</t>
  </si>
  <si>
    <t xml:space="preserve">86584063            </t>
  </si>
  <si>
    <t xml:space="preserve">BT1CC C PLR LWR MIDGATE RH    </t>
  </si>
  <si>
    <t>G17RS</t>
  </si>
  <si>
    <t xml:space="preserve">85033340            </t>
  </si>
  <si>
    <t xml:space="preserve">BT1CC FRT SILL PLATE LH VALUE </t>
  </si>
  <si>
    <t xml:space="preserve">85033342            </t>
  </si>
  <si>
    <t xml:space="preserve">BT1CC FRT SILL PLATE RH VALUE </t>
  </si>
  <si>
    <t xml:space="preserve">85033344            </t>
  </si>
  <si>
    <t xml:space="preserve">BT1CC FRONT SILL PLATE LH     </t>
  </si>
  <si>
    <t xml:space="preserve">85033346            </t>
  </si>
  <si>
    <t xml:space="preserve">BT1CC FRONT SILL PLATE RH     </t>
  </si>
  <si>
    <t>G653L</t>
  </si>
  <si>
    <t xml:space="preserve">87868129            </t>
  </si>
  <si>
    <t xml:space="preserve">BT1CC WT 40% DIVIDER W/O SUB  </t>
  </si>
  <si>
    <t>G653R</t>
  </si>
  <si>
    <t xml:space="preserve">86787809            </t>
  </si>
  <si>
    <t xml:space="preserve">BT1CC 60% DIVIDER WT          </t>
  </si>
  <si>
    <t>PA003</t>
  </si>
  <si>
    <t xml:space="preserve">N1WB E31003 CD3ZHE  </t>
  </si>
  <si>
    <t xml:space="preserve">P703 PNL ASY QTR TR UPR LH    </t>
  </si>
  <si>
    <t>PA004</t>
  </si>
  <si>
    <t xml:space="preserve">KB3B 8C291 AC       </t>
  </si>
  <si>
    <t xml:space="preserve">SHLD ASY-RAD UPR SGT          </t>
  </si>
  <si>
    <t>RAN</t>
  </si>
  <si>
    <t xml:space="preserve">KB3B 8C291 AD       </t>
  </si>
  <si>
    <t>PA010</t>
  </si>
  <si>
    <t xml:space="preserve">N1WB 16L558 DB      </t>
  </si>
  <si>
    <t xml:space="preserve">P703 REAR SPLA SHIELD RH      </t>
  </si>
  <si>
    <t xml:space="preserve">N1WB 16L559 DB      </t>
  </si>
  <si>
    <t xml:space="preserve">P703 REAR SPLA SHIELD LH      </t>
  </si>
  <si>
    <t xml:space="preserve">N1WB 16L559 FB      </t>
  </si>
  <si>
    <t xml:space="preserve">P703 REAR SPL SHI RAP LH      </t>
  </si>
  <si>
    <t xml:space="preserve">N1WB 16L560 DC      </t>
  </si>
  <si>
    <t xml:space="preserve">N1WB 16L561 DC      </t>
  </si>
  <si>
    <t xml:space="preserve">N1WB 16L561 FB      </t>
  </si>
  <si>
    <t>PA012</t>
  </si>
  <si>
    <t xml:space="preserve">KB3B 2103513 BD31TB </t>
  </si>
  <si>
    <t xml:space="preserve">MLDG ASY W/SHLD GARN SD LH    </t>
  </si>
  <si>
    <t>PA013</t>
  </si>
  <si>
    <t xml:space="preserve">N1WB E24396 CA31NB  </t>
  </si>
  <si>
    <t xml:space="preserve">P703 B PILLAR RH              </t>
  </si>
  <si>
    <t xml:space="preserve">N1WB E24396 CA3ZHE  </t>
  </si>
  <si>
    <t>PA014</t>
  </si>
  <si>
    <t xml:space="preserve">KB3B 26243C02 AG    </t>
  </si>
  <si>
    <t xml:space="preserve">GID AIR CRTN CTR BDY PLR      </t>
  </si>
  <si>
    <t xml:space="preserve">KB3B 26243C02 AG-01 </t>
  </si>
  <si>
    <t xml:space="preserve">KB3B 26243C03 AG    </t>
  </si>
  <si>
    <t xml:space="preserve">GID AIR CRTN CTR BDY PLR LH   </t>
  </si>
  <si>
    <t xml:space="preserve">KB3B 26243C03 AG-01 </t>
  </si>
  <si>
    <t>PA022</t>
  </si>
  <si>
    <t xml:space="preserve">N1WB E24592 CB3ZHE  </t>
  </si>
  <si>
    <t xml:space="preserve">P703 CVR CTR BDY PLR CTR      </t>
  </si>
  <si>
    <t>PA023</t>
  </si>
  <si>
    <t xml:space="preserve">N1WB E403A86 AH3ZHE </t>
  </si>
  <si>
    <t xml:space="preserve">P703 PNL ASY BK TR UPR        </t>
  </si>
  <si>
    <t xml:space="preserve">N1WB E403A86 HB3ZHE </t>
  </si>
  <si>
    <t>PA026</t>
  </si>
  <si>
    <t>KB3B 2616G040 AE3ZHE</t>
  </si>
  <si>
    <t xml:space="preserve">STWG FRT FLR RR               </t>
  </si>
  <si>
    <t>KB3B 2616G041 AE3ZHE</t>
  </si>
  <si>
    <t xml:space="preserve">STWG FRT FLR RR LH            </t>
  </si>
  <si>
    <t>PA13L</t>
  </si>
  <si>
    <t xml:space="preserve">N1WB E24397 CA31NB  </t>
  </si>
  <si>
    <t xml:space="preserve">P703 B PILLAR LH              </t>
  </si>
  <si>
    <t xml:space="preserve">N1WB E24397 CA3ZHE  </t>
  </si>
  <si>
    <t>DFTMO</t>
  </si>
  <si>
    <t>M1001</t>
  </si>
  <si>
    <t xml:space="preserve">MLDBEU60475         </t>
  </si>
  <si>
    <t xml:space="preserve">BT1CC A-Pillar Base LH -      </t>
  </si>
  <si>
    <t xml:space="preserve">MLDBEU62037         </t>
  </si>
  <si>
    <t xml:space="preserve">BT1CC A-Pillar Base RH -      </t>
  </si>
  <si>
    <t xml:space="preserve">MLDE31002CPIA       </t>
  </si>
  <si>
    <t xml:space="preserve">P703 C PILLAR UPPER RH/DBL    </t>
  </si>
  <si>
    <t xml:space="preserve">MLDE31003CPIA       </t>
  </si>
  <si>
    <t xml:space="preserve">P703 C PILLAR UPPER LH/DBL    </t>
  </si>
  <si>
    <t xml:space="preserve">MLDE403A86A         </t>
  </si>
  <si>
    <t xml:space="preserve">P703 BACK PANEL UPPER         </t>
  </si>
  <si>
    <t xml:space="preserve">MLDE403A86AB        </t>
  </si>
  <si>
    <t>M1002</t>
  </si>
  <si>
    <t xml:space="preserve">1-11194-0100-202    </t>
  </si>
  <si>
    <t xml:space="preserve">BT1CC A-PLR NON-GRAINED LH    </t>
  </si>
  <si>
    <t xml:space="preserve">1-11195-0100-302    </t>
  </si>
  <si>
    <t xml:space="preserve">BT1CC A-PLR NON-GRAINED RH    </t>
  </si>
  <si>
    <t xml:space="preserve">MLD8C291C           </t>
  </si>
  <si>
    <t xml:space="preserve">P703 MODESTY PANEL CENTER     </t>
  </si>
  <si>
    <t xml:space="preserve">MLDE03512DGREY      </t>
  </si>
  <si>
    <t xml:space="preserve">P703 A PLR UPR RH SUMMIT GREY </t>
  </si>
  <si>
    <t xml:space="preserve">MLDE03512DPIA01     </t>
  </si>
  <si>
    <t xml:space="preserve">P703 A PLR UPR RH             </t>
  </si>
  <si>
    <t xml:space="preserve">MLDE03513DGREY      </t>
  </si>
  <si>
    <t xml:space="preserve">P703 A PLR UPR LH SUMMIT GREY </t>
  </si>
  <si>
    <t xml:space="preserve">MLDE03513DPIA01     </t>
  </si>
  <si>
    <t xml:space="preserve">P703 A PLR UPR LH             </t>
  </si>
  <si>
    <t xml:space="preserve">M160 </t>
  </si>
  <si>
    <t xml:space="preserve">ASYBEI35635         </t>
  </si>
  <si>
    <t xml:space="preserve">BT1CC SLIDER ASSY BUTTON LH   </t>
  </si>
  <si>
    <t xml:space="preserve">ASYBEI35638         </t>
  </si>
  <si>
    <t xml:space="preserve">BT1CC SLIDER ASSY BUTTON RH   </t>
  </si>
  <si>
    <t xml:space="preserve">MLD16E166APIA07     </t>
  </si>
  <si>
    <t xml:space="preserve">VANE LINK MAIN                </t>
  </si>
  <si>
    <t xml:space="preserve">MLD16E166APIA11     </t>
  </si>
  <si>
    <t xml:space="preserve">VANE LINK LH SHORT            </t>
  </si>
  <si>
    <t xml:space="preserve">MLD16E166APIA12     </t>
  </si>
  <si>
    <t xml:space="preserve">VANE LINK RH SHORT            </t>
  </si>
  <si>
    <t xml:space="preserve">MLDE025B84A1NB      </t>
  </si>
  <si>
    <t>P703 Tweeter Cover Non-Branded</t>
  </si>
  <si>
    <t xml:space="preserve">MLDE025B84B1NB      </t>
  </si>
  <si>
    <t xml:space="preserve">P703 Tweeter Cover Branded RH </t>
  </si>
  <si>
    <t xml:space="preserve">MLDE025B85A1NB      </t>
  </si>
  <si>
    <t xml:space="preserve">MLDE025B85B1NB      </t>
  </si>
  <si>
    <t xml:space="preserve">P703 Tweeter Cover Branded LH </t>
  </si>
  <si>
    <t xml:space="preserve">MLDE26656APIA02     </t>
  </si>
  <si>
    <t xml:space="preserve">P703 PULL CUP RAMP COVER RH   </t>
  </si>
  <si>
    <t xml:space="preserve">MLDE26657APIA02     </t>
  </si>
  <si>
    <t xml:space="preserve">P703 PULL CUP RAMP COVER LH   </t>
  </si>
  <si>
    <t xml:space="preserve">MLDE27406GPIA05     </t>
  </si>
  <si>
    <t xml:space="preserve">P703 DOG HOUSE RH             </t>
  </si>
  <si>
    <t xml:space="preserve">MLDE27407GPIA05     </t>
  </si>
  <si>
    <t xml:space="preserve">P703 DOG HOUSE LH             </t>
  </si>
  <si>
    <t xml:space="preserve">N1WB E245A22 AA3ZHE </t>
  </si>
  <si>
    <t xml:space="preserve">P703 BLZ CTR BDY PLR CTR      </t>
  </si>
  <si>
    <t>M1651</t>
  </si>
  <si>
    <t xml:space="preserve">KB3B 21291A34 AD    </t>
  </si>
  <si>
    <t xml:space="preserve">MLDG ASY BDY SD O/S UPR       </t>
  </si>
  <si>
    <t xml:space="preserve">KB3B 21291A35 AD    </t>
  </si>
  <si>
    <t xml:space="preserve">MLDG ASY BDY SD O/S UPR LH    </t>
  </si>
  <si>
    <t xml:space="preserve">KB3B 2141018 AC     </t>
  </si>
  <si>
    <t xml:space="preserve">MLDG LFT/GT O/S               </t>
  </si>
  <si>
    <t xml:space="preserve">KB3B 26291A34 AD    </t>
  </si>
  <si>
    <t xml:space="preserve">KB3B 26291A35 AD    </t>
  </si>
  <si>
    <t xml:space="preserve">MLD16L558D          </t>
  </si>
  <si>
    <t xml:space="preserve">P703 RR WHL SPLASH SHLD RR RH </t>
  </si>
  <si>
    <t xml:space="preserve">MLD16L558F          </t>
  </si>
  <si>
    <t>P703 RR WHL SPLAS SHLD RH RAPT</t>
  </si>
  <si>
    <t xml:space="preserve">MLD16L559D          </t>
  </si>
  <si>
    <t xml:space="preserve">P703 RR WHL SPLASH SHLD RR LH </t>
  </si>
  <si>
    <t xml:space="preserve">MLD16L559F          </t>
  </si>
  <si>
    <t>P703 RR WHL SPLAS SHLD LH RAPT</t>
  </si>
  <si>
    <t xml:space="preserve">MLD16L560D          </t>
  </si>
  <si>
    <t>P703 RR WHL SPLASH SHLD FRT RH</t>
  </si>
  <si>
    <t xml:space="preserve">MLD16L560F          </t>
  </si>
  <si>
    <t>P703 RWHL SPL SHLD RH FRT RAPT</t>
  </si>
  <si>
    <t xml:space="preserve">MLD16L561D          </t>
  </si>
  <si>
    <t>P703 RR WHL SPLASH SHLD FRT LH</t>
  </si>
  <si>
    <t xml:space="preserve">MLD16L561F          </t>
  </si>
  <si>
    <t>P703 RWHL SPL SHLD LH FRT RAPT</t>
  </si>
  <si>
    <t xml:space="preserve">MLDE291A34A         </t>
  </si>
  <si>
    <t xml:space="preserve">P703 BOX TOP SUPER CAB DBL RH </t>
  </si>
  <si>
    <t xml:space="preserve">MLDE291A34MAPIA01   </t>
  </si>
  <si>
    <t>P703 BOX TOP SP CB DBL RH R1WB</t>
  </si>
  <si>
    <t xml:space="preserve">MLDE291A35A         </t>
  </si>
  <si>
    <t xml:space="preserve">P703 BOX TOP SUPER CAB DBL LH </t>
  </si>
  <si>
    <t xml:space="preserve">MLDE291A35MAPIA01   </t>
  </si>
  <si>
    <t>P703 BOX TOP SP CB DBL LH R1WB</t>
  </si>
  <si>
    <t xml:space="preserve">MLDE41018CPIA01     </t>
  </si>
  <si>
    <t xml:space="preserve">P703 TAILGATE R1WB            </t>
  </si>
  <si>
    <t xml:space="preserve">N1WB E28344 DA      </t>
  </si>
  <si>
    <t xml:space="preserve">P703 FRONT WHEEL ARCH RH      </t>
  </si>
  <si>
    <t xml:space="preserve">N1WB E28345 DA      </t>
  </si>
  <si>
    <t xml:space="preserve">P703 FRONT WHEEL ARCH LH      </t>
  </si>
  <si>
    <t>M1652</t>
  </si>
  <si>
    <t xml:space="preserve">MLDE13200A          </t>
  </si>
  <si>
    <t xml:space="preserve">P703 SCOWL TRIM RH            </t>
  </si>
  <si>
    <t xml:space="preserve">MLDE13201A          </t>
  </si>
  <si>
    <t xml:space="preserve">P703 SCOWL TRIM lH            </t>
  </si>
  <si>
    <t xml:space="preserve">MLDE243A52E         </t>
  </si>
  <si>
    <t xml:space="preserve">P703 B PILLAR LOWER RH        </t>
  </si>
  <si>
    <t xml:space="preserve">MLDE243A53E         </t>
  </si>
  <si>
    <t xml:space="preserve">P703 B PILLAR LOWER LH        </t>
  </si>
  <si>
    <t xml:space="preserve">MLDE31006E          </t>
  </si>
  <si>
    <t xml:space="preserve">P703 C PILLAR LOWER RH/DBL    </t>
  </si>
  <si>
    <t xml:space="preserve">MLDE31007E          </t>
  </si>
  <si>
    <t xml:space="preserve">P703 C PILLAR LOWER LH/DBL    </t>
  </si>
  <si>
    <t>M1653</t>
  </si>
  <si>
    <t xml:space="preserve">KB3B 17G750 AE      </t>
  </si>
  <si>
    <t xml:space="preserve">BRKT FRT BMPR MTNG CTR        </t>
  </si>
  <si>
    <t xml:space="preserve">MLDBEE17681         </t>
  </si>
  <si>
    <t xml:space="preserve">BT1CC B-PILLAR LWR LH         </t>
  </si>
  <si>
    <t xml:space="preserve">MLDBEE17693         </t>
  </si>
  <si>
    <t xml:space="preserve">BT1CC B-PILLAR LWR RH         </t>
  </si>
  <si>
    <t xml:space="preserve">MLDBEE17808         </t>
  </si>
  <si>
    <t xml:space="preserve">MIC- C PILLAR LWR LH-SUB      </t>
  </si>
  <si>
    <t xml:space="preserve">MLDBEE17853         </t>
  </si>
  <si>
    <t xml:space="preserve">MIC- C PILLAR LWR RH-SUB      </t>
  </si>
  <si>
    <t xml:space="preserve">MLDBEE88424         </t>
  </si>
  <si>
    <t xml:space="preserve">BT1CC C-PLR LWR RH RST/REFINE </t>
  </si>
  <si>
    <t xml:space="preserve">MLDBEE88523         </t>
  </si>
  <si>
    <t xml:space="preserve">BT1CC C-PLR LWR LH RST/REFINE </t>
  </si>
  <si>
    <t xml:space="preserve">MLDBEE90860         </t>
  </si>
  <si>
    <t xml:space="preserve">MIC - REAR WDO UPR            </t>
  </si>
  <si>
    <t xml:space="preserve">MLDBEJ25370         </t>
  </si>
  <si>
    <t xml:space="preserve">BT1CC C-PILLAR UPR RH RST/REF </t>
  </si>
  <si>
    <t xml:space="preserve">MLDBEJ25375         </t>
  </si>
  <si>
    <t xml:space="preserve">BT1CC C-PILLAR UPR LH RST/REF </t>
  </si>
  <si>
    <t xml:space="preserve">MLDBEP59461         </t>
  </si>
  <si>
    <t xml:space="preserve">MLDBEP59463         </t>
  </si>
  <si>
    <t xml:space="preserve">BT1CC FRONT SILL GARNISH RH   </t>
  </si>
  <si>
    <t xml:space="preserve">MLDE291A18PIA01     </t>
  </si>
  <si>
    <t xml:space="preserve">P703 TAILGATE                 </t>
  </si>
  <si>
    <t>M2500</t>
  </si>
  <si>
    <t xml:space="preserve">JL34 17626 AF       </t>
  </si>
  <si>
    <t xml:space="preserve">P552 FRONT BUMPER  ASSEMBLY   </t>
  </si>
  <si>
    <t xml:space="preserve">MLD2623943SUB00     </t>
  </si>
  <si>
    <t xml:space="preserve">FRT DR SUB DBL LH             </t>
  </si>
  <si>
    <t xml:space="preserve">MLDBEI78141         </t>
  </si>
  <si>
    <t xml:space="preserve">BT1CC STORAGE BIN W/S RST     </t>
  </si>
  <si>
    <t xml:space="preserve">MLDE23942-A         </t>
  </si>
  <si>
    <t xml:space="preserve">P703 FRT DR PNL DBL FULL RH   </t>
  </si>
  <si>
    <t xml:space="preserve">MLDE23942-A-INSERT  </t>
  </si>
  <si>
    <t xml:space="preserve">P703 FRT DR PNL DBL INSERT RH </t>
  </si>
  <si>
    <t xml:space="preserve">MLDE23943-A-INSERT  </t>
  </si>
  <si>
    <t xml:space="preserve">P703 FRT DR PNL DBL INSERT LH </t>
  </si>
  <si>
    <t xml:space="preserve">MLDE23943-B         </t>
  </si>
  <si>
    <t xml:space="preserve">P703 FRT DR PNL DBL FULL LH   </t>
  </si>
  <si>
    <t xml:space="preserve">MLDE27406-G         </t>
  </si>
  <si>
    <t xml:space="preserve">P703 RR DR PNL DBL FULL RH    </t>
  </si>
  <si>
    <t xml:space="preserve">MLDE27406-M         </t>
  </si>
  <si>
    <t xml:space="preserve">P703 RR DR PNL DBL INSERT RH  </t>
  </si>
  <si>
    <t xml:space="preserve">MLDE27407-G         </t>
  </si>
  <si>
    <t xml:space="preserve">P703 RR DR PNL DBL FULL LH    </t>
  </si>
  <si>
    <t xml:space="preserve">MLDE27407-M         </t>
  </si>
  <si>
    <t xml:space="preserve">P703 RR DR PNL DBL INSERT LH  </t>
  </si>
  <si>
    <t xml:space="preserve">M291 </t>
  </si>
  <si>
    <t xml:space="preserve">85154936            </t>
  </si>
  <si>
    <t>BT1CC HEADLINER REF BRKT VALUE</t>
  </si>
  <si>
    <t xml:space="preserve">DET7YS8691AA.P1OS   </t>
  </si>
  <si>
    <t xml:space="preserve">WS FRT LB BEZEL POS1 MOLDED   </t>
  </si>
  <si>
    <t xml:space="preserve">WS </t>
  </si>
  <si>
    <t xml:space="preserve">DET7YS8691AA.P6OS   </t>
  </si>
  <si>
    <t xml:space="preserve">WS FRT LB BEZEL POS6 MOLDED   </t>
  </si>
  <si>
    <t xml:space="preserve">DET7YS87AAOS        </t>
  </si>
  <si>
    <t xml:space="preserve">WS FOGLAMP BZL POS2 MOLDED    </t>
  </si>
  <si>
    <t xml:space="preserve">DET7YS88AAOS        </t>
  </si>
  <si>
    <t xml:space="preserve">WS GRILL BZL POS3 MOLDED      </t>
  </si>
  <si>
    <t xml:space="preserve">DET7YS89AAOS        </t>
  </si>
  <si>
    <t xml:space="preserve">WS GRILL BZL POS4 MOLDED      </t>
  </si>
  <si>
    <t xml:space="preserve">DET7YS90AAOS        </t>
  </si>
  <si>
    <t xml:space="preserve">WS FOGLAMP BZL POS5 MOLDED    </t>
  </si>
  <si>
    <t xml:space="preserve">KB3B 17N397 AC      </t>
  </si>
  <si>
    <t xml:space="preserve">BRKT ASY LIC PLT MTNG         </t>
  </si>
  <si>
    <t xml:space="preserve">MLD17C790GPIA       </t>
  </si>
  <si>
    <t xml:space="preserve">P703 REDBACK SUPPORT RH       </t>
  </si>
  <si>
    <t xml:space="preserve">MLD17C791GPIA       </t>
  </si>
  <si>
    <t xml:space="preserve">P703 REDBACK SUPPORT LH       </t>
  </si>
  <si>
    <t xml:space="preserve">MLD17D698A          </t>
  </si>
  <si>
    <t xml:space="preserve">P703 MIRROR SAIL RH           </t>
  </si>
  <si>
    <t xml:space="preserve">MLD17D699A          </t>
  </si>
  <si>
    <t xml:space="preserve">P703 MIRROR SAIL LH           </t>
  </si>
  <si>
    <t xml:space="preserve">MLD26243C02         </t>
  </si>
  <si>
    <t xml:space="preserve">B PILLAR RAMP RH              </t>
  </si>
  <si>
    <t xml:space="preserve">MLD26243C03         </t>
  </si>
  <si>
    <t xml:space="preserve">B PILLAR RAMP LH              </t>
  </si>
  <si>
    <t xml:space="preserve">MLDBEI06601         </t>
  </si>
  <si>
    <t xml:space="preserve">MIC- BOOMERANG LH             </t>
  </si>
  <si>
    <t xml:space="preserve">MLDBEI08207         </t>
  </si>
  <si>
    <t xml:space="preserve">MIC- BOOMERANG RH             </t>
  </si>
  <si>
    <t xml:space="preserve">MLDE025B84B         </t>
  </si>
  <si>
    <t xml:space="preserve">MLDE025B85B         </t>
  </si>
  <si>
    <t xml:space="preserve">MLDE237W20BPIA01    </t>
  </si>
  <si>
    <t xml:space="preserve">P703 SWT BEZ RR DBL RH        </t>
  </si>
  <si>
    <t xml:space="preserve">MLDE237W21BPIA01    </t>
  </si>
  <si>
    <t xml:space="preserve">P703 SWT BEZ RR DBL LH        </t>
  </si>
  <si>
    <t xml:space="preserve">MLDE23942APIA32     </t>
  </si>
  <si>
    <t xml:space="preserve">P703 RH FRONT IP EXT MIC      </t>
  </si>
  <si>
    <t xml:space="preserve">MLDE23943APIA50     </t>
  </si>
  <si>
    <t>P703 LH FRONT IP EXT MIC W/MEM</t>
  </si>
  <si>
    <t xml:space="preserve">M292 </t>
  </si>
  <si>
    <t xml:space="preserve">M2DB 17A793 AD      </t>
  </si>
  <si>
    <t xml:space="preserve">U725 BRKT FRT BMPR MTNG RH    </t>
  </si>
  <si>
    <t xml:space="preserve">M2DB 17A794 AD      </t>
  </si>
  <si>
    <t xml:space="preserve">U725 BRKT FRT BMPR MTNG LH    </t>
  </si>
  <si>
    <t xml:space="preserve">MLD17A386AC         </t>
  </si>
  <si>
    <t xml:space="preserve">CTNR LIC PLT HDW              </t>
  </si>
  <si>
    <t xml:space="preserve">MLD17D550C          </t>
  </si>
  <si>
    <t xml:space="preserve">P703 RAIN SENSOR TOP COVER    </t>
  </si>
  <si>
    <t xml:space="preserve">MLD17D568C          </t>
  </si>
  <si>
    <t xml:space="preserve">P703 RAIN SENSOR BOTTOM       </t>
  </si>
  <si>
    <t xml:space="preserve">MLDBEP73313         </t>
  </si>
  <si>
    <t>BT1CC GLASS STOPPER RST/REFINE</t>
  </si>
  <si>
    <t xml:space="preserve">MLDE23942APIA30     </t>
  </si>
  <si>
    <t xml:space="preserve">MLDE23943APIA30     </t>
  </si>
  <si>
    <t xml:space="preserve">P703 LH FRONT IP EXT MIC      </t>
  </si>
  <si>
    <t xml:space="preserve">N1WB 9G924 BA       </t>
  </si>
  <si>
    <t xml:space="preserve">P703 CVR SNS CR               </t>
  </si>
  <si>
    <t xml:space="preserve">M611 </t>
  </si>
  <si>
    <t xml:space="preserve">85686515            </t>
  </si>
  <si>
    <t xml:space="preserve">BT1CC 40% REAR MINI BIN       </t>
  </si>
  <si>
    <t xml:space="preserve">MLD2623943GH00      </t>
  </si>
  <si>
    <t xml:space="preserve">FRT DR GRAB HANDLE LH         </t>
  </si>
  <si>
    <t xml:space="preserve">MLDE27406BPIA02     </t>
  </si>
  <si>
    <t xml:space="preserve">P703 REAR DBL MAP POCKET RH   </t>
  </si>
  <si>
    <t xml:space="preserve">MLDE27407BPIA02     </t>
  </si>
  <si>
    <t xml:space="preserve">P703 REAR DBL MAP POCKET LH   </t>
  </si>
  <si>
    <t>M611R</t>
  </si>
  <si>
    <t xml:space="preserve">MLDE23942APIA45     </t>
  </si>
  <si>
    <t xml:space="preserve">P703 SWT BEZ FRT SBST RH      </t>
  </si>
  <si>
    <t xml:space="preserve">MLDE23943APIA41     </t>
  </si>
  <si>
    <t xml:space="preserve">P703 SWT BEZ FRT LH/DBL       </t>
  </si>
  <si>
    <t xml:space="preserve">M612 </t>
  </si>
  <si>
    <t xml:space="preserve">MLDBEE86204         </t>
  </si>
  <si>
    <t xml:space="preserve">BT1CC HEADLINER BACK COVER LH </t>
  </si>
  <si>
    <t xml:space="preserve">MLDBEE95348         </t>
  </si>
  <si>
    <t xml:space="preserve">MLDE23900APIA04     </t>
  </si>
  <si>
    <t>P703 HARD TOP ROLL SUBSTRATE R</t>
  </si>
  <si>
    <t xml:space="preserve">MLDE23900APIA07     </t>
  </si>
  <si>
    <t xml:space="preserve">P703 HARD TOP ROLL REINF RH   </t>
  </si>
  <si>
    <t xml:space="preserve">MLDE23901APIA04     </t>
  </si>
  <si>
    <t>P703 HARD TOP ROLL SUBSTRATE L</t>
  </si>
  <si>
    <t xml:space="preserve">MLDE23901APIA07     </t>
  </si>
  <si>
    <t xml:space="preserve">P703 HARD TOP ROLL REINF LH   </t>
  </si>
  <si>
    <t xml:space="preserve">MLDE266A64APIA01    </t>
  </si>
  <si>
    <t xml:space="preserve">P703 RR GRAB HANDLE SPT RH    </t>
  </si>
  <si>
    <t xml:space="preserve">MLDE266A65APIA01    </t>
  </si>
  <si>
    <t xml:space="preserve">P703 RR GRAB HANDLE SPT LH    </t>
  </si>
  <si>
    <t xml:space="preserve">MLDE27406BPIA11     </t>
  </si>
  <si>
    <t xml:space="preserve">P703 RR REINFORCEMENT BKT RH  </t>
  </si>
  <si>
    <t xml:space="preserve">MLDE27407BPIA11     </t>
  </si>
  <si>
    <t xml:space="preserve">P703 Rear Top Roll REINF LH   </t>
  </si>
  <si>
    <t xml:space="preserve">N1WB E280K96 DA     </t>
  </si>
  <si>
    <t xml:space="preserve">P703 REAR TIRE AIR DEFLE      </t>
  </si>
  <si>
    <t xml:space="preserve">N1WB E280K97 DA     </t>
  </si>
  <si>
    <t>M612L</t>
  </si>
  <si>
    <t xml:space="preserve">MLDBEE00330         </t>
  </si>
  <si>
    <t xml:space="preserve">BT1CC HEADLINER BACKPLATE RH  </t>
  </si>
  <si>
    <t xml:space="preserve">MLDBEE85201         </t>
  </si>
  <si>
    <t xml:space="preserve">BT1CC HEADLINER BACKPLATE LH  </t>
  </si>
  <si>
    <t>M72SL</t>
  </si>
  <si>
    <t xml:space="preserve">85686517            </t>
  </si>
  <si>
    <t xml:space="preserve">BT1CC 60% COVER REFINE RST    </t>
  </si>
  <si>
    <t xml:space="preserve">MLDBEE18154         </t>
  </si>
  <si>
    <t xml:space="preserve">BT1CC SILL PLATE GMC LH       </t>
  </si>
  <si>
    <t xml:space="preserve">MLDBEE18158         </t>
  </si>
  <si>
    <t xml:space="preserve">MIC - FRONT SILL GARNISH RH   </t>
  </si>
  <si>
    <t>M72SR</t>
  </si>
  <si>
    <t xml:space="preserve">MLD85132701         </t>
  </si>
  <si>
    <t>M771D</t>
  </si>
  <si>
    <t xml:space="preserve">MLD16E166APIA10     </t>
  </si>
  <si>
    <t xml:space="preserve">REAR SEAL AGS                 </t>
  </si>
  <si>
    <t xml:space="preserve">MLD16E166ZPIA10     </t>
  </si>
  <si>
    <t xml:space="preserve">U725 WARTHOG REAR SEAL        </t>
  </si>
  <si>
    <t>M771S</t>
  </si>
  <si>
    <t xml:space="preserve">MLD17130016AB       </t>
  </si>
  <si>
    <t xml:space="preserve">FR WAL DUCT RH                </t>
  </si>
  <si>
    <t xml:space="preserve">MLD17130017AB       </t>
  </si>
  <si>
    <t xml:space="preserve">FR WAL DUCT LH                </t>
  </si>
  <si>
    <t xml:space="preserve">MLD2616G040AD       </t>
  </si>
  <si>
    <t xml:space="preserve">MLD2616G041AC       </t>
  </si>
  <si>
    <t xml:space="preserve">MLDBEI36353         </t>
  </si>
  <si>
    <t xml:space="preserve">BT1CC 60% DIVIDER FRT PLATE   </t>
  </si>
  <si>
    <t xml:space="preserve">MLDBEI41127         </t>
  </si>
  <si>
    <t xml:space="preserve">BT1CC 40% DIVIDER FRT PLATE   </t>
  </si>
  <si>
    <t xml:space="preserve">MLDBEJ53972         </t>
  </si>
  <si>
    <t xml:space="preserve">BT1CC MOLDING C PILLAR UPR    </t>
  </si>
  <si>
    <t xml:space="preserve">MLDBEJ54040         </t>
  </si>
  <si>
    <t xml:space="preserve">MLDBEJ56724         </t>
  </si>
  <si>
    <t xml:space="preserve">BT1CC 40% DIVIDER BACK PLATE  </t>
  </si>
  <si>
    <t xml:space="preserve">MLDBEJ59008         </t>
  </si>
  <si>
    <t xml:space="preserve">BT1CC 60% DIVIDER BACK PLATE  </t>
  </si>
  <si>
    <t xml:space="preserve">MLDE060B00          </t>
  </si>
  <si>
    <t xml:space="preserve">P703 FRT MAP POCKET RH        </t>
  </si>
  <si>
    <t xml:space="preserve">MLDE060B01          </t>
  </si>
  <si>
    <t xml:space="preserve">P703 FRT MAP POCKET LH        </t>
  </si>
  <si>
    <t xml:space="preserve">MLDE23900APIA02     </t>
  </si>
  <si>
    <t xml:space="preserve">P703 SOFT TOP ROLL REINF RH   </t>
  </si>
  <si>
    <t xml:space="preserve">MLDE23901APIA02     </t>
  </si>
  <si>
    <t xml:space="preserve">P703 SOFT TOP ROLL REINF LH   </t>
  </si>
  <si>
    <t xml:space="preserve">MLDE24592C          </t>
  </si>
  <si>
    <t xml:space="preserve">MLDE26656APIA01     </t>
  </si>
  <si>
    <t>P703 FRT GRAB HANDLE SUPPORT R</t>
  </si>
  <si>
    <t xml:space="preserve">MLDE26657APIA01     </t>
  </si>
  <si>
    <t>P703 FRT GRAB HANDLE SUPPORT L</t>
  </si>
  <si>
    <t>M772S</t>
  </si>
  <si>
    <t xml:space="preserve">85163268            </t>
  </si>
  <si>
    <t xml:space="preserve">BT1CC FRONT SILL BRKT LH      </t>
  </si>
  <si>
    <t xml:space="preserve">85163269            </t>
  </si>
  <si>
    <t xml:space="preserve">BT1CC FRONT SILL BRKT RH      </t>
  </si>
  <si>
    <t xml:space="preserve">85163288            </t>
  </si>
  <si>
    <t xml:space="preserve">BT1CC REAR SILL BRKT LH       </t>
  </si>
  <si>
    <t xml:space="preserve">85163289            </t>
  </si>
  <si>
    <t xml:space="preserve">BT1CC REAR SILL BRKT RH       </t>
  </si>
  <si>
    <t xml:space="preserve">85533616            </t>
  </si>
  <si>
    <t xml:space="preserve">BT1CC SENSOR FARM COVER       </t>
  </si>
  <si>
    <t xml:space="preserve">85533617            </t>
  </si>
  <si>
    <t xml:space="preserve">BT1CC SENSOR FARM INSERT      </t>
  </si>
  <si>
    <t xml:space="preserve">MLD17E810BA         </t>
  </si>
  <si>
    <t xml:space="preserve">U725 BUMPERETTE               </t>
  </si>
  <si>
    <t xml:space="preserve">MLD17E810GC         </t>
  </si>
  <si>
    <t xml:space="preserve">U725 BUMPERETTES MODULAR      </t>
  </si>
  <si>
    <t xml:space="preserve">MLD17E811BA         </t>
  </si>
  <si>
    <t xml:space="preserve">U725 BUMPERETTES              </t>
  </si>
  <si>
    <t xml:space="preserve">MLD17E811GC         </t>
  </si>
  <si>
    <t xml:space="preserve">U725 BUMPERETTES  MODULAR     </t>
  </si>
  <si>
    <t xml:space="preserve">MLDBEE18184         </t>
  </si>
  <si>
    <t xml:space="preserve">BT1CC REAR SILL PLATE LH      </t>
  </si>
  <si>
    <t xml:space="preserve">MLDBEE18185         </t>
  </si>
  <si>
    <t xml:space="preserve">BT1CC REAR SILL PLATE RH      </t>
  </si>
  <si>
    <t xml:space="preserve">MLDBEE32782         </t>
  </si>
  <si>
    <t xml:space="preserve">BT1CC B-PILLAR UPR SUB LH     </t>
  </si>
  <si>
    <t xml:space="preserve">MLDBEE32784         </t>
  </si>
  <si>
    <t xml:space="preserve">BT1CC B-PILLAR UPR SUB RH     </t>
  </si>
  <si>
    <t xml:space="preserve">MLDBEH03511         </t>
  </si>
  <si>
    <t xml:space="preserve">MLDBEH03514         </t>
  </si>
  <si>
    <t xml:space="preserve">MLDBEU43796         </t>
  </si>
  <si>
    <t xml:space="preserve">MIC - B-PILLAR UPR LH-SUB     </t>
  </si>
  <si>
    <t xml:space="preserve">MLDBEU45895         </t>
  </si>
  <si>
    <t xml:space="preserve">MIC - B-PILLAR UPR RH-SUB     </t>
  </si>
  <si>
    <t xml:space="preserve">MLDE24396C          </t>
  </si>
  <si>
    <t xml:space="preserve">P703 B PILLAR UPPER RH        </t>
  </si>
  <si>
    <t xml:space="preserve">MLDE24396CGREY      </t>
  </si>
  <si>
    <t xml:space="preserve">P703 B PLR UPR RH SUMMIT GREY </t>
  </si>
  <si>
    <t xml:space="preserve">MLDE24397C          </t>
  </si>
  <si>
    <t xml:space="preserve">P703 B PILLAR UPPER LH        </t>
  </si>
  <si>
    <t xml:space="preserve">MLDE24397CGREY      </t>
  </si>
  <si>
    <t xml:space="preserve">P703 B PLR UPR LH SUMMIT GREY </t>
  </si>
  <si>
    <t xml:space="preserve">M773 </t>
  </si>
  <si>
    <t xml:space="preserve">68618402AA          </t>
  </si>
  <si>
    <t xml:space="preserve">WS TOW HOOK BOOT AERO PRE RH  </t>
  </si>
  <si>
    <t xml:space="preserve">68618404AA          </t>
  </si>
  <si>
    <t xml:space="preserve">WS TOW HOOK BOOT AERO PRE LH  </t>
  </si>
  <si>
    <t xml:space="preserve">PC17626 BA          </t>
  </si>
  <si>
    <t xml:space="preserve">P702 BEV SEAL OTR RH          </t>
  </si>
  <si>
    <t>702</t>
  </si>
  <si>
    <t xml:space="preserve">PC17627 BA          </t>
  </si>
  <si>
    <t xml:space="preserve">P702 BEV SEAL OTR LH          </t>
  </si>
  <si>
    <t xml:space="preserve">M901 </t>
  </si>
  <si>
    <t xml:space="preserve">KB3B 2631056 AE3ZHE </t>
  </si>
  <si>
    <t xml:space="preserve">CVR BDY SD TR PNL LWR         </t>
  </si>
  <si>
    <t xml:space="preserve">KB3B 2631057 AE3ZHE </t>
  </si>
  <si>
    <t xml:space="preserve">CVR BDY SD TR PNL LWR LH      </t>
  </si>
  <si>
    <t xml:space="preserve">MLD16E166ABPIA02    </t>
  </si>
  <si>
    <t xml:space="preserve">AGS VANE LONG                 </t>
  </si>
  <si>
    <t xml:space="preserve">MLD16E166ABPIA04    </t>
  </si>
  <si>
    <t xml:space="preserve">AGS VANE MEDIUM               </t>
  </si>
  <si>
    <t xml:space="preserve">MLD16E166ABPIA05    </t>
  </si>
  <si>
    <t xml:space="preserve">DRIVE VANES LH                </t>
  </si>
  <si>
    <t xml:space="preserve">MLD16E166ABPIA06    </t>
  </si>
  <si>
    <t xml:space="preserve">DRIVE VANES RH                </t>
  </si>
  <si>
    <t xml:space="preserve">MLD16E166ABPIA08    </t>
  </si>
  <si>
    <t xml:space="preserve">AGS VANE SHORT RH             </t>
  </si>
  <si>
    <t xml:space="preserve">MLD16E166ABPIA09    </t>
  </si>
  <si>
    <t xml:space="preserve">AGS VANE SHORT LH             </t>
  </si>
  <si>
    <t xml:space="preserve">MLD16E166APIA01     </t>
  </si>
  <si>
    <t xml:space="preserve">GOR/AGS, CARRIER              </t>
  </si>
  <si>
    <t xml:space="preserve">MLD68451018AA       </t>
  </si>
  <si>
    <t xml:space="preserve">SERVICE SUPPORT BRACKET       </t>
  </si>
  <si>
    <t xml:space="preserve">MLD68566341AA       </t>
  </si>
  <si>
    <t xml:space="preserve">BRACKET-CTR RR BEAM           </t>
  </si>
  <si>
    <t xml:space="preserve">PC17B810 AA5YZ9     </t>
  </si>
  <si>
    <t xml:space="preserve">P702 BEV STP PD 10K           </t>
  </si>
  <si>
    <t>DFTRP</t>
  </si>
  <si>
    <t>REPAK</t>
  </si>
  <si>
    <t xml:space="preserve">85861637            </t>
  </si>
  <si>
    <t xml:space="preserve">BT1CC BRKT-AIRBAG SI IMP SEN  </t>
  </si>
  <si>
    <t>MTL</t>
  </si>
  <si>
    <t xml:space="preserve">KB3C 2K004 AA       </t>
  </si>
  <si>
    <t xml:space="preserve">SHLD BRK DSC SPLS             </t>
  </si>
  <si>
    <t xml:space="preserve">KB3C 2K005 AA       </t>
  </si>
  <si>
    <t xml:space="preserve">BRK DSC SPLS LH               </t>
  </si>
  <si>
    <t xml:space="preserve">M2DB S109A26 AB     </t>
  </si>
  <si>
    <t xml:space="preserve">U725 BMPR ASY FRT             </t>
  </si>
  <si>
    <t xml:space="preserve">M2DB S28126 AA      </t>
  </si>
  <si>
    <t xml:space="preserve">U725 BRKT STRUT TL GTT        </t>
  </si>
  <si>
    <t xml:space="preserve">M2DB S444A18 AA     </t>
  </si>
  <si>
    <t xml:space="preserve">U725 BRKT STRT TL/GT          </t>
  </si>
  <si>
    <t xml:space="preserve">MB3B 10718 CC       </t>
  </si>
  <si>
    <t>P703 REINF FLR PAN MN PVT BRKT</t>
  </si>
  <si>
    <t xml:space="preserve">MB3C 3D072 EA       </t>
  </si>
  <si>
    <t xml:space="preserve">U725 KIT SHLD RR SHK ABS      </t>
  </si>
  <si>
    <t xml:space="preserve">MB3C 5B018 AB       </t>
  </si>
  <si>
    <t xml:space="preserve">U725 PLT FR FRT C/M           </t>
  </si>
  <si>
    <t xml:space="preserve">MB3C 5B852 AC       </t>
  </si>
  <si>
    <t xml:space="preserve">U725 SHLD LNK RR SUSP         </t>
  </si>
  <si>
    <t xml:space="preserve">MB3C 5F147 RB       </t>
  </si>
  <si>
    <t xml:space="preserve">U725 BRKT FU/TNK PROT         </t>
  </si>
  <si>
    <t xml:space="preserve">MB3C 7P026 AC       </t>
  </si>
  <si>
    <t xml:space="preserve">U725 BAR TRANS SKD            </t>
  </si>
  <si>
    <t xml:space="preserve">SB3C 3D072 AA       </t>
  </si>
  <si>
    <t xml:space="preserve">STA819333-1         </t>
  </si>
  <si>
    <t xml:space="preserve">U725 FORD PN:M2DB-S109A26-AA  </t>
  </si>
  <si>
    <t xml:space="preserve">X-MB3B 10723 B      </t>
  </si>
  <si>
    <t xml:space="preserve">P703 BAT TRY SUPT             </t>
  </si>
  <si>
    <t>SREPK</t>
  </si>
  <si>
    <t xml:space="preserve">M2DB S502D12 AE     </t>
  </si>
  <si>
    <t xml:space="preserve">U725 PNL RF RR (HEADER INNER) </t>
  </si>
  <si>
    <t xml:space="preserve">M2DB X502D12 AD     </t>
  </si>
  <si>
    <t xml:space="preserve">MB3B 58016B28 AA    </t>
  </si>
  <si>
    <t xml:space="preserve">U725 REINF D/PNL BRK MSTR CYL </t>
  </si>
  <si>
    <t xml:space="preserve">N1WB E312A49 BC     </t>
  </si>
  <si>
    <t xml:space="preserve">P703 BRKT ASY ASST HNDL       </t>
  </si>
  <si>
    <t xml:space="preserve">N1WB E312A49 BC-01  </t>
  </si>
  <si>
    <t xml:space="preserve">N1WB E404D91 AC     </t>
  </si>
  <si>
    <t xml:space="preserve">P703 BRKT INS LFT/GT OTR      </t>
  </si>
  <si>
    <t xml:space="preserve">N1WB E410A42 AA     </t>
  </si>
  <si>
    <t xml:space="preserve">P703 REINF RR CNR INR RR      </t>
  </si>
  <si>
    <t xml:space="preserve">N1WB E410A43 AA     </t>
  </si>
  <si>
    <t xml:space="preserve">REPACKE312A49B      </t>
  </si>
  <si>
    <t xml:space="preserve">P703 BRKT ASY ASST HNDL MNTG  </t>
  </si>
  <si>
    <t>WREPK</t>
  </si>
  <si>
    <t xml:space="preserve">KB3B 2101514 AA     </t>
  </si>
  <si>
    <t xml:space="preserve">REINF BRK PDL SUPT            </t>
  </si>
  <si>
    <t xml:space="preserve">KB3B 21016C02 AA    </t>
  </si>
  <si>
    <t xml:space="preserve">PNL DH SD EXT                 </t>
  </si>
  <si>
    <t xml:space="preserve">KB3B 26454W66 AA    </t>
  </si>
  <si>
    <t xml:space="preserve">BRKT L/C TR FLR               </t>
  </si>
  <si>
    <t xml:space="preserve">KB3B 26454W66 BA    </t>
  </si>
  <si>
    <t>DFTSQ</t>
  </si>
  <si>
    <t>703LH</t>
  </si>
  <si>
    <t xml:space="preserve">N1WB E23943 KK1G1C  </t>
  </si>
  <si>
    <t xml:space="preserve">P703 DOOR FRT DBL LH          </t>
  </si>
  <si>
    <t xml:space="preserve">N1WB E23943 KK1G1E  </t>
  </si>
  <si>
    <t xml:space="preserve">N1WB E23943 KL1G1C  </t>
  </si>
  <si>
    <t xml:space="preserve">N1WB E23943 KL1G1E  </t>
  </si>
  <si>
    <t xml:space="preserve">N1WB E23943 KL3LU4  </t>
  </si>
  <si>
    <t xml:space="preserve">N1WB E23943 KM1G1C  </t>
  </si>
  <si>
    <t xml:space="preserve">N1WB E23943 KM1G1E  </t>
  </si>
  <si>
    <t xml:space="preserve">N1WB E23943 KM3LU4  </t>
  </si>
  <si>
    <t xml:space="preserve">N1WB E23943 UF3ZHE  </t>
  </si>
  <si>
    <t xml:space="preserve">N1WB E23943 VF1G1C  </t>
  </si>
  <si>
    <t xml:space="preserve">N1WB E23943 VF1G1E  </t>
  </si>
  <si>
    <t xml:space="preserve">N1WB E23943 VF3LU4  </t>
  </si>
  <si>
    <t xml:space="preserve">N1WB E23943 YL1G1C  </t>
  </si>
  <si>
    <t xml:space="preserve">N1WB E23943 YM1G1C  </t>
  </si>
  <si>
    <t xml:space="preserve">N1WB E27407 CL3ZHE  </t>
  </si>
  <si>
    <t xml:space="preserve">P703 DOOR REAR DBL LH         </t>
  </si>
  <si>
    <t xml:space="preserve">N1WB E27407 RP1G1C  </t>
  </si>
  <si>
    <t xml:space="preserve">N1WB E27407 RP1G1E  </t>
  </si>
  <si>
    <t xml:space="preserve">N1WB E27407 RP3LU4  </t>
  </si>
  <si>
    <t xml:space="preserve">N1WB E27407 SL1G1C  </t>
  </si>
  <si>
    <t xml:space="preserve">N1WB E27407 UL1G1C  </t>
  </si>
  <si>
    <t xml:space="preserve">N1WB E27407 UL1G1E  </t>
  </si>
  <si>
    <t xml:space="preserve">N1WB E27407 UL3LU4  </t>
  </si>
  <si>
    <t xml:space="preserve">T1WB E23943 BB1HO8  </t>
  </si>
  <si>
    <t xml:space="preserve">T1WB E23943 BB31Y5  </t>
  </si>
  <si>
    <t xml:space="preserve">T1WB E23943 CB1HO8  </t>
  </si>
  <si>
    <t xml:space="preserve">T1WB E23943 CB31Y5  </t>
  </si>
  <si>
    <t xml:space="preserve">T1WB E23943 DB1HHY  </t>
  </si>
  <si>
    <t xml:space="preserve">T1WB E23943 EA1G1C  </t>
  </si>
  <si>
    <t xml:space="preserve">T1WB E23943 FA1HO8  </t>
  </si>
  <si>
    <t xml:space="preserve">T1WB E23943 FA31Y5  </t>
  </si>
  <si>
    <t xml:space="preserve">T1WB E27407 BB1HO8  </t>
  </si>
  <si>
    <t xml:space="preserve">T1WB E27407 BB31Y5  </t>
  </si>
  <si>
    <t xml:space="preserve">T1WB E27407 CB1HO8  </t>
  </si>
  <si>
    <t xml:space="preserve">T1WB E27407 CB31Y5  </t>
  </si>
  <si>
    <t xml:space="preserve">T1WB E27407 DB1HHY  </t>
  </si>
  <si>
    <t>703RH</t>
  </si>
  <si>
    <t xml:space="preserve">N1WB E23942 BJ1G1E  </t>
  </si>
  <si>
    <t xml:space="preserve">P703 DOOR FRT DBL RH          </t>
  </si>
  <si>
    <t xml:space="preserve">N1WB E23942 BK1G1C  </t>
  </si>
  <si>
    <t xml:space="preserve">N1WB E23942 BK1G1E  </t>
  </si>
  <si>
    <t xml:space="preserve">N1WB E23942 BK3LU4  </t>
  </si>
  <si>
    <t xml:space="preserve">N1WB E23942 BL1G1C  </t>
  </si>
  <si>
    <t xml:space="preserve">N1WB E23942 BL1G1E  </t>
  </si>
  <si>
    <t xml:space="preserve">N1WB E23942 BL3LU4  </t>
  </si>
  <si>
    <t xml:space="preserve">N1WB E23942 HF3ZHE  </t>
  </si>
  <si>
    <t xml:space="preserve">N1WB E23942 SE1G1E  </t>
  </si>
  <si>
    <t xml:space="preserve">N1WB E23942 SF1G1C  </t>
  </si>
  <si>
    <t xml:space="preserve">N1WB E23942 SF1G1E  </t>
  </si>
  <si>
    <t xml:space="preserve">N1WB E23942 SF3LU4  </t>
  </si>
  <si>
    <t xml:space="preserve">N1WB E23942 TK1G1C  </t>
  </si>
  <si>
    <t xml:space="preserve">N1WB E23942 TL1G1C  </t>
  </si>
  <si>
    <t xml:space="preserve">N1WB E27406 CL3ZHE  </t>
  </si>
  <si>
    <t xml:space="preserve">P703 DOOR REAR DBL RH         </t>
  </si>
  <si>
    <t xml:space="preserve">N1WB E27406 RL1G1E  </t>
  </si>
  <si>
    <t xml:space="preserve">N1WB E27406 RP1G1C  </t>
  </si>
  <si>
    <t xml:space="preserve">N1WB E27406 RP1G1E  </t>
  </si>
  <si>
    <t xml:space="preserve">N1WB E27406 RP3LU4  </t>
  </si>
  <si>
    <t xml:space="preserve">N1WB E27406 SL1G1C  </t>
  </si>
  <si>
    <t xml:space="preserve">N1WB E27406 UL1G1C  </t>
  </si>
  <si>
    <t xml:space="preserve">N1WB E27406 UL1G1E  </t>
  </si>
  <si>
    <t xml:space="preserve">N1WB E27406 UL3LU4  </t>
  </si>
  <si>
    <t xml:space="preserve">T1WB E23942 BB1HO8  </t>
  </si>
  <si>
    <t xml:space="preserve">T1WB E23942 BB31Y5  </t>
  </si>
  <si>
    <t xml:space="preserve">T1WB E23942 CB1HO8  </t>
  </si>
  <si>
    <t xml:space="preserve">T1WB E23942 CB31Y5  </t>
  </si>
  <si>
    <t xml:space="preserve">T1WB E23942 DB1HHY  </t>
  </si>
  <si>
    <t xml:space="preserve">T1WB E23942 EA1G1C  </t>
  </si>
  <si>
    <t xml:space="preserve">T1WB E23942 FA31Y5  </t>
  </si>
  <si>
    <t xml:space="preserve">P703 DOOR FRT DBL RH EBONY    </t>
  </si>
  <si>
    <t xml:space="preserve">T1WB E27406 BB1HO8  </t>
  </si>
  <si>
    <t xml:space="preserve">T1WB E27406 BB31Y5  </t>
  </si>
  <si>
    <t xml:space="preserve">T1WB E27406 CB1HO8  </t>
  </si>
  <si>
    <t xml:space="preserve">T1WB E27406 CB31Y5  </t>
  </si>
  <si>
    <t xml:space="preserve">T1WB E27406 DB1HHY  </t>
  </si>
  <si>
    <t>DRALH</t>
  </si>
  <si>
    <t xml:space="preserve">N1WB E23943 VD1G1E  </t>
  </si>
  <si>
    <t>DRASR</t>
  </si>
  <si>
    <t xml:space="preserve">KB3B 2123942 CG3ZHE </t>
  </si>
  <si>
    <t xml:space="preserve">PNL ASY FRT DR TR             </t>
  </si>
  <si>
    <t xml:space="preserve">KB3B 2123942 EH3ZHE </t>
  </si>
  <si>
    <t xml:space="preserve">KB3B 2123942 FG3ZHE </t>
  </si>
  <si>
    <t xml:space="preserve">KB3B 2623942 CG31TC </t>
  </si>
  <si>
    <t xml:space="preserve">P375 PNL ASY FRT DR TR        </t>
  </si>
  <si>
    <t xml:space="preserve">KB3B 2623942 CG3ZHE </t>
  </si>
  <si>
    <t xml:space="preserve">KB3B 2623942 GF3ZHE </t>
  </si>
  <si>
    <t xml:space="preserve">KB3B 2623942 JB3ZHE </t>
  </si>
  <si>
    <t xml:space="preserve">KB3B 2627406 CE31TC </t>
  </si>
  <si>
    <t xml:space="preserve">P375 PNL ASY RR DR TR         </t>
  </si>
  <si>
    <t xml:space="preserve">KB3B 2627406 DE3ZHE </t>
  </si>
  <si>
    <t xml:space="preserve">KB3B 2627406 FE3ZHE </t>
  </si>
  <si>
    <t>DSARL</t>
  </si>
  <si>
    <t xml:space="preserve">KB3B 2123943 CG3ZHE </t>
  </si>
  <si>
    <t xml:space="preserve">PNL ASY FRT DR TR LH          </t>
  </si>
  <si>
    <t xml:space="preserve">KB3B 2123943 EH31TC </t>
  </si>
  <si>
    <t xml:space="preserve">KB3B 2123943 FG3ZHE </t>
  </si>
  <si>
    <t xml:space="preserve">KB3B 2623943 CG31TC </t>
  </si>
  <si>
    <t xml:space="preserve">P375 PNL ASY FRT DR TR LH     </t>
  </si>
  <si>
    <t xml:space="preserve">KB3B 2623943 EH3ZHE </t>
  </si>
  <si>
    <t xml:space="preserve">KB3B 2623943 HB3ZHE </t>
  </si>
  <si>
    <t xml:space="preserve">KB3B 2623943 JB3ZHE </t>
  </si>
  <si>
    <t xml:space="preserve">KB3B 2627407 CE3ZHE </t>
  </si>
  <si>
    <t xml:space="preserve">PNL ASY RR DR TR LH           </t>
  </si>
  <si>
    <t>DFTST</t>
  </si>
  <si>
    <t>P100L</t>
  </si>
  <si>
    <t xml:space="preserve">DET850109BU0A07N00R </t>
  </si>
  <si>
    <t xml:space="preserve">H61P RR TOP PLT FD RH-ROW 256 </t>
  </si>
  <si>
    <t>H61</t>
  </si>
  <si>
    <t xml:space="preserve">DET850109BU0A08N00L </t>
  </si>
  <si>
    <t>H61P RR TOP PLE FRMD L-ROW 257</t>
  </si>
  <si>
    <t xml:space="preserve">DET850109BU0A09N00R </t>
  </si>
  <si>
    <t>H61P RR OTR BRC FRMD R-ROW 258</t>
  </si>
  <si>
    <t xml:space="preserve">DET850109BU0A10N00L </t>
  </si>
  <si>
    <t>H61P RR OTR BRC FRMD L-ROW 259</t>
  </si>
  <si>
    <t>P1100</t>
  </si>
  <si>
    <t xml:space="preserve">DET21109A84A        </t>
  </si>
  <si>
    <t xml:space="preserve">GST FLR PAN RR C/M REINF      </t>
  </si>
  <si>
    <t xml:space="preserve">DET21410A48A        </t>
  </si>
  <si>
    <t xml:space="preserve">PLT RR CNR INR RR RKR         </t>
  </si>
  <si>
    <t xml:space="preserve">DET21410A49A        </t>
  </si>
  <si>
    <t xml:space="preserve">DET26107K40A        </t>
  </si>
  <si>
    <t xml:space="preserve">REINF MBR RR FLR CS FRT       </t>
  </si>
  <si>
    <t xml:space="preserve">DET26108A70A        </t>
  </si>
  <si>
    <t xml:space="preserve">EXT RR FLR CS RR LWR MBR      </t>
  </si>
  <si>
    <t xml:space="preserve">DET26108A71A        </t>
  </si>
  <si>
    <t xml:space="preserve">EXT RR FLR CS RR LWR MBR LH   </t>
  </si>
  <si>
    <t xml:space="preserve">DET26243B12A        </t>
  </si>
  <si>
    <t xml:space="preserve">REINF RKR PNL INR             </t>
  </si>
  <si>
    <t xml:space="preserve">DET26243B13A        </t>
  </si>
  <si>
    <t xml:space="preserve">REINF RKR PNL INR LH          </t>
  </si>
  <si>
    <t xml:space="preserve">DET2640506A         </t>
  </si>
  <si>
    <t xml:space="preserve">REINF UPR BK I/S PNL          </t>
  </si>
  <si>
    <t xml:space="preserve">DET2650840A         </t>
  </si>
  <si>
    <t xml:space="preserve">REINF RF PNL RR CTR           </t>
  </si>
  <si>
    <t xml:space="preserve">DET26625A64A        </t>
  </si>
  <si>
    <t xml:space="preserve">REINF RR ST TO FLR SUPT       </t>
  </si>
  <si>
    <t xml:space="preserve">DET68424074         </t>
  </si>
  <si>
    <t>WL REAR SHEAR PLATE MTG OTR RT</t>
  </si>
  <si>
    <t xml:space="preserve">WL </t>
  </si>
  <si>
    <t xml:space="preserve">DET68424075         </t>
  </si>
  <si>
    <t>WL REAR SHEAR PLATE MTG OTR LT</t>
  </si>
  <si>
    <t xml:space="preserve">DET68431601         </t>
  </si>
  <si>
    <t xml:space="preserve">WL BRKT SUP CNT BEARING LT    </t>
  </si>
  <si>
    <t xml:space="preserve">DET68436048         </t>
  </si>
  <si>
    <t xml:space="preserve">WL BRACKET - SUPPORT RT       </t>
  </si>
  <si>
    <t xml:space="preserve">DET68436049         </t>
  </si>
  <si>
    <t xml:space="preserve">WL BRACKET - SUPPORT LT       </t>
  </si>
  <si>
    <t xml:space="preserve">DET8A297PIA03OS     </t>
  </si>
  <si>
    <t xml:space="preserve">U625 HYBRID CRSS MBR CNT BRK  </t>
  </si>
  <si>
    <t>625</t>
  </si>
  <si>
    <t xml:space="preserve">DETE10792B          </t>
  </si>
  <si>
    <t xml:space="preserve">P703 REINF RR FLR CS RR SL    </t>
  </si>
  <si>
    <t xml:space="preserve">DETE10832A          </t>
  </si>
  <si>
    <t xml:space="preserve">P703 REINF RR FLR CS #2       </t>
  </si>
  <si>
    <t xml:space="preserve">DETE200B62A         </t>
  </si>
  <si>
    <t xml:space="preserve">P703 REINF FRT PLR UPR        </t>
  </si>
  <si>
    <t xml:space="preserve">DETE200B63A         </t>
  </si>
  <si>
    <t xml:space="preserve">P703 REINF FRT PLR UPR LH     </t>
  </si>
  <si>
    <t xml:space="preserve">DETE279A30C         </t>
  </si>
  <si>
    <t>P703 SUPT BDY SD PNL TO FLR RR</t>
  </si>
  <si>
    <t xml:space="preserve">DETE279A31C         </t>
  </si>
  <si>
    <t xml:space="preserve">DETE40364B          </t>
  </si>
  <si>
    <t xml:space="preserve">P703 GST RR CNR PLR           </t>
  </si>
  <si>
    <t xml:space="preserve">DETE40365B          </t>
  </si>
  <si>
    <t xml:space="preserve">P703 GST RR CNR PLR LH        </t>
  </si>
  <si>
    <t xml:space="preserve">DETE410A36AA        </t>
  </si>
  <si>
    <t xml:space="preserve">P703 EXT RR CNR INR PLR RR    </t>
  </si>
  <si>
    <t xml:space="preserve">DETE410A36B         </t>
  </si>
  <si>
    <t xml:space="preserve">DETE410A37AA        </t>
  </si>
  <si>
    <t xml:space="preserve">P703 EXT RR CNR PLR RR        </t>
  </si>
  <si>
    <t xml:space="preserve">DETE410A37B         </t>
  </si>
  <si>
    <t xml:space="preserve">DETE431F92A         </t>
  </si>
  <si>
    <t>P703 REINF TL/GT I/S PNL @ LAT</t>
  </si>
  <si>
    <t xml:space="preserve">DETE431F93A         </t>
  </si>
  <si>
    <t xml:space="preserve">P0630800            </t>
  </si>
  <si>
    <t xml:space="preserve">DT CRUSH CAN RH               </t>
  </si>
  <si>
    <t xml:space="preserve">P0630900            </t>
  </si>
  <si>
    <t xml:space="preserve">DT CRUSH CAN LH               </t>
  </si>
  <si>
    <t>P2000</t>
  </si>
  <si>
    <t xml:space="preserve">DET68425109B        </t>
  </si>
  <si>
    <t xml:space="preserve">WL BRKT CARGO RAIL FRT RT     </t>
  </si>
  <si>
    <t xml:space="preserve">DET68425118B        </t>
  </si>
  <si>
    <t xml:space="preserve">WL BRKT CARGO RAIL FRT LT     </t>
  </si>
  <si>
    <t xml:space="preserve">DET68648250AA       </t>
  </si>
  <si>
    <t xml:space="preserve">LB REINF HATCH LATCH          </t>
  </si>
  <si>
    <t xml:space="preserve">LB </t>
  </si>
  <si>
    <t xml:space="preserve">KB3B 2150840 AC     </t>
  </si>
  <si>
    <t xml:space="preserve">PC24957A            </t>
  </si>
  <si>
    <t xml:space="preserve">WL REINF SHOCK MTG RR         </t>
  </si>
  <si>
    <t xml:space="preserve">PC24958A            </t>
  </si>
  <si>
    <t xml:space="preserve">PC24959A            </t>
  </si>
  <si>
    <t xml:space="preserve">WL REINF D PILLAR LWR         </t>
  </si>
  <si>
    <t xml:space="preserve">PC24960A            </t>
  </si>
  <si>
    <t xml:space="preserve">PC26172B            </t>
  </si>
  <si>
    <t xml:space="preserve">WL SUP CNT BEARING B          </t>
  </si>
  <si>
    <t xml:space="preserve">PC26550A            </t>
  </si>
  <si>
    <t xml:space="preserve">PC26551A            </t>
  </si>
  <si>
    <t xml:space="preserve">PC30481C            </t>
  </si>
  <si>
    <t xml:space="preserve">WL PANEL CLOSEOUT             </t>
  </si>
  <si>
    <t xml:space="preserve">PC30482A            </t>
  </si>
  <si>
    <t>WL PNL RR RAIL EXT RT  ROW 430</t>
  </si>
  <si>
    <t xml:space="preserve">PC30483A            </t>
  </si>
  <si>
    <t xml:space="preserve">WL PNL RR RAIL EXT RT-        </t>
  </si>
  <si>
    <t xml:space="preserve">PC31587B            </t>
  </si>
  <si>
    <t>WL CSMBR RR KIK UP UPR-ROW 435</t>
  </si>
  <si>
    <t xml:space="preserve">PC31592A            </t>
  </si>
  <si>
    <t xml:space="preserve">WL MID TUNNEL RINF RT         </t>
  </si>
  <si>
    <t xml:space="preserve">PC31593A            </t>
  </si>
  <si>
    <t xml:space="preserve">WL MID TUNNEL REINF LT        </t>
  </si>
  <si>
    <t>P2200</t>
  </si>
  <si>
    <t xml:space="preserve">CON68566220AA       </t>
  </si>
  <si>
    <t xml:space="preserve">DT BUMPER BRACKET RH          </t>
  </si>
  <si>
    <t xml:space="preserve">CON68566221AA       </t>
  </si>
  <si>
    <t xml:space="preserve">DT BUMPER BRACKET LH          </t>
  </si>
  <si>
    <t xml:space="preserve">DET10723APIA02      </t>
  </si>
  <si>
    <t xml:space="preserve">P703 BAT TRY                  </t>
  </si>
  <si>
    <t xml:space="preserve">DET2102892MB        </t>
  </si>
  <si>
    <t xml:space="preserve">P703 BRKT CWL TOP TO DH       </t>
  </si>
  <si>
    <t xml:space="preserve">DET2610706A         </t>
  </si>
  <si>
    <t xml:space="preserve">EXT RR FLR CS RR MBR          </t>
  </si>
  <si>
    <t xml:space="preserve">DET2610707A         </t>
  </si>
  <si>
    <t xml:space="preserve">EXT RR FLR CS RR MBR LH       </t>
  </si>
  <si>
    <t xml:space="preserve">DET2611150A         </t>
  </si>
  <si>
    <t xml:space="preserve">REINF RR FLR PAN RR           </t>
  </si>
  <si>
    <t xml:space="preserve">DET2611151A         </t>
  </si>
  <si>
    <t xml:space="preserve">REINF RR FLR PAN RR LH        </t>
  </si>
  <si>
    <t xml:space="preserve">DET26281A30AC       </t>
  </si>
  <si>
    <t xml:space="preserve">PNL BDY LK PLR                </t>
  </si>
  <si>
    <t xml:space="preserve">DET26281A31AC       </t>
  </si>
  <si>
    <t xml:space="preserve">DET5810202          </t>
  </si>
  <si>
    <t xml:space="preserve">P703 REINF FLR SD FRT MBR R   </t>
  </si>
  <si>
    <t xml:space="preserve">DET5810203          </t>
  </si>
  <si>
    <t xml:space="preserve">DET5810738A         </t>
  </si>
  <si>
    <t xml:space="preserve">P703 MBR FRT FLR CS #3        </t>
  </si>
  <si>
    <t xml:space="preserve">DET5810739A         </t>
  </si>
  <si>
    <t xml:space="preserve">P703 MBR FRT FLR CS #3 LH     </t>
  </si>
  <si>
    <t xml:space="preserve">DET5810776          </t>
  </si>
  <si>
    <t xml:space="preserve">P703/U725 MBR FRT FLR CS #1   </t>
  </si>
  <si>
    <t xml:space="preserve">DET5810777          </t>
  </si>
  <si>
    <t xml:space="preserve">DET58112C04A        </t>
  </si>
  <si>
    <t xml:space="preserve">P703 PLT RR ST MTNG           </t>
  </si>
  <si>
    <t xml:space="preserve">DET58112C05A        </t>
  </si>
  <si>
    <t xml:space="preserve">P703 PLT RR ST MTNG LH        </t>
  </si>
  <si>
    <t xml:space="preserve">DET58112K76A        </t>
  </si>
  <si>
    <t xml:space="preserve">P703 PLT FRT ST MTNG RR       </t>
  </si>
  <si>
    <t xml:space="preserve">DET58112K77A        </t>
  </si>
  <si>
    <t xml:space="preserve">DETBR5B018OS        </t>
  </si>
  <si>
    <t xml:space="preserve">U725 PLT FR FRT C/M ROW 901   </t>
  </si>
  <si>
    <t xml:space="preserve">DETE200L76A         </t>
  </si>
  <si>
    <t xml:space="preserve">P703 BRKT BDY SD STE RR RH    </t>
  </si>
  <si>
    <t xml:space="preserve">DETE200L77A         </t>
  </si>
  <si>
    <t xml:space="preserve">P703 BRKT BDY SD STE RR LH    </t>
  </si>
  <si>
    <t xml:space="preserve">DETE281A30AA        </t>
  </si>
  <si>
    <t xml:space="preserve">P703 PNL BDY LK PLR           </t>
  </si>
  <si>
    <t xml:space="preserve">DETE281A31AA        </t>
  </si>
  <si>
    <t xml:space="preserve">DETE286G50A         </t>
  </si>
  <si>
    <t xml:space="preserve">P703 BRKT PROT PRTN P/U BOX   </t>
  </si>
  <si>
    <t xml:space="preserve">DETE403C96A         </t>
  </si>
  <si>
    <t>P703 MBR BDY RR CS NEW PART EC</t>
  </si>
  <si>
    <t xml:space="preserve">MB3B 21016A23 AA    </t>
  </si>
  <si>
    <t xml:space="preserve">P703 REINF D/PNL LH INR       </t>
  </si>
  <si>
    <t xml:space="preserve">N1WB E20170 AA      </t>
  </si>
  <si>
    <t xml:space="preserve">P703 REINF DR RR FR           </t>
  </si>
  <si>
    <t xml:space="preserve">N1WB E20171 AA      </t>
  </si>
  <si>
    <t xml:space="preserve">N1WB E26290 BA      </t>
  </si>
  <si>
    <t xml:space="preserve">P703 REINF TL/GT INR TO OTR   </t>
  </si>
  <si>
    <t xml:space="preserve">N1WB E26291 BA      </t>
  </si>
  <si>
    <t xml:space="preserve">N1WB E41624 AC      </t>
  </si>
  <si>
    <t xml:space="preserve">P703 RNF TL/GT INR TO OTR PNL </t>
  </si>
  <si>
    <t>P2751</t>
  </si>
  <si>
    <t xml:space="preserve">84533245            </t>
  </si>
  <si>
    <t xml:space="preserve">T1XX PNL PUBX W/H FRT LH      </t>
  </si>
  <si>
    <t xml:space="preserve">84533246            </t>
  </si>
  <si>
    <t xml:space="preserve">T1XX PNL PUBX W/H FRT RH      </t>
  </si>
  <si>
    <t xml:space="preserve">84643220            </t>
  </si>
  <si>
    <t xml:space="preserve">T1XX PNL PUBX W/H RR LH       </t>
  </si>
  <si>
    <t xml:space="preserve">84643221            </t>
  </si>
  <si>
    <t xml:space="preserve">T1XX PNL PUBX W/H RR RH       </t>
  </si>
  <si>
    <t xml:space="preserve">DET2102220AF        </t>
  </si>
  <si>
    <t xml:space="preserve">P703 PNL CWL SD INR           </t>
  </si>
  <si>
    <t xml:space="preserve">DET2102221AE        </t>
  </si>
  <si>
    <t xml:space="preserve">P703 PNL CWL SD INR LH        </t>
  </si>
  <si>
    <t xml:space="preserve">DET21025A62CB       </t>
  </si>
  <si>
    <t xml:space="preserve">P703 PNL CWL TOP INR RR       </t>
  </si>
  <si>
    <t xml:space="preserve">DET2110782A         </t>
  </si>
  <si>
    <t xml:space="preserve">MBR RR FLR CS                 </t>
  </si>
  <si>
    <t xml:space="preserve">DET2610116A         </t>
  </si>
  <si>
    <t xml:space="preserve">MBR FLR SD INR                </t>
  </si>
  <si>
    <t xml:space="preserve">DET2610117A         </t>
  </si>
  <si>
    <t xml:space="preserve">DET68612898AC       </t>
  </si>
  <si>
    <t xml:space="preserve">LB REINF D-PILLAR RH          </t>
  </si>
  <si>
    <t xml:space="preserve">DET68612899AC       </t>
  </si>
  <si>
    <t xml:space="preserve">LB REINF D-PILLAR LH          </t>
  </si>
  <si>
    <t xml:space="preserve">DETE10522B          </t>
  </si>
  <si>
    <t xml:space="preserve">P703 REINF FLR SD RR INR MBR  </t>
  </si>
  <si>
    <t xml:space="preserve">DETE10665A          </t>
  </si>
  <si>
    <t xml:space="preserve">P703 SL RR FLR CS #2          </t>
  </si>
  <si>
    <t xml:space="preserve">DETE10766CE         </t>
  </si>
  <si>
    <t xml:space="preserve">P703 MBR CTR FLR CS           </t>
  </si>
  <si>
    <t xml:space="preserve">DETE279D58AA        </t>
  </si>
  <si>
    <t xml:space="preserve">P703 REINF ASYBOX T/DWN HK RH </t>
  </si>
  <si>
    <t xml:space="preserve">DETE279D59AA        </t>
  </si>
  <si>
    <t xml:space="preserve">DETE28562B          </t>
  </si>
  <si>
    <t xml:space="preserve">P703 RL P/U BOX O/S RH        </t>
  </si>
  <si>
    <t xml:space="preserve">DETE28563B          </t>
  </si>
  <si>
    <t xml:space="preserve">P703 RL P/U BOX O/S LH        </t>
  </si>
  <si>
    <t xml:space="preserve">DETE403B48AB        </t>
  </si>
  <si>
    <t xml:space="preserve">P703 REINF BK PNL UPR         </t>
  </si>
  <si>
    <t xml:space="preserve">DETE41022B          </t>
  </si>
  <si>
    <t xml:space="preserve">P703 PLR RR CNR LWR           </t>
  </si>
  <si>
    <t xml:space="preserve">DETE41023B          </t>
  </si>
  <si>
    <t xml:space="preserve">P703 PLR RR CNR LWR LH        </t>
  </si>
  <si>
    <t xml:space="preserve">DETE41040B          </t>
  </si>
  <si>
    <t xml:space="preserve">DETE41041B          </t>
  </si>
  <si>
    <t xml:space="preserve">DETE41058A          </t>
  </si>
  <si>
    <t xml:space="preserve">P703 REINF RR CNR OTR PLR LWR </t>
  </si>
  <si>
    <t xml:space="preserve">DETE41058AB         </t>
  </si>
  <si>
    <t xml:space="preserve">DETE41059A          </t>
  </si>
  <si>
    <t xml:space="preserve">DETE41059AB         </t>
  </si>
  <si>
    <t xml:space="preserve">DETE502P34A         </t>
  </si>
  <si>
    <t xml:space="preserve">P703 REINF RF SLD PNL FR CTR  </t>
  </si>
  <si>
    <t xml:space="preserve">DETS109A26OS        </t>
  </si>
  <si>
    <t xml:space="preserve">U725 BM ASY BMPR FRT          </t>
  </si>
  <si>
    <t xml:space="preserve">DETS67110           </t>
  </si>
  <si>
    <t xml:space="preserve">U725 BELT SHELF INNER         </t>
  </si>
  <si>
    <t xml:space="preserve">DETS67111           </t>
  </si>
  <si>
    <t xml:space="preserve">U725 BELT SHELF INNER LH      </t>
  </si>
  <si>
    <t xml:space="preserve">DETX67110           </t>
  </si>
  <si>
    <t xml:space="preserve">DETX67111           </t>
  </si>
  <si>
    <t xml:space="preserve">U725  BELT SHELF INNER  LH    </t>
  </si>
  <si>
    <t xml:space="preserve">N1WB E03410 AA      </t>
  </si>
  <si>
    <t xml:space="preserve">P703 PNL W/SHLD HDR INR       </t>
  </si>
  <si>
    <t xml:space="preserve">N1WB E22868 CB      </t>
  </si>
  <si>
    <t xml:space="preserve">P703 REINF DR HGE ON DR       </t>
  </si>
  <si>
    <t xml:space="preserve">N1WB E22869 CB      </t>
  </si>
  <si>
    <t xml:space="preserve">N1WB E268A04 CB     </t>
  </si>
  <si>
    <t xml:space="preserve">P703 REINF ASY RR DR HGE      </t>
  </si>
  <si>
    <t xml:space="preserve">N1WB E268A05 CB     </t>
  </si>
  <si>
    <t xml:space="preserve">PC30188E            </t>
  </si>
  <si>
    <t xml:space="preserve">WL PNL RR FRT RT              </t>
  </si>
  <si>
    <t xml:space="preserve">PC30189E            </t>
  </si>
  <si>
    <t xml:space="preserve">WL PNL RR FRT LT              </t>
  </si>
  <si>
    <t xml:space="preserve">PC30466B            </t>
  </si>
  <si>
    <t xml:space="preserve">WL D PILLAR GUSSET RT         </t>
  </si>
  <si>
    <t xml:space="preserve">PC30467B            </t>
  </si>
  <si>
    <t xml:space="preserve">WL D PILLAR GUSSET LT         </t>
  </si>
  <si>
    <t xml:space="preserve">PUR58101B50 B       </t>
  </si>
  <si>
    <t xml:space="preserve">U725 GTS FLR RR MBR R-ROW 902 </t>
  </si>
  <si>
    <t xml:space="preserve">PUR58101B51 B       </t>
  </si>
  <si>
    <t xml:space="preserve">U725 GTS FLR RR MBR L-ROW 903 </t>
  </si>
  <si>
    <t xml:space="preserve">PUR5810780 A        </t>
  </si>
  <si>
    <t xml:space="preserve">U725 MTR RR CS UPR    ROW 904 </t>
  </si>
  <si>
    <t xml:space="preserve">PUR58107A96 A       </t>
  </si>
  <si>
    <t xml:space="preserve">U725 MBR FRT FLR CS R-ROW 907 </t>
  </si>
  <si>
    <t xml:space="preserve">PUR58107A97 A       </t>
  </si>
  <si>
    <t xml:space="preserve">U725 MBR FRT FLR CS L-ROW 911 </t>
  </si>
  <si>
    <t xml:space="preserve">PUR58112A56 A       </t>
  </si>
  <si>
    <t xml:space="preserve">U725 REINF FLR PAN N3 ROW 905 </t>
  </si>
  <si>
    <t xml:space="preserve">PUR58112A57 A       </t>
  </si>
  <si>
    <t xml:space="preserve">U725 REINF FLR PAN N3-ROW 906 </t>
  </si>
  <si>
    <t xml:space="preserve">R68371878-9AA       </t>
  </si>
  <si>
    <t xml:space="preserve">DT CRUSH CAN MATERIAL PART    </t>
  </si>
  <si>
    <t>P2752</t>
  </si>
  <si>
    <t xml:space="preserve">C0240202            </t>
  </si>
  <si>
    <t xml:space="preserve">T1XX CC EXT BRKT RH           </t>
  </si>
  <si>
    <t xml:space="preserve">C0240302            </t>
  </si>
  <si>
    <t xml:space="preserve">T1XX CC EXT BRKT LH           </t>
  </si>
  <si>
    <t xml:space="preserve">C0240801            </t>
  </si>
  <si>
    <t xml:space="preserve">T1XX DC EXT BRKT RH           </t>
  </si>
  <si>
    <t xml:space="preserve">C0240901            </t>
  </si>
  <si>
    <t xml:space="preserve">T1XX DC EXT BRKT LH           </t>
  </si>
  <si>
    <t xml:space="preserve">DET2141041A         </t>
  </si>
  <si>
    <t xml:space="preserve">PLR RR CNR LWR LH             </t>
  </si>
  <si>
    <t xml:space="preserve">DET2610130A         </t>
  </si>
  <si>
    <t xml:space="preserve">PNL BDY RKR                   </t>
  </si>
  <si>
    <t xml:space="preserve">DET2610131A         </t>
  </si>
  <si>
    <t xml:space="preserve">PNL BDY RKR LH                </t>
  </si>
  <si>
    <t xml:space="preserve">DET26104A98MB       </t>
  </si>
  <si>
    <t xml:space="preserve">P703 MBR FLR SD CTR           </t>
  </si>
  <si>
    <t xml:space="preserve">DET26104A99MB       </t>
  </si>
  <si>
    <t xml:space="preserve">DET2611218A         </t>
  </si>
  <si>
    <t xml:space="preserve">PAN RR FLR FRT                </t>
  </si>
  <si>
    <t xml:space="preserve">DET26613E42A        </t>
  </si>
  <si>
    <t>REINF RR ST BK TO FLR OTR SUPT</t>
  </si>
  <si>
    <t xml:space="preserve">DET26613E43A        </t>
  </si>
  <si>
    <t xml:space="preserve">DET58111K36         </t>
  </si>
  <si>
    <t xml:space="preserve">U725 REINF FLR TNL            </t>
  </si>
  <si>
    <t xml:space="preserve">DETE41212A          </t>
  </si>
  <si>
    <t xml:space="preserve">P703 PLR RR BDY INR           </t>
  </si>
  <si>
    <t xml:space="preserve">DETE41212AA         </t>
  </si>
  <si>
    <t xml:space="preserve">DETE41213A          </t>
  </si>
  <si>
    <t xml:space="preserve">DETE41213AA         </t>
  </si>
  <si>
    <t xml:space="preserve">DETE513D20A         </t>
  </si>
  <si>
    <t xml:space="preserve">P703 REINF ASY RF SD          </t>
  </si>
  <si>
    <t xml:space="preserve">DETE513D21A         </t>
  </si>
  <si>
    <t xml:space="preserve">P703 REINF ASY RF SD LH       </t>
  </si>
  <si>
    <t xml:space="preserve">PC02220             </t>
  </si>
  <si>
    <t>U725 REINF D/PNL BRK -ROW 147A</t>
  </si>
  <si>
    <t xml:space="preserve">PC02221             </t>
  </si>
  <si>
    <t>U725 REINF D/PNL BRKL-ROW 146A</t>
  </si>
  <si>
    <t xml:space="preserve">PUR61103B44 A       </t>
  </si>
  <si>
    <t xml:space="preserve">U725 MBR RR CS UPR            </t>
  </si>
  <si>
    <t>P2753</t>
  </si>
  <si>
    <t xml:space="preserve">DPCBEI82073G00R     </t>
  </si>
  <si>
    <t>T1XX RR 13.4K HTCH STAY BKT RH</t>
  </si>
  <si>
    <t xml:space="preserve">DPCBEI82076G00L     </t>
  </si>
  <si>
    <t>T1XX RR 13.4K HTCH STAY BKT LH</t>
  </si>
  <si>
    <t xml:space="preserve">ST17210352AA        </t>
  </si>
  <si>
    <t xml:space="preserve">P702 ML3V 19D521 D -ROW 242   </t>
  </si>
  <si>
    <t xml:space="preserve">P441 </t>
  </si>
  <si>
    <t xml:space="preserve">DET10723DPIA02      </t>
  </si>
  <si>
    <t xml:space="preserve">P703 SUPT BAT TRY FRT LH      </t>
  </si>
  <si>
    <t xml:space="preserve">DET16152B           </t>
  </si>
  <si>
    <t xml:space="preserve">P703 SUPT RAD LWR BRKT        </t>
  </si>
  <si>
    <t xml:space="preserve">DET16153B           </t>
  </si>
  <si>
    <t xml:space="preserve">P703 SUPT RAD LWR BRKT LH     </t>
  </si>
  <si>
    <t xml:space="preserve">DET16D600A          </t>
  </si>
  <si>
    <t xml:space="preserve">REINF HOD LFT                 </t>
  </si>
  <si>
    <t xml:space="preserve">DET16D601A          </t>
  </si>
  <si>
    <t xml:space="preserve">REINF HOD LFT LH              </t>
  </si>
  <si>
    <t xml:space="preserve">DET17A040A          </t>
  </si>
  <si>
    <t xml:space="preserve">P703 JACK BRCKT               </t>
  </si>
  <si>
    <t xml:space="preserve">DET21022A06MB       </t>
  </si>
  <si>
    <t xml:space="preserve">P703 REINF CWL TOP INR PNL    </t>
  </si>
  <si>
    <t xml:space="preserve">DET21023A40MB       </t>
  </si>
  <si>
    <t xml:space="preserve">P703 BRA CWL TOP INR PNL      </t>
  </si>
  <si>
    <t xml:space="preserve">DET21023A41A        </t>
  </si>
  <si>
    <t xml:space="preserve">BRA CWL TOP INR               </t>
  </si>
  <si>
    <t xml:space="preserve">DET2102428A         </t>
  </si>
  <si>
    <t xml:space="preserve">P703 BRA CWL TOP OTR PNL      </t>
  </si>
  <si>
    <t xml:space="preserve">DET21024A68A        </t>
  </si>
  <si>
    <t xml:space="preserve">P703 BRKT CWL SD DLCM         </t>
  </si>
  <si>
    <t xml:space="preserve">DET2102544A         </t>
  </si>
  <si>
    <t xml:space="preserve">P703 BRKT FRT BDY PLR TO FLR  </t>
  </si>
  <si>
    <t xml:space="preserve">DET21044C30MB       </t>
  </si>
  <si>
    <t xml:space="preserve">P703 BRKT I/PNL TO CWL TOP IN </t>
  </si>
  <si>
    <t xml:space="preserve">DET21108A60BPIA01   </t>
  </si>
  <si>
    <t xml:space="preserve">BRACKET 1                     </t>
  </si>
  <si>
    <t xml:space="preserve">DET21108A60BPIA03   </t>
  </si>
  <si>
    <t xml:space="preserve">BRACKET 2                     </t>
  </si>
  <si>
    <t xml:space="preserve">DET2116386A         </t>
  </si>
  <si>
    <t xml:space="preserve">BRKT RR RNDR MTNG UPR         </t>
  </si>
  <si>
    <t xml:space="preserve">DET26103B60A        </t>
  </si>
  <si>
    <t xml:space="preserve">PLT RR FLR S/M                </t>
  </si>
  <si>
    <t xml:space="preserve">DET26103B60B        </t>
  </si>
  <si>
    <t xml:space="preserve">DET26106A58A        </t>
  </si>
  <si>
    <t xml:space="preserve">BRKT RR FLR C/M               </t>
  </si>
  <si>
    <t xml:space="preserve">DET2611753A         </t>
  </si>
  <si>
    <t xml:space="preserve">BRKT FLR PAN CTR              </t>
  </si>
  <si>
    <t xml:space="preserve">DET2613110A         </t>
  </si>
  <si>
    <t>FILL RR FLR TO R RR ST SUT RIS</t>
  </si>
  <si>
    <t xml:space="preserve">DET26605A40A        </t>
  </si>
  <si>
    <t xml:space="preserve">PLT RR ST ANC                 </t>
  </si>
  <si>
    <t xml:space="preserve">DET26605A41A        </t>
  </si>
  <si>
    <t xml:space="preserve">DET2661270A         </t>
  </si>
  <si>
    <t xml:space="preserve">REINF RR ST BEL ANC           </t>
  </si>
  <si>
    <t xml:space="preserve">DET2661270B         </t>
  </si>
  <si>
    <t xml:space="preserve">DET2661271A         </t>
  </si>
  <si>
    <t xml:space="preserve">REINF RR ST BEL ANC LH        </t>
  </si>
  <si>
    <t xml:space="preserve">DET2661271B         </t>
  </si>
  <si>
    <t xml:space="preserve">DET3D072OS          </t>
  </si>
  <si>
    <t>U725 SHLD FRT SUSP FRT BSHG HT</t>
  </si>
  <si>
    <t xml:space="preserve">DET3D072SB3COS      </t>
  </si>
  <si>
    <t xml:space="preserve">DET58016A02         </t>
  </si>
  <si>
    <t xml:space="preserve">U725 GST D/PNL REINF          </t>
  </si>
  <si>
    <t xml:space="preserve">DET5811270          </t>
  </si>
  <si>
    <t xml:space="preserve">U725 REINF FLR PAN FRT        </t>
  </si>
  <si>
    <t xml:space="preserve">DET5811271          </t>
  </si>
  <si>
    <t xml:space="preserve">DET5F147OS          </t>
  </si>
  <si>
    <t xml:space="preserve">DET68425102         </t>
  </si>
  <si>
    <t xml:space="preserve">WL BRKT SEAT UPPR RT          </t>
  </si>
  <si>
    <t xml:space="preserve">DET68425103         </t>
  </si>
  <si>
    <t xml:space="preserve">WL BRKT SEAT UPPR LT          </t>
  </si>
  <si>
    <t xml:space="preserve">DET68426191         </t>
  </si>
  <si>
    <t xml:space="preserve">WL DOUBLER 2 ROW SEAT BELT LH </t>
  </si>
  <si>
    <t xml:space="preserve">DET68426192         </t>
  </si>
  <si>
    <t xml:space="preserve">WL DOUBLER 2 ROW SEAT BELT RH </t>
  </si>
  <si>
    <t xml:space="preserve">DET68430494         </t>
  </si>
  <si>
    <t xml:space="preserve">WL BRKT SPARE  TIRE HOLD DOWN </t>
  </si>
  <si>
    <t xml:space="preserve">DET68435702         </t>
  </si>
  <si>
    <t xml:space="preserve">WL REINF - EXHAUST HANGER ROD </t>
  </si>
  <si>
    <t xml:space="preserve">DET68586414AA       </t>
  </si>
  <si>
    <t xml:space="preserve">LB REINF - HATCH GATE PILLAR  </t>
  </si>
  <si>
    <t xml:space="preserve">DET68586415AA       </t>
  </si>
  <si>
    <t xml:space="preserve">DET68645025AA       </t>
  </si>
  <si>
    <t xml:space="preserve">DET6X37PIA1AB       </t>
  </si>
  <si>
    <t xml:space="preserve">LB Latch Strap Attach BRKT    </t>
  </si>
  <si>
    <t xml:space="preserve">DETE10786B          </t>
  </si>
  <si>
    <t xml:space="preserve">P703 MBR RR FLR CS FRT        </t>
  </si>
  <si>
    <t xml:space="preserve">DETE16386A          </t>
  </si>
  <si>
    <t xml:space="preserve">P703 BRKT RR FNDR MTNG UPR RH </t>
  </si>
  <si>
    <t xml:space="preserve">DETE16387A          </t>
  </si>
  <si>
    <t xml:space="preserve">P703 BRKT RR FNDR MTNG UPR LH </t>
  </si>
  <si>
    <t xml:space="preserve">DETE16B292B         </t>
  </si>
  <si>
    <t xml:space="preserve">P703 BRKT RR FNDR TO P/U BOX  </t>
  </si>
  <si>
    <t xml:space="preserve">DETE190995A         </t>
  </si>
  <si>
    <t xml:space="preserve">P703 BRA BDY SD PNL RR        </t>
  </si>
  <si>
    <t xml:space="preserve">DETE200B64A         </t>
  </si>
  <si>
    <t xml:space="preserve">P703 SUPT BRKT FRT PLR        </t>
  </si>
  <si>
    <t xml:space="preserve">DETE200B65A         </t>
  </si>
  <si>
    <t xml:space="preserve">P703 SUPT BRKT FRT PLR LH     </t>
  </si>
  <si>
    <t xml:space="preserve">DETE27726AC         </t>
  </si>
  <si>
    <t xml:space="preserve">DETE280K20AB        </t>
  </si>
  <si>
    <t xml:space="preserve">P703 PLT BDY SD TOP RL ANC    </t>
  </si>
  <si>
    <t xml:space="preserve">DETE280K21AB        </t>
  </si>
  <si>
    <t xml:space="preserve">P703 PLT BDY SD TOP RL ANC LH </t>
  </si>
  <si>
    <t xml:space="preserve">DETE312A48B         </t>
  </si>
  <si>
    <t xml:space="preserve">DETE40396A          </t>
  </si>
  <si>
    <t xml:space="preserve">P703 BRA BK PNL               </t>
  </si>
  <si>
    <t xml:space="preserve">DETE405K02A         </t>
  </si>
  <si>
    <t xml:space="preserve">P703 REINF FU/TNK FILL PIP    </t>
  </si>
  <si>
    <t xml:space="preserve">DETE42908A          </t>
  </si>
  <si>
    <t xml:space="preserve">P703 BRKT LFT/GT HGE          </t>
  </si>
  <si>
    <t xml:space="preserve">DETE42909A          </t>
  </si>
  <si>
    <t xml:space="preserve">P703 BRKT LFT/GT HGE LH       </t>
  </si>
  <si>
    <t xml:space="preserve">DETE43488A          </t>
  </si>
  <si>
    <t xml:space="preserve">P703 PLT TL/GT HGE ON BDY ANC </t>
  </si>
  <si>
    <t xml:space="preserve">DETE43489A          </t>
  </si>
  <si>
    <t xml:space="preserve">DETE43974A          </t>
  </si>
  <si>
    <t xml:space="preserve">P703 REINF TL/GT HNDL OPG     </t>
  </si>
  <si>
    <t xml:space="preserve">DETS517C84          </t>
  </si>
  <si>
    <t xml:space="preserve">U725 BRKT ASY RF O/S FIN PNL  </t>
  </si>
  <si>
    <t xml:space="preserve">MB3B 10723APIA04OS  </t>
  </si>
  <si>
    <t xml:space="preserve">P703 MOLD IN BRKT             </t>
  </si>
  <si>
    <t xml:space="preserve">N1WB 17C790BAOS     </t>
  </si>
  <si>
    <t xml:space="preserve">P703 BRACKET AIRDAM MTG RH    </t>
  </si>
  <si>
    <t xml:space="preserve">N1WB 17C791BAOS     </t>
  </si>
  <si>
    <t xml:space="preserve">P703 BRACKET AIRDAM MTG LH    </t>
  </si>
  <si>
    <t xml:space="preserve">PC26189A            </t>
  </si>
  <si>
    <t xml:space="preserve">WL REINF 2ND ROW SEAT         </t>
  </si>
  <si>
    <t xml:space="preserve">PC30462A            </t>
  </si>
  <si>
    <t xml:space="preserve">WL REINF TRAILER HINCH        </t>
  </si>
  <si>
    <t xml:space="preserve">PC30463A            </t>
  </si>
  <si>
    <t xml:space="preserve">PC66241A            </t>
  </si>
  <si>
    <t xml:space="preserve">WL RETAINER TPING PLT         </t>
  </si>
  <si>
    <t xml:space="preserve">REPACK85861637      </t>
  </si>
  <si>
    <t xml:space="preserve">REPACKE404D91       </t>
  </si>
  <si>
    <t xml:space="preserve">P703 BRKT INS LFT GT OTR      </t>
  </si>
  <si>
    <t xml:space="preserve">REPACKE410A42       </t>
  </si>
  <si>
    <t xml:space="preserve">P703 REINF RR CNR INR RR PLR  </t>
  </si>
  <si>
    <t xml:space="preserve">REPACKE410A43       </t>
  </si>
  <si>
    <t xml:space="preserve">P442 </t>
  </si>
  <si>
    <t xml:space="preserve">DET21403C62A        </t>
  </si>
  <si>
    <t xml:space="preserve">BRKT LWR BK PNL CTR REINF     </t>
  </si>
  <si>
    <t xml:space="preserve">DET2540338A         </t>
  </si>
  <si>
    <t xml:space="preserve">REINF LWR BK CTR PNL          </t>
  </si>
  <si>
    <t xml:space="preserve">DET26111B04A        </t>
  </si>
  <si>
    <t xml:space="preserve">BRKT RR FLR HT DEFL           </t>
  </si>
  <si>
    <t xml:space="preserve">DET26112A56A        </t>
  </si>
  <si>
    <t xml:space="preserve">REINF FLR PAN #3 BDY BLT      </t>
  </si>
  <si>
    <t xml:space="preserve">DET26112A57A        </t>
  </si>
  <si>
    <t xml:space="preserve">DET2628286A         </t>
  </si>
  <si>
    <t xml:space="preserve">PNL BK PNL ACC                </t>
  </si>
  <si>
    <t xml:space="preserve">DET2640342A         </t>
  </si>
  <si>
    <t xml:space="preserve">REINF BK PNL LWR CNR          </t>
  </si>
  <si>
    <t xml:space="preserve">DET2641726A         </t>
  </si>
  <si>
    <t xml:space="preserve">REINF BEL RL CTR BRA          </t>
  </si>
  <si>
    <t xml:space="preserve">DET2650844A         </t>
  </si>
  <si>
    <t xml:space="preserve">REINF RF PNL RR SD            </t>
  </si>
  <si>
    <t xml:space="preserve">DET2662570A         </t>
  </si>
  <si>
    <t xml:space="preserve">REINF FRT ST BEL ANC INR      </t>
  </si>
  <si>
    <t xml:space="preserve">DET5801612B         </t>
  </si>
  <si>
    <t xml:space="preserve">P703 PNL DH SD                </t>
  </si>
  <si>
    <t xml:space="preserve">DET5B852            </t>
  </si>
  <si>
    <t xml:space="preserve">DET68507882         </t>
  </si>
  <si>
    <t>WL REINF RR- SUSPENSION FRT RT</t>
  </si>
  <si>
    <t xml:space="preserve">DET68507883         </t>
  </si>
  <si>
    <t>WL REINF RR- SUSPENSION FRT LT</t>
  </si>
  <si>
    <t xml:space="preserve">DET9A762A           </t>
  </si>
  <si>
    <t xml:space="preserve">BRKT - ACEL SHFT              </t>
  </si>
  <si>
    <t xml:space="preserve">DET9D823A           </t>
  </si>
  <si>
    <t xml:space="preserve">BRKT-ACEL PDL                 </t>
  </si>
  <si>
    <t xml:space="preserve">DETBR18K586         </t>
  </si>
  <si>
    <t xml:space="preserve">U725 BRA REINF HTR PLUM CHMB  </t>
  </si>
  <si>
    <t xml:space="preserve">DETE10032A          </t>
  </si>
  <si>
    <t xml:space="preserve">P703 DOUBLER REINFORCEMENT    </t>
  </si>
  <si>
    <t xml:space="preserve">DETE279E12A         </t>
  </si>
  <si>
    <t>P703 SUPT BDY SD PNL TO WHL RH</t>
  </si>
  <si>
    <t xml:space="preserve">DETE279E13A         </t>
  </si>
  <si>
    <t>P703 SUPT BDY SD PNL TO WHL LH</t>
  </si>
  <si>
    <t xml:space="preserve">DETS28126           </t>
  </si>
  <si>
    <t xml:space="preserve">U725 BRKT ASY                 </t>
  </si>
  <si>
    <t xml:space="preserve">PUR21000K50 A       </t>
  </si>
  <si>
    <t>P375-U725 BDY REINF -ROW 446/7</t>
  </si>
  <si>
    <t xml:space="preserve">PUR2110370 A        </t>
  </si>
  <si>
    <t>P375-U725 REINF FLR IN-ROW 66A</t>
  </si>
  <si>
    <t xml:space="preserve">REPACK2101514AA     </t>
  </si>
  <si>
    <t xml:space="preserve">REPACK21016C02AA    </t>
  </si>
  <si>
    <t xml:space="preserve">REPACK26454W66AA    </t>
  </si>
  <si>
    <t xml:space="preserve">REPACK26454W66BA    </t>
  </si>
  <si>
    <t xml:space="preserve">REPACK58016B28      </t>
  </si>
  <si>
    <t>P751R</t>
  </si>
  <si>
    <t xml:space="preserve">DET8A297PIA02OS     </t>
  </si>
  <si>
    <t xml:space="preserve">U625 HYBRID CRSS MBR BKT LH   </t>
  </si>
  <si>
    <t xml:space="preserve">DET8A297PIA04OS     </t>
  </si>
  <si>
    <t xml:space="preserve">U625 HYBRID CRSS MBR BKT RH   </t>
  </si>
  <si>
    <t>P752R</t>
  </si>
  <si>
    <t xml:space="preserve">DET26111B94A        </t>
  </si>
  <si>
    <t xml:space="preserve">PLT RR FLR PAN                </t>
  </si>
  <si>
    <t xml:space="preserve">P881 </t>
  </si>
  <si>
    <t xml:space="preserve">DET10718OS          </t>
  </si>
  <si>
    <t xml:space="preserve">P703 CLMP BAT H/DWN           </t>
  </si>
  <si>
    <t xml:space="preserve">DET2101530A         </t>
  </si>
  <si>
    <t xml:space="preserve">BRKT BRK PDL SUPT             </t>
  </si>
  <si>
    <t xml:space="preserve">DET26625A65A        </t>
  </si>
  <si>
    <t xml:space="preserve">DET2K004OS          </t>
  </si>
  <si>
    <t xml:space="preserve">DET2K005OS          </t>
  </si>
  <si>
    <t xml:space="preserve">DET58111K34         </t>
  </si>
  <si>
    <t xml:space="preserve">U725 FILL FLR TNL REINF       </t>
  </si>
  <si>
    <t xml:space="preserve">DET58111K35         </t>
  </si>
  <si>
    <t xml:space="preserve">DET68586410AA       </t>
  </si>
  <si>
    <t xml:space="preserve">LB REINF HATCH HINGE          </t>
  </si>
  <si>
    <t xml:space="preserve">DET68586411AA       </t>
  </si>
  <si>
    <t xml:space="preserve">DET7P026OS          </t>
  </si>
  <si>
    <t xml:space="preserve">DETE105A88N1        </t>
  </si>
  <si>
    <t xml:space="preserve">P703 REINF RKR PNL INR R      </t>
  </si>
  <si>
    <t xml:space="preserve">DETE105A89N1        </t>
  </si>
  <si>
    <t xml:space="preserve">P703 REINF RKR PNL INR L      </t>
  </si>
  <si>
    <t xml:space="preserve">DETE106B52BA        </t>
  </si>
  <si>
    <t xml:space="preserve">P703 SL RR FLR CS RR          </t>
  </si>
  <si>
    <t xml:space="preserve">DETE410A22A         </t>
  </si>
  <si>
    <t xml:space="preserve">P703 EXT RR CNR UPR INR PLR   </t>
  </si>
  <si>
    <t xml:space="preserve">DETE410A23A         </t>
  </si>
  <si>
    <t xml:space="preserve">EXT RR CNR UPR INR PLR        </t>
  </si>
  <si>
    <t xml:space="preserve">DETS200B38OS        </t>
  </si>
  <si>
    <t xml:space="preserve">U725 ROCK RAILS RR BRKT       </t>
  </si>
  <si>
    <t xml:space="preserve">DETS444A20OS        </t>
  </si>
  <si>
    <t xml:space="preserve">U725 BRKT TL GT               </t>
  </si>
  <si>
    <t xml:space="preserve">DETX200B38OS        </t>
  </si>
  <si>
    <t xml:space="preserve">U725 ROCK RAIL SUPT DID BRKT  </t>
  </si>
  <si>
    <t xml:space="preserve">DETX200B39OS        </t>
  </si>
  <si>
    <t xml:space="preserve">M2DB S502A74 AD     </t>
  </si>
  <si>
    <t>U725 REINF RF PNL (FRT HEADER)</t>
  </si>
  <si>
    <t xml:space="preserve">M2DB X502A74 AD     </t>
  </si>
  <si>
    <t xml:space="preserve">N1WB E50291 AA      </t>
  </si>
  <si>
    <t xml:space="preserve">P703 REINF RF PNL RR          </t>
  </si>
  <si>
    <t xml:space="preserve">PC00427B            </t>
  </si>
  <si>
    <t xml:space="preserve">WL EXT PILLAR LWR CTR         </t>
  </si>
  <si>
    <t xml:space="preserve">PC26174A            </t>
  </si>
  <si>
    <t xml:space="preserve">WL CSMBR RR SUSP FRT          </t>
  </si>
  <si>
    <t xml:space="preserve">PC26175A            </t>
  </si>
  <si>
    <t xml:space="preserve">PC26590A            </t>
  </si>
  <si>
    <t xml:space="preserve">WL REINF CSMBR SUS CRA        </t>
  </si>
  <si>
    <t xml:space="preserve">PC26591A            </t>
  </si>
  <si>
    <t xml:space="preserve">WL REINF CSMBR SUS CRD        </t>
  </si>
  <si>
    <t xml:space="preserve">PC30490A            </t>
  </si>
  <si>
    <t>WL D PILLAR SHEAR PLT- ROW 59B</t>
  </si>
  <si>
    <t xml:space="preserve">PC30491A            </t>
  </si>
  <si>
    <t>WL D PILLAR SHEAR PLT- ROW 58A</t>
  </si>
  <si>
    <t xml:space="preserve">PUR61111C98 A       </t>
  </si>
  <si>
    <t>U725 REINF RR ST MTG C-ROW 910</t>
  </si>
  <si>
    <t xml:space="preserve">PURS45130 A         </t>
  </si>
  <si>
    <t>U725 D PILLAR CAP UPPR ROW 172</t>
  </si>
  <si>
    <t xml:space="preserve">PURS45131 A         </t>
  </si>
  <si>
    <t>U725 D PILLAR CAP UPPR-ROW 163</t>
  </si>
  <si>
    <t xml:space="preserve">REPACKS502D12       </t>
  </si>
  <si>
    <t xml:space="preserve">REPACKX502D12       </t>
  </si>
  <si>
    <t>P881R</t>
  </si>
  <si>
    <t xml:space="preserve">DET21101A16A        </t>
  </si>
  <si>
    <t xml:space="preserve">REINF FLR SM RR               </t>
  </si>
  <si>
    <t xml:space="preserve">DET21101A17A        </t>
  </si>
  <si>
    <t xml:space="preserve">REINF FLR SM RR LH            </t>
  </si>
  <si>
    <t xml:space="preserve">DETE104B02A         </t>
  </si>
  <si>
    <t xml:space="preserve">P703 REINF RR FLR S/M T/DWN   </t>
  </si>
  <si>
    <t>DFTWL</t>
  </si>
  <si>
    <t>70321</t>
  </si>
  <si>
    <t xml:space="preserve">MB3B 10723 AJ       </t>
  </si>
  <si>
    <t xml:space="preserve">P703 BATTERY TRAY             </t>
  </si>
  <si>
    <t xml:space="preserve">MB3B 10723 GJ       </t>
  </si>
  <si>
    <t xml:space="preserve">ARR1 </t>
  </si>
  <si>
    <t xml:space="preserve">M2DB S200B38 AC     </t>
  </si>
  <si>
    <t xml:space="preserve">U725 ROCK RAIL SUPT RR BRKT   </t>
  </si>
  <si>
    <t xml:space="preserve">M2DB X200B38 AC     </t>
  </si>
  <si>
    <t xml:space="preserve">U725 ROCK RAIL SUPT MID BRKT  </t>
  </si>
  <si>
    <t xml:space="preserve">M2DB X200B39 AC     </t>
  </si>
  <si>
    <t xml:space="preserve">CS1  </t>
  </si>
  <si>
    <t xml:space="preserve">ASYCS14A18OS        </t>
  </si>
  <si>
    <t xml:space="preserve">U725 BRKT STRUT TL GT         </t>
  </si>
  <si>
    <t>HSNW1</t>
  </si>
  <si>
    <t xml:space="preserve">ASYHS111K34W20      </t>
  </si>
  <si>
    <t>U725/P703 K34-W20 NUT WELD ASY</t>
  </si>
  <si>
    <t xml:space="preserve">ASYHS111K35W20      </t>
  </si>
  <si>
    <t>U725/P703 K35-W20 NUT WELD ASY</t>
  </si>
  <si>
    <t xml:space="preserve">ASYHS11714W16       </t>
  </si>
  <si>
    <t>P703 HS1-1714-W16-1 NUTWLD ASY</t>
  </si>
  <si>
    <t xml:space="preserve">ASYHS11B04W2        </t>
  </si>
  <si>
    <t xml:space="preserve">HS1-1B04-W2 NUT WELD SUB ASSY </t>
  </si>
  <si>
    <t xml:space="preserve">ASYHS15K02W21       </t>
  </si>
  <si>
    <t xml:space="preserve">P703 REINF FU/TNK FILL PIP MT </t>
  </si>
  <si>
    <t xml:space="preserve">ASYHS25A65W2        </t>
  </si>
  <si>
    <t xml:space="preserve">HS2-5A65-W2 NUT WELD SUB ASSY </t>
  </si>
  <si>
    <t xml:space="preserve">KB3B 16B144 AB      </t>
  </si>
  <si>
    <t xml:space="preserve">SERVICE-BDY ASY FRT FNDR INR  </t>
  </si>
  <si>
    <t>HSNW2</t>
  </si>
  <si>
    <t xml:space="preserve">ASYHS20777W14P703   </t>
  </si>
  <si>
    <t xml:space="preserve">P703 NUT WELD SUB ASSY        </t>
  </si>
  <si>
    <t xml:space="preserve">ASYHS24B02W21W22    </t>
  </si>
  <si>
    <t xml:space="preserve">P703 HS2-4B02-W21-W22 NUT WLD </t>
  </si>
  <si>
    <t xml:space="preserve">ASYHS30776W14P703   </t>
  </si>
  <si>
    <t>HSNW3</t>
  </si>
  <si>
    <t xml:space="preserve">ASYHS31212W9        </t>
  </si>
  <si>
    <t xml:space="preserve">P703 HS3-1212-W9 NUT WELD ASY </t>
  </si>
  <si>
    <t xml:space="preserve">ASYHS31213W8        </t>
  </si>
  <si>
    <t xml:space="preserve">P703 HS3-1213-W8 NUT WELD ASY </t>
  </si>
  <si>
    <t xml:space="preserve">ASYHS34A68W163      </t>
  </si>
  <si>
    <t xml:space="preserve">P703 NUT WELD SUB ASY         </t>
  </si>
  <si>
    <t xml:space="preserve">ASYHS3E41212W9      </t>
  </si>
  <si>
    <t xml:space="preserve">ASYHS3E41213W8      </t>
  </si>
  <si>
    <t xml:space="preserve">ASYHS60B62W22       </t>
  </si>
  <si>
    <t xml:space="preserve">ASYHS60B63W21       </t>
  </si>
  <si>
    <t xml:space="preserve">P703 NUT WELD SUB ASSY LH     </t>
  </si>
  <si>
    <t xml:space="preserve">ASYHS69A30W15P703   </t>
  </si>
  <si>
    <t>P703 HS6-9A30-W15 NUT WELD ASY</t>
  </si>
  <si>
    <t xml:space="preserve">ASYHS69A31W15P703   </t>
  </si>
  <si>
    <t>P703 HS6-9A31-W15 NUT WELD ASY</t>
  </si>
  <si>
    <t>HSNW4</t>
  </si>
  <si>
    <t xml:space="preserve">ASYHS40522W21W22    </t>
  </si>
  <si>
    <t>P703 HS4 0522 W21W22  WELD ASY</t>
  </si>
  <si>
    <t xml:space="preserve">ASYHS40L76W22       </t>
  </si>
  <si>
    <t xml:space="preserve">P703 HS4 0L76 NUT WELD        </t>
  </si>
  <si>
    <t xml:space="preserve">ASYHS40L77W21       </t>
  </si>
  <si>
    <t xml:space="preserve">ASYHS46386W16       </t>
  </si>
  <si>
    <t xml:space="preserve">P703 HS4 6386 W16 NUT WELD    </t>
  </si>
  <si>
    <t xml:space="preserve">ASYHS46387W16       </t>
  </si>
  <si>
    <t xml:space="preserve">P703 HS4 6386 NUT WELD        </t>
  </si>
  <si>
    <t xml:space="preserve">ASYHS49D58W16       </t>
  </si>
  <si>
    <t>P703 HS4 9D58 W22 NUT SUB ASSY</t>
  </si>
  <si>
    <t xml:space="preserve">ASYHS49D59W16       </t>
  </si>
  <si>
    <t>P703 HS4 9D59 W21 NUT SUB ASSY</t>
  </si>
  <si>
    <t>HSNW5</t>
  </si>
  <si>
    <t xml:space="preserve">ASYHS52C04W16P703   </t>
  </si>
  <si>
    <t xml:space="preserve">P703 HS5-2C04-W16 NUT WELD    </t>
  </si>
  <si>
    <t xml:space="preserve">ASYHS52C05W16P703   </t>
  </si>
  <si>
    <t xml:space="preserve">P703 HS5-2C05-W16 NUT WELD    </t>
  </si>
  <si>
    <t xml:space="preserve">ASYHS52K76W16P703   </t>
  </si>
  <si>
    <t>P703 HS5-2K76-W16 NUT WELD ASY</t>
  </si>
  <si>
    <t xml:space="preserve">ASYHS52K77W16P703   </t>
  </si>
  <si>
    <t>P703 HS5-2K77-W16 NUT WELD ASY</t>
  </si>
  <si>
    <t>HSNW6</t>
  </si>
  <si>
    <t xml:space="preserve">ASYHS54366W16       </t>
  </si>
  <si>
    <t xml:space="preserve">P703 HS5 4367 W16 NUTWLD ASY  </t>
  </si>
  <si>
    <t xml:space="preserve">ASYHS54367W16       </t>
  </si>
  <si>
    <t xml:space="preserve">ASYHS61022W22       </t>
  </si>
  <si>
    <t xml:space="preserve">P703 HS6 1022 W22 NUT WLD     </t>
  </si>
  <si>
    <t xml:space="preserve">ASYHS61023W21       </t>
  </si>
  <si>
    <t xml:space="preserve">P703 HS6 1023 W21 NUT WLD ASY </t>
  </si>
  <si>
    <t xml:space="preserve">ASYHS61A30W9        </t>
  </si>
  <si>
    <t xml:space="preserve">HS6-1A30-W8 NUT WELD SUB ASS  </t>
  </si>
  <si>
    <t xml:space="preserve">ASYHS61A30W9AA      </t>
  </si>
  <si>
    <t xml:space="preserve">P703 HS6-1A30-W9 NUT WELD SUB </t>
  </si>
  <si>
    <t xml:space="preserve">ASYHS61A31W8        </t>
  </si>
  <si>
    <t xml:space="preserve">HS6-1A31-W9 NUT WELD SUB ASS  </t>
  </si>
  <si>
    <t xml:space="preserve">ASYHS61A31W8AA      </t>
  </si>
  <si>
    <t xml:space="preserve">P703 HS6-1A31-W8 NUT WELD SUB </t>
  </si>
  <si>
    <t>HSNW7</t>
  </si>
  <si>
    <t xml:space="preserve">ASYHS70370W14       </t>
  </si>
  <si>
    <t xml:space="preserve">HS7-0370-W14 NUT WELD SUB ASS </t>
  </si>
  <si>
    <t xml:space="preserve">ASYHS77A96W14P703   </t>
  </si>
  <si>
    <t xml:space="preserve">P703 HS7-7A96-W14 WELD ASY    </t>
  </si>
  <si>
    <t xml:space="preserve">ASYHS77A97W14P703   </t>
  </si>
  <si>
    <t xml:space="preserve">P703 HS7-7A97-W14 WELD ASY    </t>
  </si>
  <si>
    <t xml:space="preserve">ASYHS7A040AW2       </t>
  </si>
  <si>
    <t xml:space="preserve">P703 W2 NUT WELD SUB ASSY     </t>
  </si>
  <si>
    <t>HSNW8</t>
  </si>
  <si>
    <t xml:space="preserve">ASYHS81753W2        </t>
  </si>
  <si>
    <t xml:space="preserve">HS8-1753-W2 NUT WELD SUB ASSY </t>
  </si>
  <si>
    <t xml:space="preserve">ASYHS85A40W2        </t>
  </si>
  <si>
    <t xml:space="preserve">HS8-5A40-W2 NUT WELD SUB ASSY </t>
  </si>
  <si>
    <t xml:space="preserve">ASYHS85A41W2        </t>
  </si>
  <si>
    <t xml:space="preserve">HS8-5A41-W2 NUT WELD SUB ASSY </t>
  </si>
  <si>
    <t xml:space="preserve">ASYHS87726W11AC     </t>
  </si>
  <si>
    <t xml:space="preserve">ASYHS8B292W15       </t>
  </si>
  <si>
    <t xml:space="preserve">P703 HS8-B292-W21W22 SUB ASY  </t>
  </si>
  <si>
    <t xml:space="preserve">MB3B 58017B56 BB    </t>
  </si>
  <si>
    <t xml:space="preserve">P703 BRKT ASSY PANEL DASH     </t>
  </si>
  <si>
    <t>HSW10</t>
  </si>
  <si>
    <t xml:space="preserve">PC.WL68424074       </t>
  </si>
  <si>
    <t xml:space="preserve">WL RR SHEAR PLATE MTG         </t>
  </si>
  <si>
    <t xml:space="preserve">PC.WL68424075       </t>
  </si>
  <si>
    <t xml:space="preserve">PC.WL68425109B      </t>
  </si>
  <si>
    <t xml:space="preserve">WL CARGO RAIL FRT RT   56A    </t>
  </si>
  <si>
    <t xml:space="preserve">PC.WL68425118B      </t>
  </si>
  <si>
    <t xml:space="preserve">WL CARGO RAIL FRT LT  55B     </t>
  </si>
  <si>
    <t xml:space="preserve">PC.WL68435702       </t>
  </si>
  <si>
    <t xml:space="preserve">WL REINF EXA HANGER RD        </t>
  </si>
  <si>
    <t xml:space="preserve">HSW9 </t>
  </si>
  <si>
    <t xml:space="preserve">PC.WL68425102       </t>
  </si>
  <si>
    <t xml:space="preserve">WL SEAT ATT UPR RT            </t>
  </si>
  <si>
    <t xml:space="preserve">PC.WL68425103       </t>
  </si>
  <si>
    <t xml:space="preserve">WL SEAT ATT UPR LT            </t>
  </si>
  <si>
    <t xml:space="preserve">PC.WL68426191       </t>
  </si>
  <si>
    <t xml:space="preserve">WL DBL 2ND ROW SEAT DET DOCK  </t>
  </si>
  <si>
    <t xml:space="preserve">PC.WL68426192       </t>
  </si>
  <si>
    <t xml:space="preserve">WL BRKT 2ND SEAT MTG 55A      </t>
  </si>
  <si>
    <t xml:space="preserve">PC.WL68430494       </t>
  </si>
  <si>
    <t xml:space="preserve">WL BRKT SPARE TIRE HOL        </t>
  </si>
  <si>
    <t xml:space="preserve">PC.WL68431601       </t>
  </si>
  <si>
    <t xml:space="preserve">WL SUPPORT CNT BEARING        </t>
  </si>
  <si>
    <t xml:space="preserve">PC.WL68507882       </t>
  </si>
  <si>
    <t xml:space="preserve">WL REINF RR SUS FRT RT        </t>
  </si>
  <si>
    <t xml:space="preserve">PC.WL68507883       </t>
  </si>
  <si>
    <t xml:space="preserve">WL REINF RR SUS FRT LT        </t>
  </si>
  <si>
    <t>MGS1L</t>
  </si>
  <si>
    <t xml:space="preserve">ASYMS10723OS        </t>
  </si>
  <si>
    <t>P703 BATTERY TRAY SUB ASSEMBLY</t>
  </si>
  <si>
    <t>MIGS2</t>
  </si>
  <si>
    <t xml:space="preserve">ASYMS28A60W17       </t>
  </si>
  <si>
    <t>MS2-8A60-W17 MIG WELD SUB ASSY</t>
  </si>
  <si>
    <t>MS1R1</t>
  </si>
  <si>
    <t xml:space="preserve">ASYMS13110W2        </t>
  </si>
  <si>
    <t xml:space="preserve">MS1-3110-W2 MIG WELD SUB ASSY </t>
  </si>
  <si>
    <t>MS1R2</t>
  </si>
  <si>
    <t xml:space="preserve">ASYMS20K50W14       </t>
  </si>
  <si>
    <t>MS2-0K50-W14 MIG WELD SUB ASSY</t>
  </si>
  <si>
    <t xml:space="preserve">PW1  </t>
  </si>
  <si>
    <t xml:space="preserve">N1WB E40630 AE      </t>
  </si>
  <si>
    <t xml:space="preserve">P703 REINF TL/GT INR TO       </t>
  </si>
  <si>
    <t xml:space="preserve">N1WB E40631 AE      </t>
  </si>
  <si>
    <t xml:space="preserve">N1WB E40780 AC      </t>
  </si>
  <si>
    <t xml:space="preserve">P703 REINF ASY TL/GT PNL      </t>
  </si>
  <si>
    <t xml:space="preserve">N1WB E40781 AC      </t>
  </si>
  <si>
    <t xml:space="preserve">PW10 </t>
  </si>
  <si>
    <t xml:space="preserve">KB3B 9W506 AA       </t>
  </si>
  <si>
    <t xml:space="preserve">U725-P375 BRKT ASY-ACEL PDL   </t>
  </si>
  <si>
    <t xml:space="preserve">MB3B 18A334 AB      </t>
  </si>
  <si>
    <t xml:space="preserve">U725 BRKT HTR PLNM CHMB LWR   </t>
  </si>
  <si>
    <t xml:space="preserve">PW11 </t>
  </si>
  <si>
    <t xml:space="preserve">M2DB S517C86 AB     </t>
  </si>
  <si>
    <t xml:space="preserve">MB3B 5801710 AA     </t>
  </si>
  <si>
    <t xml:space="preserve">U725 REINF DH SD PNL          </t>
  </si>
  <si>
    <t xml:space="preserve">PW2  </t>
  </si>
  <si>
    <t xml:space="preserve">ASYPW20116W13HV     </t>
  </si>
  <si>
    <t>PW2-0116-W13 STUD WELD SUB ASY</t>
  </si>
  <si>
    <t xml:space="preserve">ASYPW20117W13HV     </t>
  </si>
  <si>
    <t>PW2-0117-W13 STUD WELD SUB ASS</t>
  </si>
  <si>
    <t xml:space="preserve">N1WB 16D232 BB      </t>
  </si>
  <si>
    <t xml:space="preserve">P703 BRA ASY FRT FNDR TO RAD  </t>
  </si>
  <si>
    <t xml:space="preserve">N1WB 16D233 BB      </t>
  </si>
  <si>
    <t xml:space="preserve">PW3  </t>
  </si>
  <si>
    <t xml:space="preserve">ASYPW31530W1        </t>
  </si>
  <si>
    <t xml:space="preserve">PW3-1530-W1 NUT WELD SUB ASSY </t>
  </si>
  <si>
    <t xml:space="preserve">ASYPW38250W15       </t>
  </si>
  <si>
    <t xml:space="preserve">LB Hatch Latch Sub-Assembly   </t>
  </si>
  <si>
    <t xml:space="preserve">PC.WL68436048       </t>
  </si>
  <si>
    <t xml:space="preserve">WL BRKT SUPPORT RT            </t>
  </si>
  <si>
    <t xml:space="preserve">PC.WL68436049       </t>
  </si>
  <si>
    <t xml:space="preserve">WL BRKT SUPPORT LT            </t>
  </si>
  <si>
    <t xml:space="preserve">PW5  </t>
  </si>
  <si>
    <t xml:space="preserve">ASYPW50723MS1       </t>
  </si>
  <si>
    <t xml:space="preserve">P703 PW5-0723-MIGSUB 1 SUBASY </t>
  </si>
  <si>
    <t xml:space="preserve">ASYPW50K20W15P703   </t>
  </si>
  <si>
    <t xml:space="preserve">P703 PW5-0K20-W15-1 SUB ASSY  </t>
  </si>
  <si>
    <t xml:space="preserve">ASYPW50K21W15P703   </t>
  </si>
  <si>
    <t xml:space="preserve">ASYPW53A41W1P703    </t>
  </si>
  <si>
    <t xml:space="preserve">P703 PW5-3A41-W1 SUB ASSY     </t>
  </si>
  <si>
    <t xml:space="preserve">PW6  </t>
  </si>
  <si>
    <t xml:space="preserve">ASYPW62570W8W9      </t>
  </si>
  <si>
    <t>PW6-2570-W8&amp;9 NUT WELD SUB ASS</t>
  </si>
  <si>
    <t xml:space="preserve">ASYPW63B60W2        </t>
  </si>
  <si>
    <t>PW6-3B60-W2 STUD WELD SUB ASSY</t>
  </si>
  <si>
    <t xml:space="preserve">ASYPW63B60W2-B      </t>
  </si>
  <si>
    <t xml:space="preserve">N1WB E312A48 BB     </t>
  </si>
  <si>
    <t xml:space="preserve">N1WB E312A48 BB-0   </t>
  </si>
  <si>
    <t xml:space="preserve">N1WB E41623 AB      </t>
  </si>
  <si>
    <t xml:space="preserve">P703 BRA ASY BK PNL           </t>
  </si>
  <si>
    <t xml:space="preserve">PW7  </t>
  </si>
  <si>
    <t xml:space="preserve">KB3B 26403E88 AA    </t>
  </si>
  <si>
    <t xml:space="preserve">PNL ASY BK PNL ACC            </t>
  </si>
  <si>
    <t xml:space="preserve">KB3B 9D817 AA       </t>
  </si>
  <si>
    <t xml:space="preserve">BRKT ASY-ACEL SHFT TO DH      </t>
  </si>
  <si>
    <t xml:space="preserve">MB3B 21016A22 AA    </t>
  </si>
  <si>
    <t xml:space="preserve">P703 REINF D/PNL RH INR       </t>
  </si>
  <si>
    <t xml:space="preserve">N1WB E43858 AB      </t>
  </si>
  <si>
    <t xml:space="preserve">P703 REINF ASY TL/GT HNDL OPG </t>
  </si>
  <si>
    <t xml:space="preserve">PW8  </t>
  </si>
  <si>
    <t xml:space="preserve">ASYPW88126OS        </t>
  </si>
  <si>
    <t xml:space="preserve">U725 ASY-PW8-ECOTED           </t>
  </si>
  <si>
    <t xml:space="preserve">ASYPW8B852OS        </t>
  </si>
  <si>
    <t xml:space="preserve">PW9  </t>
  </si>
  <si>
    <t xml:space="preserve">M2DB S27830 AA      </t>
  </si>
  <si>
    <t xml:space="preserve">U725 BELT ASSEMBLY RH         </t>
  </si>
  <si>
    <t xml:space="preserve">M2DB S27831 AA      </t>
  </si>
  <si>
    <t xml:space="preserve">U725 BELT ASSEMBLY LH         </t>
  </si>
  <si>
    <t xml:space="preserve">M2DB X27830 AB      </t>
  </si>
  <si>
    <t xml:space="preserve">M2DB X27831 AB      </t>
  </si>
  <si>
    <t xml:space="preserve">U725 BELT ASSEMBLY X LH       </t>
  </si>
  <si>
    <t xml:space="preserve">SR1  </t>
  </si>
  <si>
    <t xml:space="preserve">ASYSR1D600W5        </t>
  </si>
  <si>
    <t>SR1-C838-W5 BALL STUD SUB  ASY</t>
  </si>
  <si>
    <t xml:space="preserve">ASYSR1D601W4        </t>
  </si>
  <si>
    <t>SR1-C838-W4 BALL STUD SUB  ASY</t>
  </si>
  <si>
    <t xml:space="preserve">TB1  </t>
  </si>
  <si>
    <t xml:space="preserve">ASYTB20A76W15       </t>
  </si>
  <si>
    <t>P703 TB2-0A77-W15 TAB BEND ASY</t>
  </si>
  <si>
    <t xml:space="preserve">ASYTB20A77W15       </t>
  </si>
  <si>
    <t>P703 TB2-0A76-W15 TAB BEND ASY</t>
  </si>
  <si>
    <t xml:space="preserve">W1   </t>
  </si>
  <si>
    <t xml:space="preserve">KB3B 16A598 AA      </t>
  </si>
  <si>
    <t xml:space="preserve">SERVICE-REINF ASY HOD LFT     </t>
  </si>
  <si>
    <t xml:space="preserve">KB3B 16A599 AA      </t>
  </si>
  <si>
    <t xml:space="preserve">KB3B 16B145 AC      </t>
  </si>
  <si>
    <t xml:space="preserve">MB3B 21021A40 AE    </t>
  </si>
  <si>
    <t xml:space="preserve">P703 PNL ASY CWL TOP INR RR   </t>
  </si>
  <si>
    <t xml:space="preserve">W11L </t>
  </si>
  <si>
    <t xml:space="preserve">N1WB E10940 CF      </t>
  </si>
  <si>
    <t xml:space="preserve">P703 SL ASY RR FLR CS #3      </t>
  </si>
  <si>
    <t xml:space="preserve">W11R </t>
  </si>
  <si>
    <t xml:space="preserve">N1WB E106B46 AD     </t>
  </si>
  <si>
    <t xml:space="preserve">P703 SL ASY RR FLR CS FRT     </t>
  </si>
  <si>
    <t xml:space="preserve">W12L </t>
  </si>
  <si>
    <t xml:space="preserve">N1WB E10129 AB      </t>
  </si>
  <si>
    <t xml:space="preserve">P703 PNL ASY BDY RKR LH       </t>
  </si>
  <si>
    <t xml:space="preserve">W12R </t>
  </si>
  <si>
    <t xml:space="preserve">N1WB E10128 AB      </t>
  </si>
  <si>
    <t xml:space="preserve">P703 PNL ASY BDY RKR RH       </t>
  </si>
  <si>
    <t xml:space="preserve">W13L </t>
  </si>
  <si>
    <t xml:space="preserve">MB3B 2610111 DC     </t>
  </si>
  <si>
    <t>P703 MBR ASY FLR SD INR FRT LH</t>
  </si>
  <si>
    <t xml:space="preserve">W13R </t>
  </si>
  <si>
    <t xml:space="preserve">MB3B 2610110 DD     </t>
  </si>
  <si>
    <t xml:space="preserve">P703 MBR ASY FLR SD INR FRT   </t>
  </si>
  <si>
    <t xml:space="preserve">W14  </t>
  </si>
  <si>
    <t xml:space="preserve">MB3B 5810692 AD     </t>
  </si>
  <si>
    <t xml:space="preserve">P703/U725 MBR ASY FRT FLR CS  </t>
  </si>
  <si>
    <t xml:space="preserve">MB3B 5810693 AD     </t>
  </si>
  <si>
    <t>W15 1</t>
  </si>
  <si>
    <t xml:space="preserve">KB3B 2102885 AB     </t>
  </si>
  <si>
    <t xml:space="preserve">SERVICE REINF ASY CWL SD PNL  </t>
  </si>
  <si>
    <t>W15 2</t>
  </si>
  <si>
    <t xml:space="preserve">KB3B 26403E42 AA    </t>
  </si>
  <si>
    <t xml:space="preserve">BRKT ASY LWR BK PNL CTR       </t>
  </si>
  <si>
    <t>W15 3</t>
  </si>
  <si>
    <t xml:space="preserve">ASYW150506W16       </t>
  </si>
  <si>
    <t>W2-00506-W16 MIG WELD SUB ASSY</t>
  </si>
  <si>
    <t xml:space="preserve">KB3B 26508A40 AB    </t>
  </si>
  <si>
    <t xml:space="preserve">REINF ASY RF PNL CTR RR       </t>
  </si>
  <si>
    <t>W151L</t>
  </si>
  <si>
    <t xml:space="preserve">N1WB E412A05 CB     </t>
  </si>
  <si>
    <t xml:space="preserve">P703 PLR ASY RR CNR OTR       </t>
  </si>
  <si>
    <t>W151R</t>
  </si>
  <si>
    <t xml:space="preserve">N1WB E412A04 CB     </t>
  </si>
  <si>
    <t>W152L</t>
  </si>
  <si>
    <t xml:space="preserve">PC PP802 AC         </t>
  </si>
  <si>
    <t>LB HATCH LATCH ASSY 68649037AC</t>
  </si>
  <si>
    <t>W153L</t>
  </si>
  <si>
    <t xml:space="preserve">ASYW150786W16       </t>
  </si>
  <si>
    <t xml:space="preserve">P703 W15 0786 W16 SUB ASY     </t>
  </si>
  <si>
    <t>W16 1</t>
  </si>
  <si>
    <t xml:space="preserve">N1WB E403E32 AB     </t>
  </si>
  <si>
    <t>W161R</t>
  </si>
  <si>
    <t xml:space="preserve">ASYW160A24W22       </t>
  </si>
  <si>
    <t xml:space="preserve">P703 W16 0A24 W22 SUB ASY     </t>
  </si>
  <si>
    <t xml:space="preserve">ASYW160A25W21       </t>
  </si>
  <si>
    <t xml:space="preserve">P703 W16 0A25 W22 SUB ASY     </t>
  </si>
  <si>
    <t>W162L</t>
  </si>
  <si>
    <t xml:space="preserve">MB3B 5810699 BA     </t>
  </si>
  <si>
    <t xml:space="preserve">P703 CROSS MEMBER #3 LH       </t>
  </si>
  <si>
    <t>W162R</t>
  </si>
  <si>
    <t xml:space="preserve">MB3B 5810698 AE     </t>
  </si>
  <si>
    <t xml:space="preserve">P703 MBR ASY FRT FLR CS#3     </t>
  </si>
  <si>
    <t>W163L</t>
  </si>
  <si>
    <t xml:space="preserve">MB3B 2102039 AF     </t>
  </si>
  <si>
    <t xml:space="preserve">P703 PNL ASY CWL SD IN        </t>
  </si>
  <si>
    <t>W163R</t>
  </si>
  <si>
    <t xml:space="preserve">MB3B 2102038 AG     </t>
  </si>
  <si>
    <t xml:space="preserve">W17  </t>
  </si>
  <si>
    <t xml:space="preserve">N1WB E10780 BA      </t>
  </si>
  <si>
    <t xml:space="preserve">P703 MBR RR FLR CS RR         </t>
  </si>
  <si>
    <t xml:space="preserve">W19  </t>
  </si>
  <si>
    <t xml:space="preserve">P1WB E10610 BA      </t>
  </si>
  <si>
    <t xml:space="preserve">W2   </t>
  </si>
  <si>
    <t xml:space="preserve">MB3B 2610020 AB     </t>
  </si>
  <si>
    <t xml:space="preserve">P703 FLR ASY RR               </t>
  </si>
  <si>
    <t xml:space="preserve">MB3B 2610020 AC     </t>
  </si>
  <si>
    <t xml:space="preserve">W20  </t>
  </si>
  <si>
    <t xml:space="preserve">MB3B 58111K48 CB    </t>
  </si>
  <si>
    <t xml:space="preserve">U725 REINF TUNNEL ASSEMBLY    </t>
  </si>
  <si>
    <t xml:space="preserve">W21  </t>
  </si>
  <si>
    <t xml:space="preserve">P1WB E280A55 BB     </t>
  </si>
  <si>
    <t xml:space="preserve">P703 PNL ASY BDY SD INR LH    </t>
  </si>
  <si>
    <t xml:space="preserve">W22  </t>
  </si>
  <si>
    <t xml:space="preserve">P1WB E280A54 BB     </t>
  </si>
  <si>
    <t xml:space="preserve">P703 PNL ASY BDY SD INR RH    </t>
  </si>
  <si>
    <t xml:space="preserve">W2R  </t>
  </si>
  <si>
    <t xml:space="preserve">ASYW20506W15        </t>
  </si>
  <si>
    <t xml:space="preserve">W3   </t>
  </si>
  <si>
    <t xml:space="preserve">N1WB E00170 DB      </t>
  </si>
  <si>
    <t xml:space="preserve">P703 REINF ASY BDY F PNL      </t>
  </si>
  <si>
    <t xml:space="preserve">N1WB E50230 AA      </t>
  </si>
  <si>
    <t xml:space="preserve">N1WB E51104 AA      </t>
  </si>
  <si>
    <t xml:space="preserve">P703 RL ASY RR RF SD INR      </t>
  </si>
  <si>
    <t xml:space="preserve">N1WB E51105 AA      </t>
  </si>
  <si>
    <t xml:space="preserve">W5   </t>
  </si>
  <si>
    <t xml:space="preserve">KB3B 16E214 AC      </t>
  </si>
  <si>
    <t xml:space="preserve">SERVICE-ASY FRT FNDR SUPT INR </t>
  </si>
  <si>
    <t xml:space="preserve">W5L  </t>
  </si>
  <si>
    <t xml:space="preserve">PC PP801 AC         </t>
  </si>
  <si>
    <t>LB R D-PLR ASSY LH; 68612901AC</t>
  </si>
  <si>
    <t xml:space="preserve">W5R  </t>
  </si>
  <si>
    <t xml:space="preserve">PC PP800 AC         </t>
  </si>
  <si>
    <t>LB R D-PLR ASSY RH; 68612900AC</t>
  </si>
  <si>
    <t xml:space="preserve">W8   </t>
  </si>
  <si>
    <t xml:space="preserve">N1WB E28253 AD      </t>
  </si>
  <si>
    <t xml:space="preserve">P703 PLR ASY BDY SD RR        </t>
  </si>
  <si>
    <t xml:space="preserve">T1WB E28253 AB      </t>
  </si>
  <si>
    <t xml:space="preserve">W9   </t>
  </si>
  <si>
    <t xml:space="preserve">N1WB E28252 AD      </t>
  </si>
  <si>
    <t xml:space="preserve">T1WB E28252 AB      </t>
  </si>
  <si>
    <t xml:space="preserve">Inventory QOH w/Days OH (excluding MRO)  - FDDAT     </t>
  </si>
  <si>
    <t>MRP Demand Days: 90</t>
  </si>
  <si>
    <t>Part CstVnd Part Number</t>
  </si>
  <si>
    <t>Part Description 2</t>
  </si>
  <si>
    <t>Part Description 3</t>
  </si>
  <si>
    <t>PP Status</t>
  </si>
  <si>
    <t>Part CstVnd Code</t>
  </si>
  <si>
    <t>Vendor Name</t>
  </si>
  <si>
    <t>Part Major Group</t>
  </si>
  <si>
    <t>Part Minor Group</t>
  </si>
  <si>
    <t>Part CCC</t>
  </si>
  <si>
    <t>Part GL Exp Code</t>
  </si>
  <si>
    <t>Part Type</t>
  </si>
  <si>
    <t>Plant Code</t>
  </si>
  <si>
    <t>UoM</t>
  </si>
  <si>
    <t>Days On Hand</t>
  </si>
  <si>
    <t>MRP Demand Qty</t>
  </si>
  <si>
    <t>Act Avg Daily Demand</t>
  </si>
  <si>
    <t>Est Daily Demand</t>
  </si>
  <si>
    <t>Days On Hand (Act/Est)</t>
  </si>
  <si>
    <t>Run Out Date w weekend days</t>
  </si>
  <si>
    <t>Run Out Date skip weekend</t>
  </si>
  <si>
    <t>68566341AB</t>
  </si>
  <si>
    <t>DT MCA CENTER BRACKET</t>
  </si>
  <si>
    <t xml:space="preserve">37977                         </t>
  </si>
  <si>
    <t>A</t>
  </si>
  <si>
    <t xml:space="preserve">          </t>
  </si>
  <si>
    <t>FGP</t>
  </si>
  <si>
    <t>Mfg</t>
  </si>
  <si>
    <t>DFT</t>
  </si>
  <si>
    <t xml:space="preserve">EA </t>
  </si>
  <si>
    <t>68618402AA</t>
  </si>
  <si>
    <t>WS TOW HOOK BOOT AERO PRE RH</t>
  </si>
  <si>
    <t>SB43/180</t>
  </si>
  <si>
    <t xml:space="preserve">43184                         </t>
  </si>
  <si>
    <t xml:space="preserve">XFNGFY    </t>
  </si>
  <si>
    <t>85824848</t>
  </si>
  <si>
    <t>BT1CC A-PILLAR UP LEVEL RH</t>
  </si>
  <si>
    <t>216</t>
  </si>
  <si>
    <t xml:space="preserve">36802                         </t>
  </si>
  <si>
    <t xml:space="preserve">GMC01010  </t>
  </si>
  <si>
    <t>85861637</t>
  </si>
  <si>
    <t>BT1CC BRKT-AIRBAG SI IMP SEN</t>
  </si>
  <si>
    <t xml:space="preserve">                              </t>
  </si>
  <si>
    <t>M2DB-S444A18-AA</t>
  </si>
  <si>
    <t>U725 BRKT STRUT TL GT</t>
  </si>
  <si>
    <t xml:space="preserve">MB2/1000 ROW 99               </t>
  </si>
  <si>
    <t>WIP</t>
  </si>
  <si>
    <t>N1WB-E03513-EAW</t>
  </si>
  <si>
    <t>P703 TWTR CVR BRANDED ASSY LH</t>
  </si>
  <si>
    <t xml:space="preserve">FRD01020  </t>
  </si>
  <si>
    <t>N1WB E23942</t>
  </si>
  <si>
    <t>P703 BLACK PACK VERSION.</t>
  </si>
  <si>
    <t xml:space="preserve">ROW XXXX                      </t>
  </si>
  <si>
    <t>N1WB-E23942-BAW</t>
  </si>
  <si>
    <t>P703 Soho Ebony W/ Urban Gray</t>
  </si>
  <si>
    <t>Stitch N1WB-E23900-A-PIA-03</t>
  </si>
  <si>
    <t>N1WB-E23943</t>
  </si>
  <si>
    <t>P703 BLACK PACK VERSION</t>
  </si>
  <si>
    <t>Stitch</t>
  </si>
  <si>
    <t>N1WB-E23943-KAW</t>
  </si>
  <si>
    <t>Stitch N1WB-E23901-A-PIA-03</t>
  </si>
  <si>
    <t>N1WB-E23943-YAW/ZAW</t>
  </si>
  <si>
    <t>P703 Terra Suede Ebony W/ BLK</t>
  </si>
  <si>
    <t>Stitch L N1WB-E23901-A-PIA-03</t>
  </si>
  <si>
    <t>MB3B-58111K48-CB</t>
  </si>
  <si>
    <t>DET58111K35</t>
  </si>
  <si>
    <t xml:space="preserve">ROW 268 MB4/1200              </t>
  </si>
  <si>
    <t xml:space="preserve">FRD01012  </t>
  </si>
  <si>
    <t>MB3B 5810693 AA</t>
  </si>
  <si>
    <t>P703 NUT WELD SUB ASSY</t>
  </si>
  <si>
    <t>PUR 5810777 AC</t>
  </si>
  <si>
    <t xml:space="preserve">ROW419-W14                    </t>
  </si>
  <si>
    <t>P1WB E280A54_55 A</t>
  </si>
  <si>
    <t>P703 HS2-4B02-W21-W22 NUT WLD</t>
  </si>
  <si>
    <t xml:space="preserve">ROW303F-303G-W21-W22-MB2      </t>
  </si>
  <si>
    <t>KB3B 2610020 A</t>
  </si>
  <si>
    <t>HS2-5A65-W2 NUT WELD SUB ASSY</t>
  </si>
  <si>
    <t>KB3B 26625A65 A</t>
  </si>
  <si>
    <t xml:space="preserve">ROW395-W2-MB4                 </t>
  </si>
  <si>
    <t>MB3B 5810692 AA</t>
  </si>
  <si>
    <t>PUR 5810776 AC</t>
  </si>
  <si>
    <t xml:space="preserve">ROW420-W14                    </t>
  </si>
  <si>
    <t>P1WB E280A54_55 BA</t>
  </si>
  <si>
    <t>N1WB E10522A SUB ASSEMBLY</t>
  </si>
  <si>
    <t xml:space="preserve">ROW316-HS4-W21W22-MB4         </t>
  </si>
  <si>
    <t>P1WB-E280A55-BA</t>
  </si>
  <si>
    <t>P1WB E279D59 AA</t>
  </si>
  <si>
    <t xml:space="preserve">ROW64A-W21-MB4                </t>
  </si>
  <si>
    <t>MB3B 5810699 BA</t>
  </si>
  <si>
    <t>P703 HS5-2C05-W16 NUT WELD</t>
  </si>
  <si>
    <t>MB3B 58112C05 AA</t>
  </si>
  <si>
    <t xml:space="preserve">ROW158-W16-2-MB4              </t>
  </si>
  <si>
    <t xml:space="preserve">FRD01000  </t>
  </si>
  <si>
    <t>MB3B 5810698 AE</t>
  </si>
  <si>
    <t>MB3B 58112K76 A</t>
  </si>
  <si>
    <t xml:space="preserve">ROW160-W16-2-MB4              </t>
  </si>
  <si>
    <t>MB3B 58112K77 A</t>
  </si>
  <si>
    <t xml:space="preserve">ROW161-W16-2-MB4              </t>
  </si>
  <si>
    <t>N1WB E412A04 CB</t>
  </si>
  <si>
    <t>N1WB E279A30 C</t>
  </si>
  <si>
    <t xml:space="preserve">ROW422                        </t>
  </si>
  <si>
    <t>P703 HS7-7A96-W14 WELD ASY</t>
  </si>
  <si>
    <t>MB3B 58107A96 A</t>
  </si>
  <si>
    <t xml:space="preserve">ROW 442-W14                   </t>
  </si>
  <si>
    <t>HS8-1753-W2 NUT WELD SUB ASSY</t>
  </si>
  <si>
    <t>KB3B 2611753 A</t>
  </si>
  <si>
    <t xml:space="preserve">ROW 394-W2-MB4                </t>
  </si>
  <si>
    <t>MB3B-10723-A/G</t>
  </si>
  <si>
    <t>DETROIT TO XCEL</t>
  </si>
  <si>
    <t xml:space="preserve">ROW 129&amp;130                   </t>
  </si>
  <si>
    <t>KB3B 2110692 AA</t>
  </si>
  <si>
    <t>KB3B 21000K50 A</t>
  </si>
  <si>
    <t xml:space="preserve">ROW284-W14-MB2                </t>
  </si>
  <si>
    <t>KB3B 2610110 AB</t>
  </si>
  <si>
    <t>KB3B 2610116 A</t>
  </si>
  <si>
    <t xml:space="preserve">ROW306-W13-MB4 HV             </t>
  </si>
  <si>
    <t>KB3B 21021A40 AA</t>
  </si>
  <si>
    <t>PW3-1530-W1 NUT WELD SUB ASSY</t>
  </si>
  <si>
    <t>KB3B 2101530 A</t>
  </si>
  <si>
    <t xml:space="preserve">ROW303C-W1-MB4                </t>
  </si>
  <si>
    <t>MB3B 10723 A_G PIA 02</t>
  </si>
  <si>
    <t>P703 PW5-0723-MIGSUB 1 SUBASY</t>
  </si>
  <si>
    <t>MB3B 10723 A&amp;G PIA 02</t>
  </si>
  <si>
    <t xml:space="preserve">ROW441-MIGSUB-1-MB4           </t>
  </si>
  <si>
    <t>N1WB E412A05 CB</t>
  </si>
  <si>
    <t>P703 PW5-0K20-W15-1 SUB ASSY</t>
  </si>
  <si>
    <t>N1WB E410K21 AA</t>
  </si>
  <si>
    <t xml:space="preserve">ROW301A-MB2                   </t>
  </si>
  <si>
    <t>P1WB-E280A54_55 BA</t>
  </si>
  <si>
    <t>P703 W15 0786 W16 SUB ASY</t>
  </si>
  <si>
    <t>P1WB E10786 B</t>
  </si>
  <si>
    <t xml:space="preserve">ROW303H-W22-MB2-700           </t>
  </si>
  <si>
    <t>P703 W16 0A25 W22 SUB ASY</t>
  </si>
  <si>
    <t>P1WB E200A25 AA</t>
  </si>
  <si>
    <t xml:space="preserve">ROW352-W21-MB4                </t>
  </si>
  <si>
    <t>KB3B 26403E32 AD</t>
  </si>
  <si>
    <t>KB3B 2640506 A</t>
  </si>
  <si>
    <t xml:space="preserve">ROW 162-W15-MB2               </t>
  </si>
  <si>
    <t xml:space="preserve">BLKBR58111K36       </t>
  </si>
  <si>
    <t>GAGE=.031" W=54.134 P=19.8819"</t>
  </si>
  <si>
    <t>BLK WT=11.34 LB RE INF FLR TNL</t>
  </si>
  <si>
    <t xml:space="preserve">WSS-M1A368-A14 CRDP800 50G50G </t>
  </si>
  <si>
    <t xml:space="preserve">PC </t>
  </si>
  <si>
    <t>BT1CC009</t>
  </si>
  <si>
    <t>BT1CC HEADLINER BACK PLATE RH</t>
  </si>
  <si>
    <t>RST REFINE  85154947</t>
  </si>
  <si>
    <t xml:space="preserve">36819                         </t>
  </si>
  <si>
    <t xml:space="preserve">DAIM0101  </t>
  </si>
  <si>
    <t>84489303</t>
  </si>
  <si>
    <t>T1XX CC EXT BRKT LH</t>
  </si>
  <si>
    <t>84489303 BATTLE CREEK</t>
  </si>
  <si>
    <t xml:space="preserve">DETROIT DOCK                  </t>
  </si>
  <si>
    <t xml:space="preserve">XFNGBC    </t>
  </si>
  <si>
    <t>MB3B-2610020-AA</t>
  </si>
  <si>
    <t>P703 JACK BRCKT</t>
  </si>
  <si>
    <t xml:space="preserve">ROW 267 MB2/2200              </t>
  </si>
  <si>
    <t>MB3B-21016A22-AA</t>
  </si>
  <si>
    <t>P703 BRKT CWL TOP TO DH</t>
  </si>
  <si>
    <t>MB3B 2102892-A</t>
  </si>
  <si>
    <t xml:space="preserve">ROW 460 MB4/1000              </t>
  </si>
  <si>
    <t>KB3B 2610110 A</t>
  </si>
  <si>
    <t>MBR FLR SD INR</t>
  </si>
  <si>
    <t>KB3B 2610111 AC</t>
  </si>
  <si>
    <t xml:space="preserve">ROW188B-PW2-W13               </t>
  </si>
  <si>
    <t>KB3B 2610111 AB</t>
  </si>
  <si>
    <t>KB3B 2610110 AC</t>
  </si>
  <si>
    <t xml:space="preserve">ROW187B-PW2-W13               </t>
  </si>
  <si>
    <t>KB3B 2610128 AB</t>
  </si>
  <si>
    <t>PNL BDY RKR</t>
  </si>
  <si>
    <t>KB3B 2610130 A</t>
  </si>
  <si>
    <t xml:space="preserve">ROW45-W12-MB8                 </t>
  </si>
  <si>
    <t>MB3B 2610020 A</t>
  </si>
  <si>
    <t xml:space="preserve">ROW424-MIGSUB1-MB4            </t>
  </si>
  <si>
    <t>KB3B-2110020-AD</t>
  </si>
  <si>
    <t>REINF RR ST TO FLR SUPT</t>
  </si>
  <si>
    <t xml:space="preserve">ROW69B-HS1-MB6                </t>
  </si>
  <si>
    <t>SHLD BRK DSC SPLS</t>
  </si>
  <si>
    <t xml:space="preserve">ROW-245                       </t>
  </si>
  <si>
    <t>MB3B-58111K48-BB</t>
  </si>
  <si>
    <t>U725 REINF FLR PAN FRT</t>
  </si>
  <si>
    <t xml:space="preserve">MB2/3000  ROW 273             </t>
  </si>
  <si>
    <t>P703 PLT FRT ST MTNG RR</t>
  </si>
  <si>
    <t xml:space="preserve">ROW138A-HS5-MB4               </t>
  </si>
  <si>
    <t xml:space="preserve">ROW137A-HS5-MB4               </t>
  </si>
  <si>
    <t>MB3C-5B852-AC</t>
  </si>
  <si>
    <t>U725 SHLD LNK RR SUSP</t>
  </si>
  <si>
    <t xml:space="preserve">MB2/1000 ROW 184B             </t>
  </si>
  <si>
    <t>PC.WL68424074</t>
  </si>
  <si>
    <t xml:space="preserve">ROW 135A CC71/600             </t>
  </si>
  <si>
    <t>PC.WL68431601</t>
  </si>
  <si>
    <t>WL BRKT SUP CNT BEARING LT</t>
  </si>
  <si>
    <t xml:space="preserve">ROW 26 CC71/1500              </t>
  </si>
  <si>
    <t>DET8A297PIA02OS</t>
  </si>
  <si>
    <t>U625 HYBRID CRSS MBR BKT LH</t>
  </si>
  <si>
    <t>N1WB-E106B46-AC</t>
  </si>
  <si>
    <t>P703 REINF RR FLR CS #2</t>
  </si>
  <si>
    <t xml:space="preserve">ROW 440 MB2/400               </t>
  </si>
  <si>
    <t>P1WB-E280A54-BA</t>
  </si>
  <si>
    <t>P703 BRKT BDY SD STE RR RH</t>
  </si>
  <si>
    <t>N1WB E200L76A</t>
  </si>
  <si>
    <t xml:space="preserve">ROW146B-HS4-MB4               </t>
  </si>
  <si>
    <t>N1WB-E412A05-CA</t>
  </si>
  <si>
    <t>P703 PLT BDY SD TOP RL ANC LH</t>
  </si>
  <si>
    <t xml:space="preserve">ROW 287 MB2/1000              </t>
  </si>
  <si>
    <t>N1WB-E00170-DA</t>
  </si>
  <si>
    <t>P703 BRKT PROT PRTN P/U BOX</t>
  </si>
  <si>
    <t>FRT</t>
  </si>
  <si>
    <t xml:space="preserve">ROW 145B                      </t>
  </si>
  <si>
    <t>N1WB-E312A48-BA</t>
  </si>
  <si>
    <t>P703 BRKT ASY ASST HNDL MNTG</t>
  </si>
  <si>
    <t xml:space="preserve">ROW 152A                      </t>
  </si>
  <si>
    <t>M2DB-X27831-AB</t>
  </si>
  <si>
    <t>U725  BELT SHELF INNER  LH</t>
  </si>
  <si>
    <t xml:space="preserve">MB4/300 ROW 188A              </t>
  </si>
  <si>
    <t>DPCBEI82073G00R</t>
  </si>
  <si>
    <t xml:space="preserve">MGC01001  </t>
  </si>
  <si>
    <t>DPCBEI82076G00L</t>
  </si>
  <si>
    <t>KB3B-17G750-AE</t>
  </si>
  <si>
    <t>BRKT FRT BMPR MTNG CTR</t>
  </si>
  <si>
    <t xml:space="preserve">ROW 5-8  6318                 </t>
  </si>
  <si>
    <t>KB3B-2616G040-AE3ZHE</t>
  </si>
  <si>
    <t>STWG FRT FLR RR</t>
  </si>
  <si>
    <t xml:space="preserve">23131                         </t>
  </si>
  <si>
    <t>KB3B-2616G041-AE3ZHE</t>
  </si>
  <si>
    <t>STWG FRT FLR RR LH</t>
  </si>
  <si>
    <t>KB3B-26243C02-AF</t>
  </si>
  <si>
    <t>GID AIR CRTN CTR BDY PLR</t>
  </si>
  <si>
    <t xml:space="preserve">6529                          </t>
  </si>
  <si>
    <t>KB3B-26403E42-AA</t>
  </si>
  <si>
    <t>BRKT ASY LWR BK PNL CTR</t>
  </si>
  <si>
    <t>KB3C-2K005-AA</t>
  </si>
  <si>
    <t>BRK DSC SPLS LH</t>
  </si>
  <si>
    <t>KTN1WB 16L559 DB</t>
  </si>
  <si>
    <t>P703 REAR SPLA SHIELDS</t>
  </si>
  <si>
    <t xml:space="preserve">34168                         </t>
  </si>
  <si>
    <t>M2DB-17A794-AD</t>
  </si>
  <si>
    <t>U725 BRKT FRT BMPR MTNG LH</t>
  </si>
  <si>
    <t>26605</t>
  </si>
  <si>
    <t xml:space="preserve">ST95/140  26605               </t>
  </si>
  <si>
    <t>M2DB-17E810-CB5YZ9</t>
  </si>
  <si>
    <t>U725 CVR FRT BMPR W/BEZEL RH</t>
  </si>
  <si>
    <t xml:space="preserve">ST96A/21 ROW  27666           </t>
  </si>
  <si>
    <t>M2DB-17E811-CB5YZ9</t>
  </si>
  <si>
    <t>U725 CVR FRT BMPR W/BEZEL LH</t>
  </si>
  <si>
    <t xml:space="preserve">ST96A/21 ROW 27666            </t>
  </si>
  <si>
    <t>M2DB-S200B38-AC</t>
  </si>
  <si>
    <t>U725 ROCK RAIL SUPT RR BRKT</t>
  </si>
  <si>
    <t xml:space="preserve">ST26/15                       </t>
  </si>
  <si>
    <t>M2DB-S27831-AA</t>
  </si>
  <si>
    <t>U725 BELT ASSEMBLY LH</t>
  </si>
  <si>
    <t xml:space="preserve">SMF6/104  ROW 316             </t>
  </si>
  <si>
    <t>U725 BRKT STRT TL/GT</t>
  </si>
  <si>
    <t xml:space="preserve">ST26/55                       </t>
  </si>
  <si>
    <t>M2DB-S502D12-AE</t>
  </si>
  <si>
    <t>U725 PNL RF RR (HEADER INNER)</t>
  </si>
  <si>
    <t>LBZ24/84</t>
  </si>
  <si>
    <t xml:space="preserve">ROW 610                       </t>
  </si>
  <si>
    <t>MB3B 10723 GJ</t>
  </si>
  <si>
    <t>P703 BATTERY TRAY</t>
  </si>
  <si>
    <t>MB3B-18A334-AB</t>
  </si>
  <si>
    <t>U725 BRKT HTR PLNM CHMB LWR</t>
  </si>
  <si>
    <t xml:space="preserve">ST39 96                       </t>
  </si>
  <si>
    <t>MB3B 2102038 AG</t>
  </si>
  <si>
    <t>P703 PNL ASY CWL SD IN</t>
  </si>
  <si>
    <t>MB3B-2102039-AF</t>
  </si>
  <si>
    <t>MB3B-21021A40-AE</t>
  </si>
  <si>
    <t>P703 PNL ASY CWL TOP INR RR</t>
  </si>
  <si>
    <t xml:space="preserve">DOCK                          </t>
  </si>
  <si>
    <t>MB3B 2610020 AB</t>
  </si>
  <si>
    <t>P703 FLR ASY RR</t>
  </si>
  <si>
    <t>FLOOR ASSEMBLY</t>
  </si>
  <si>
    <t xml:space="preserve">ALERT# A14772786              </t>
  </si>
  <si>
    <t>MB3B-2610110-DD</t>
  </si>
  <si>
    <t>P703 MBR ASY FLR SD INR FRT</t>
  </si>
  <si>
    <t>MB3B-2610111-DC</t>
  </si>
  <si>
    <t>MB3B-58017B56-BB</t>
  </si>
  <si>
    <t>P703 BRKT ASSY PANEL DASH</t>
  </si>
  <si>
    <t>MB3B 5810692 AD</t>
  </si>
  <si>
    <t>P703/U725 MBR ASY FRT FLR CS</t>
  </si>
  <si>
    <t>MB3B 5810693 AD</t>
  </si>
  <si>
    <t>P703 MBR ASY FRT FLR CS#3</t>
  </si>
  <si>
    <t>P703 CROSS MEMBER #3 LH</t>
  </si>
  <si>
    <t>U725 REINF TUNNEL ASSEMBLY</t>
  </si>
  <si>
    <t xml:space="preserve">LB371/42 ROW ROW238A/B        </t>
  </si>
  <si>
    <t xml:space="preserve">ST39/80  ROW 651              </t>
  </si>
  <si>
    <t>MB3C-7P026-AC</t>
  </si>
  <si>
    <t>U725 BAR TRANS SKD</t>
  </si>
  <si>
    <t xml:space="preserve">ST39/12                       </t>
  </si>
  <si>
    <t>MLD16E166APIA05</t>
  </si>
  <si>
    <t>DRIVE VANES LH</t>
  </si>
  <si>
    <t xml:space="preserve">27220                         </t>
  </si>
  <si>
    <t>MLD16E166APIA06</t>
  </si>
  <si>
    <t>DRIVE VANES RH</t>
  </si>
  <si>
    <t>MLD16E166APIA01</t>
  </si>
  <si>
    <t>GOR/AGS, CARRIER</t>
  </si>
  <si>
    <t>27217</t>
  </si>
  <si>
    <t xml:space="preserve">ROW 139/140,157/158           </t>
  </si>
  <si>
    <t>MLD16E166APIA10</t>
  </si>
  <si>
    <t>REAR SEAL AGS</t>
  </si>
  <si>
    <t>27222</t>
  </si>
  <si>
    <t xml:space="preserve">ROW 137/138,159/160           </t>
  </si>
  <si>
    <t>N1WB-16L558-F</t>
  </si>
  <si>
    <t>CONTAINER/QTY ROWXXX</t>
  </si>
  <si>
    <t xml:space="preserve">34169                         </t>
  </si>
  <si>
    <t>N1WB-16L559-F</t>
  </si>
  <si>
    <t>N1WB-16L560-F</t>
  </si>
  <si>
    <t>N1WB-16L561-F</t>
  </si>
  <si>
    <t>MLD17E811BA</t>
  </si>
  <si>
    <t>U725 BUMPERETTES</t>
  </si>
  <si>
    <t>27666</t>
  </si>
  <si>
    <t xml:space="preserve">SB31WIP/50 ROW 167            </t>
  </si>
  <si>
    <t>85132158</t>
  </si>
  <si>
    <t>BT1CC B-PILLAR LWR RH</t>
  </si>
  <si>
    <t>SUBSTRATE</t>
  </si>
  <si>
    <t xml:space="preserve">36800                         </t>
  </si>
  <si>
    <t>85131246</t>
  </si>
  <si>
    <t>MIC- C PILLAR LWR RH-SUB</t>
  </si>
  <si>
    <t xml:space="preserve">TOOL # 36798                  </t>
  </si>
  <si>
    <t>85132153</t>
  </si>
  <si>
    <t>BT1CC REAR SILL PLATE LH</t>
  </si>
  <si>
    <t xml:space="preserve">TOOL # 36804                  </t>
  </si>
  <si>
    <t>85132154</t>
  </si>
  <si>
    <t>BT1CC REAR SILL PLATE RH</t>
  </si>
  <si>
    <t>85156435</t>
  </si>
  <si>
    <t>BT1CC C-PLR LWR RH RST/REFINE</t>
  </si>
  <si>
    <t xml:space="preserve">TOOL # 36799                  </t>
  </si>
  <si>
    <t>85156434</t>
  </si>
  <si>
    <t>BT1CC C-PLR LWR LH RST/REFINE</t>
  </si>
  <si>
    <t>BEE95348</t>
  </si>
  <si>
    <t>BT1CC HEADLINER BACK COVER RH</t>
  </si>
  <si>
    <t xml:space="preserve">TOOL # 36818                  </t>
  </si>
  <si>
    <t>85156433</t>
  </si>
  <si>
    <t>BT1CC C-PILLAR UPR RH RST/REF</t>
  </si>
  <si>
    <t xml:space="preserve">TOOL # 36796                  </t>
  </si>
  <si>
    <t>85639243</t>
  </si>
  <si>
    <t>BT1CC C-PILLAR UPR LH RST/REF</t>
  </si>
  <si>
    <t>85648148</t>
  </si>
  <si>
    <t>BT1CC MOLDING C PILLAR UPR</t>
  </si>
  <si>
    <t>LH VALUE</t>
  </si>
  <si>
    <t xml:space="preserve">TOOL # 36795                  </t>
  </si>
  <si>
    <t>85648150</t>
  </si>
  <si>
    <t>BT1CC 60% DIVIDER BACK PLATE</t>
  </si>
  <si>
    <t xml:space="preserve">TOOL# 38814                   </t>
  </si>
  <si>
    <t>BEP59461</t>
  </si>
  <si>
    <t>BT1CC FRONT SILL GARNISH LH</t>
  </si>
  <si>
    <t xml:space="preserve">TOOL # 36805                  </t>
  </si>
  <si>
    <t>BEP59463</t>
  </si>
  <si>
    <t>BT1CC FRONT SILL GARNISH RH</t>
  </si>
  <si>
    <t>N1WB-E03513-DAW</t>
  </si>
  <si>
    <t>SUMMIT GREY</t>
  </si>
  <si>
    <t xml:space="preserve">TOOL # 32660                  </t>
  </si>
  <si>
    <t>N1WB E060B01 B PIA 02</t>
  </si>
  <si>
    <t>P703 FRT MAP POCKET LH</t>
  </si>
  <si>
    <t>34018</t>
  </si>
  <si>
    <t xml:space="preserve">ROW TBD/SB31                  </t>
  </si>
  <si>
    <t>N1WB-E13200-AAW</t>
  </si>
  <si>
    <t>P703 SCOWL TRIM RH</t>
  </si>
  <si>
    <t xml:space="preserve">32654                         </t>
  </si>
  <si>
    <t>N1WB-E13201-AAW</t>
  </si>
  <si>
    <t>P703 SCOWL TRIM lH</t>
  </si>
  <si>
    <t>N1WB-E237W20-B-PIA-01</t>
  </si>
  <si>
    <t>P703 SWT BEZ RR DBL RH</t>
  </si>
  <si>
    <t xml:space="preserve">34041                         </t>
  </si>
  <si>
    <t>N1WB-E23942-H/S</t>
  </si>
  <si>
    <t xml:space="preserve">TOOL # 34014                  </t>
  </si>
  <si>
    <t>N1WB-E23900-A-PIA-07</t>
  </si>
  <si>
    <t>P703 HARD TOP ROLL REINF RH</t>
  </si>
  <si>
    <t xml:space="preserve">34011                         </t>
  </si>
  <si>
    <t>N1WB-E23901-A-PIA-07</t>
  </si>
  <si>
    <t>P703 HARD TOP ROLL REINF LH</t>
  </si>
  <si>
    <t>N1WB-E23943-AA</t>
  </si>
  <si>
    <t>P703 FRT DR PNL DBL INSERT LH</t>
  </si>
  <si>
    <t xml:space="preserve">34004                         </t>
  </si>
  <si>
    <t>N1WB-E26656 A-PIA-02</t>
  </si>
  <si>
    <t>P703 PULL CUP RAMP COVER RH</t>
  </si>
  <si>
    <t xml:space="preserve">34610                         </t>
  </si>
  <si>
    <t>N1WB-E26657-A-PIA-01</t>
  </si>
  <si>
    <t>ST96/42 DOOR LINE MARKET PLACE</t>
  </si>
  <si>
    <t xml:space="preserve">34024                         </t>
  </si>
  <si>
    <t>N1WB-E27406-GA</t>
  </si>
  <si>
    <t>P703 RR DR PNL DBL FULL RH</t>
  </si>
  <si>
    <t xml:space="preserve">34007                         </t>
  </si>
  <si>
    <t>N1WB E27406 B PIA 02</t>
  </si>
  <si>
    <t>P703 REAR DBL MAP POCKET RH</t>
  </si>
  <si>
    <t xml:space="preserve">34023                         </t>
  </si>
  <si>
    <t>N1WB-E27407-GA</t>
  </si>
  <si>
    <t>P703 RR DR PNL DBL FULL LH</t>
  </si>
  <si>
    <t xml:space="preserve">34008                         </t>
  </si>
  <si>
    <t>N1WB-E27407-RAW/UAW/SAW</t>
  </si>
  <si>
    <t>P703 Rear Top Roll REINF LH</t>
  </si>
  <si>
    <t>MOLD-REINF WELDER @ 2500 Press</t>
  </si>
  <si>
    <t xml:space="preserve">TOOL # 34013                  </t>
  </si>
  <si>
    <t>N1WB-E31006-EAW</t>
  </si>
  <si>
    <t>P703 C PILLAR LOWER RH/DBL</t>
  </si>
  <si>
    <t xml:space="preserve">32655                         </t>
  </si>
  <si>
    <t>N1WB-E403A86-AAW</t>
  </si>
  <si>
    <t>P703 BACK PANEL UPPER</t>
  </si>
  <si>
    <t xml:space="preserve">32651                         </t>
  </si>
  <si>
    <t>N1WB 17D568 EF3JA6</t>
  </si>
  <si>
    <t>P703 RAIN SENSOR COVER</t>
  </si>
  <si>
    <t xml:space="preserve">32652                         </t>
  </si>
  <si>
    <t>N1WB 17D699 AD3ZHE</t>
  </si>
  <si>
    <t xml:space="preserve">34030                         </t>
  </si>
  <si>
    <t>N1WB 9G924 BA</t>
  </si>
  <si>
    <t>P703 CVR SNS CR</t>
  </si>
  <si>
    <t xml:space="preserve">32262                         </t>
  </si>
  <si>
    <t>N1WB E00170 DB</t>
  </si>
  <si>
    <t>P703 REINF ASY BDY F PNL</t>
  </si>
  <si>
    <t>N1WB E03513 DH31NB</t>
  </si>
  <si>
    <t>P703 A PLR UPR NONBRANDED LH</t>
  </si>
  <si>
    <t xml:space="preserve">32647                         </t>
  </si>
  <si>
    <t>N1WB-E10128-AB</t>
  </si>
  <si>
    <t>P703 PNL ASY BDY RKR RH</t>
  </si>
  <si>
    <t>N1WB-E10129-AB</t>
  </si>
  <si>
    <t>P703 PNL ASY BDY RKR LH</t>
  </si>
  <si>
    <t>N1WB-E106B46-AD</t>
  </si>
  <si>
    <t>P703 SL ASY RR FLR CS FRT</t>
  </si>
  <si>
    <t>N1WB E10780 BA</t>
  </si>
  <si>
    <t>P703 MBR RR FLR CS RR</t>
  </si>
  <si>
    <t xml:space="preserve">XMF 11 QTY 55                 </t>
  </si>
  <si>
    <t>N1WB-E10940-CF</t>
  </si>
  <si>
    <t>P703 SL ASY RR FLR CS #3</t>
  </si>
  <si>
    <t>N1WB E13200 DA3ZHE</t>
  </si>
  <si>
    <t>P703 PLT ASY FRT DR SCF</t>
  </si>
  <si>
    <t>N1WB E13201 DA3ZHE</t>
  </si>
  <si>
    <t>N1WB-E23942-BK1G1C</t>
  </si>
  <si>
    <t>EBONY SOHO W/BLACK STITCH</t>
  </si>
  <si>
    <t xml:space="preserve">34003                         </t>
  </si>
  <si>
    <t>N1WB-E23942-BK1G1E</t>
  </si>
  <si>
    <t>EBONY SOHO</t>
  </si>
  <si>
    <t>N1WB-E23942-SF1G1C</t>
  </si>
  <si>
    <t xml:space="preserve">34001                         </t>
  </si>
  <si>
    <t>N1WB-E23942-SF1G1E</t>
  </si>
  <si>
    <t>N1WB-E23943-KL1G1E</t>
  </si>
  <si>
    <t>N1WB-E23943-VF1G1C</t>
  </si>
  <si>
    <t xml:space="preserve">34002                         </t>
  </si>
  <si>
    <t>N1WB E24397 CA31NB</t>
  </si>
  <si>
    <t>P703 B PILLAR LH</t>
  </si>
  <si>
    <t xml:space="preserve">32648                         </t>
  </si>
  <si>
    <t>N1WB E243A52 ED3ZHE</t>
  </si>
  <si>
    <t>P703 PNL ASY CTR BDY PLR RH</t>
  </si>
  <si>
    <t xml:space="preserve">32649                         </t>
  </si>
  <si>
    <t>N1WB E243A53 ED3ZHE</t>
  </si>
  <si>
    <t>P703 PNL ASY CTR BDY PLR LH</t>
  </si>
  <si>
    <t>N1WB E24592 CB3ZHE</t>
  </si>
  <si>
    <t>P703 CVR CTR BDY PLR CTR</t>
  </si>
  <si>
    <t xml:space="preserve">32662                         </t>
  </si>
  <si>
    <t>N1WB-E27406-RP1G1C</t>
  </si>
  <si>
    <t xml:space="preserve">34009                         </t>
  </si>
  <si>
    <t>N1WB-E27406-RP1G1E</t>
  </si>
  <si>
    <t>N1WB-E27406-UL1G1C</t>
  </si>
  <si>
    <t>N1WB-E27406-UL1G1E</t>
  </si>
  <si>
    <t>N1WB-E27406-UL3LU4</t>
  </si>
  <si>
    <t>SAND SOHO</t>
  </si>
  <si>
    <t>N1WB-E27407-RP1G1C</t>
  </si>
  <si>
    <t xml:space="preserve">34010                         </t>
  </si>
  <si>
    <t>N1WB-E27407-RP1G1E</t>
  </si>
  <si>
    <t>N1WB-E27407-UL1G1C</t>
  </si>
  <si>
    <t>N1WB E28252 AD</t>
  </si>
  <si>
    <t>P703 PLR ASY BDY SD RR</t>
  </si>
  <si>
    <t>N1WB E28253 AD</t>
  </si>
  <si>
    <t>N1WB E403A86 AH3ZHE</t>
  </si>
  <si>
    <t>P703 PNL ASY BK TR UPR</t>
  </si>
  <si>
    <t>N1WB E403E32 AB</t>
  </si>
  <si>
    <t>P703 REINF BK PNL UPR</t>
  </si>
  <si>
    <t>N1WB-E404D91-AC</t>
  </si>
  <si>
    <t>P703 BRKT INS LFT/GT OTR</t>
  </si>
  <si>
    <t>N1WB-E40780-AC</t>
  </si>
  <si>
    <t>P703 REINF ASY TL/GT PNL</t>
  </si>
  <si>
    <t>HGE</t>
  </si>
  <si>
    <t>P703 PLR ASY RR CNR OTR</t>
  </si>
  <si>
    <t xml:space="preserve">ROW TBD                       </t>
  </si>
  <si>
    <t>P0630900</t>
  </si>
  <si>
    <t>DT CRUSH CAN LH</t>
  </si>
  <si>
    <t>68371879AC</t>
  </si>
  <si>
    <t xml:space="preserve">CC71/TBD                      </t>
  </si>
  <si>
    <t xml:space="preserve">XFNGFT    </t>
  </si>
  <si>
    <t>P1WB-E10610-BA</t>
  </si>
  <si>
    <t>P1WB-E280A54-BB</t>
  </si>
  <si>
    <t>P703 PNL ASY BDY SD INR RH</t>
  </si>
  <si>
    <t>P1WB-E280A55-BB</t>
  </si>
  <si>
    <t>P703 PNL ASY BDY SD INR LH</t>
  </si>
  <si>
    <t>P2DB-16E166-AB</t>
  </si>
  <si>
    <t>U725 UPPER AGS NON-CAPABLE A</t>
  </si>
  <si>
    <t>LB417 12PC/ PBX BOX CHINA 10PC</t>
  </si>
  <si>
    <t>P2DB-16E166-BB</t>
  </si>
  <si>
    <t>U725 UPPER AGS CAPABLE-B</t>
  </si>
  <si>
    <t>PC PP800 AC</t>
  </si>
  <si>
    <t xml:space="preserve">ROW 58B-W5-CC71               </t>
  </si>
  <si>
    <t xml:space="preserve">FNGFWVL1  </t>
  </si>
  <si>
    <t>PC PP801 AC</t>
  </si>
  <si>
    <t xml:space="preserve">ROW 56B-W5-CC71               </t>
  </si>
  <si>
    <t>PC.WL68507882</t>
  </si>
  <si>
    <t>WL REINF RR SUS FRT RT</t>
  </si>
  <si>
    <t>68507882-SPLIT/5000-TROY</t>
  </si>
  <si>
    <t xml:space="preserve">DETROIT ROW 60A               </t>
  </si>
  <si>
    <t>PC02220</t>
  </si>
  <si>
    <t>MB3B 5802220 A/FNG102/260</t>
  </si>
  <si>
    <t xml:space="preserve">ROW 147A                      </t>
  </si>
  <si>
    <t xml:space="preserve">XFNGHO    </t>
  </si>
  <si>
    <t xml:space="preserve">PCPGMBEW17761       </t>
  </si>
  <si>
    <t>1-11194-3200-202</t>
  </si>
  <si>
    <t>BT1CC A-PILLAR WRAPPED LH</t>
  </si>
  <si>
    <t xml:space="preserve">MOLLE0100 </t>
  </si>
  <si>
    <t xml:space="preserve">MOLLERTECH LLC                </t>
  </si>
  <si>
    <t>320999</t>
  </si>
  <si>
    <t>Buy</t>
  </si>
  <si>
    <t xml:space="preserve">PCS2610143AA        </t>
  </si>
  <si>
    <t>REINF BDY RKR PNL LH</t>
  </si>
  <si>
    <t>ROLL FORM TUBE</t>
  </si>
  <si>
    <t xml:space="preserve">ROW428                        </t>
  </si>
  <si>
    <t xml:space="preserve">JAYTE0100 </t>
  </si>
  <si>
    <t xml:space="preserve">JAYTEC LLC                    </t>
  </si>
  <si>
    <t>553030001</t>
  </si>
  <si>
    <t>R1WB E291A34 MAA</t>
  </si>
  <si>
    <t>P703 BOX TOP RH</t>
  </si>
  <si>
    <t xml:space="preserve">43260                         </t>
  </si>
  <si>
    <t>R1WB E291A35 MAA</t>
  </si>
  <si>
    <t>P703 BOX TOPS LH</t>
  </si>
  <si>
    <t xml:space="preserve">REPACK3D072SB3C     </t>
  </si>
  <si>
    <t>SB3C-3D072-AA</t>
  </si>
  <si>
    <t xml:space="preserve">ROW 86B-87B                   </t>
  </si>
  <si>
    <t xml:space="preserve">REPACK5B852         </t>
  </si>
  <si>
    <t>U725 ASY BRKT</t>
  </si>
  <si>
    <t xml:space="preserve">ROW 84A-89                    </t>
  </si>
  <si>
    <t xml:space="preserve">REPACKBR5B018       </t>
  </si>
  <si>
    <t>MB3C-5B018-AB</t>
  </si>
  <si>
    <t>U725 PLT FR FRT C/M</t>
  </si>
  <si>
    <t xml:space="preserve">ROW 435/436                   </t>
  </si>
  <si>
    <t xml:space="preserve">RMPFD01             </t>
  </si>
  <si>
    <t>REGRIND</t>
  </si>
  <si>
    <t>RMPFD01</t>
  </si>
  <si>
    <t xml:space="preserve">MRCPO0100 </t>
  </si>
  <si>
    <t xml:space="preserve">MRC POLYMERS INC              </t>
  </si>
  <si>
    <t>665100</t>
  </si>
  <si>
    <t>RSN</t>
  </si>
  <si>
    <t xml:space="preserve">RMS2116386A         </t>
  </si>
  <si>
    <t>RM2018-170941-ERMA</t>
  </si>
  <si>
    <t>.046/.048 X    8.504 X COIL</t>
  </si>
  <si>
    <t>CR   CQ          .</t>
  </si>
  <si>
    <t xml:space="preserve">WSS-M1A367-A38   50G50G-GI    </t>
  </si>
  <si>
    <t xml:space="preserve">VENTU0110 </t>
  </si>
  <si>
    <t xml:space="preserve">FORD RESALE-VENTURE STEEL INC </t>
  </si>
  <si>
    <t>570017002</t>
  </si>
  <si>
    <t>RMS</t>
  </si>
  <si>
    <t xml:space="preserve">RMS26106A58A        </t>
  </si>
  <si>
    <t>.077/.081 X    3.600 X COIL</t>
  </si>
  <si>
    <t xml:space="preserve">WSS-M1A365-A12  50G50G-GI     </t>
  </si>
  <si>
    <t xml:space="preserve">TARGE0100 </t>
  </si>
  <si>
    <t xml:space="preserve">TARGET STEEL INC              </t>
  </si>
  <si>
    <t xml:space="preserve">RMS5810202RL        </t>
  </si>
  <si>
    <t>RM2024-212912-ERMA</t>
  </si>
  <si>
    <t>.041/.045 X   37.795 X COIL</t>
  </si>
  <si>
    <t>CR   DP-800      .</t>
  </si>
  <si>
    <t xml:space="preserve">WSS-M1A368-A14 50G/50G        </t>
  </si>
  <si>
    <t xml:space="preserve">USSTE0105 </t>
  </si>
  <si>
    <t xml:space="preserve">FORD RESALE-US STEEL          </t>
  </si>
  <si>
    <t xml:space="preserve">RMSBR18K586A        </t>
  </si>
  <si>
    <t>RM2020-189193-ERMA</t>
  </si>
  <si>
    <t>.046/.048 X    9.094 X COIL</t>
  </si>
  <si>
    <t xml:space="preserve">WSS-M1A365-A11 CR1 PRELUBE    </t>
  </si>
  <si>
    <t xml:space="preserve">TARGE0105 </t>
  </si>
  <si>
    <t xml:space="preserve">FORD RESALE-TARGET STEEL      </t>
  </si>
  <si>
    <t xml:space="preserve">RMSE10786B          </t>
  </si>
  <si>
    <t>RM2024-212395-ERMA</t>
  </si>
  <si>
    <t>.113/.123 X   12.826 X COIL</t>
  </si>
  <si>
    <t>HRPO CQ          MILOIL</t>
  </si>
  <si>
    <t xml:space="preserve">WSS-M1A367-A46 50G50G         </t>
  </si>
  <si>
    <t xml:space="preserve">HEIDT0105 </t>
  </si>
  <si>
    <t xml:space="preserve">FORD RESALE-HEIDTMAN STEEL    </t>
  </si>
  <si>
    <t>570017001</t>
  </si>
  <si>
    <t xml:space="preserve">RMSE10792           </t>
  </si>
  <si>
    <t>RM2022-201418-ERMA</t>
  </si>
  <si>
    <t>.053/.057 X   56.00  X COIL</t>
  </si>
  <si>
    <t xml:space="preserve">WSS-M1A367-A37 CR380LA 50G50G </t>
  </si>
  <si>
    <t xml:space="preserve">RMSE16B292B         </t>
  </si>
  <si>
    <t>RM2024-212394-ERMA</t>
  </si>
  <si>
    <t>.074/.082 X   11.185 X COIL</t>
  </si>
  <si>
    <t xml:space="preserve">WSS-M1A367-A46 50G/50G        </t>
  </si>
  <si>
    <t xml:space="preserve">RMSE43488RL         </t>
  </si>
  <si>
    <t>RM2022-201429-ERMA</t>
  </si>
  <si>
    <t>.089/.093 X   15.157 X COIL</t>
  </si>
  <si>
    <t xml:space="preserve">WSS-M1A367-A38 CR420LA 50G50G </t>
  </si>
  <si>
    <t>U725 KIT SHLD RR SHK ABS</t>
  </si>
  <si>
    <t>SB3V 16E166 ZB</t>
  </si>
  <si>
    <t>U725 FRONT WARTHOG-AGS</t>
  </si>
  <si>
    <t xml:space="preserve">LB417/12                      </t>
  </si>
  <si>
    <t>N1WB-E03512-EAW</t>
  </si>
  <si>
    <t>P703 TWTR CVR BRANDED ASSY RH</t>
  </si>
  <si>
    <t>DET58111K34</t>
  </si>
  <si>
    <t xml:space="preserve">MB4/1200 ROW 269              </t>
  </si>
  <si>
    <t>N1WB E280A54 BA</t>
  </si>
  <si>
    <t>N1WB E200B62 A</t>
  </si>
  <si>
    <t xml:space="preserve">ROW 303D-W22                  </t>
  </si>
  <si>
    <t>N1WB E279A31 C</t>
  </si>
  <si>
    <t xml:space="preserve">ROW421                        </t>
  </si>
  <si>
    <t>KB3B 2110692/3 AD</t>
  </si>
  <si>
    <t>HS7-0370-W14 NUT WELD SUB ASS</t>
  </si>
  <si>
    <t>KB3B 2110370 A</t>
  </si>
  <si>
    <t xml:space="preserve">ROW286-W14-MB2                </t>
  </si>
  <si>
    <t>HS8-5A41-W2 NUT WELD SUB ASSY</t>
  </si>
  <si>
    <t>KB3B 26605A41 A</t>
  </si>
  <si>
    <t xml:space="preserve">ROW 27B-W2-MB2                </t>
  </si>
  <si>
    <t>P1WB-E280A54_5-BA</t>
  </si>
  <si>
    <t>P703 HS8-B292-W21W22 SUB ASY</t>
  </si>
  <si>
    <t>P1WB E16B292 B</t>
  </si>
  <si>
    <t xml:space="preserve">ROW183B-W15-MB4               </t>
  </si>
  <si>
    <t>ASYPW38250W15</t>
  </si>
  <si>
    <t>LB Hatch Latch Sub-Assembly</t>
  </si>
  <si>
    <t xml:space="preserve">ROW 182B                      </t>
  </si>
  <si>
    <t>N1WB E410K20 AA</t>
  </si>
  <si>
    <t xml:space="preserve">ROW300-MB2                    </t>
  </si>
  <si>
    <t>MB3B 21021A40 AD</t>
  </si>
  <si>
    <t>P703 PW5-3A41-W1 SUB ASSY</t>
  </si>
  <si>
    <t>MB3B 21023A41 AA</t>
  </si>
  <si>
    <t xml:space="preserve">ROW301B-MB2                   </t>
  </si>
  <si>
    <t>MB3B-2102038-AA</t>
  </si>
  <si>
    <t>P703 BRKT CWL SD DLCM</t>
  </si>
  <si>
    <t xml:space="preserve">ROW 38 MB4 800                </t>
  </si>
  <si>
    <t>MB3B-2610020-AC</t>
  </si>
  <si>
    <t>REINF RR ST BEL ANC</t>
  </si>
  <si>
    <t>KB3B 2661270 A</t>
  </si>
  <si>
    <t xml:space="preserve">ROW21-W2-MB2                  </t>
  </si>
  <si>
    <t>REINF RR ST BEL ANC LH</t>
  </si>
  <si>
    <t>KB3B 2661271 A</t>
  </si>
  <si>
    <t xml:space="preserve">ROW22-W2-MB2                  </t>
  </si>
  <si>
    <t>KB3B 26613E42 A</t>
  </si>
  <si>
    <t xml:space="preserve">ROW18-HS2-MB4                 </t>
  </si>
  <si>
    <t>P703 MBR FRT FLR CS #3</t>
  </si>
  <si>
    <t>STAMPED AS MB3B 5810698 AE</t>
  </si>
  <si>
    <t xml:space="preserve">ROW71A-W16-2-MB4              </t>
  </si>
  <si>
    <t>P703 MBR FRT FLR CS #3 LH</t>
  </si>
  <si>
    <t>STAMPED AS MB3B 5810699 BA</t>
  </si>
  <si>
    <t xml:space="preserve">ROW70A-W16-2-MB4              </t>
  </si>
  <si>
    <t>MB3B-58111K48-AG</t>
  </si>
  <si>
    <t>U725 FILL FLR TNL REINF</t>
  </si>
  <si>
    <t xml:space="preserve">ROW 283 MB4/2000              </t>
  </si>
  <si>
    <t>U725 REINF FLR TNL</t>
  </si>
  <si>
    <t xml:space="preserve">ROW 49 MB8/200                </t>
  </si>
  <si>
    <t>PC.WL68425118B</t>
  </si>
  <si>
    <t>WL BRKT CARGO RAIL FRT LT</t>
  </si>
  <si>
    <t xml:space="preserve">ROW 136B-CC71/2000            </t>
  </si>
  <si>
    <t>DET850109BU0A08N00L</t>
  </si>
  <si>
    <t xml:space="preserve">DETROIT ROW 257               </t>
  </si>
  <si>
    <t xml:space="preserve">XFNGCOV1  </t>
  </si>
  <si>
    <t>N1WB E50230 AA</t>
  </si>
  <si>
    <t>P703 REINF RF SLD PNL FR CTR</t>
  </si>
  <si>
    <t xml:space="preserve">ROW54A-W3-RACK                </t>
  </si>
  <si>
    <t>KB3B-26243C03-AG</t>
  </si>
  <si>
    <t>GID AIR CRTN CTR BDY PLR LH</t>
  </si>
  <si>
    <t>KB3B-26291A34-AD</t>
  </si>
  <si>
    <t>MLDG ASY BDY SD O/S UPR</t>
  </si>
  <si>
    <t xml:space="preserve">6435                          </t>
  </si>
  <si>
    <t>553009</t>
  </si>
  <si>
    <t>KB3B-26508A40-AB</t>
  </si>
  <si>
    <t>REINF ASY RF PNL CTR RR</t>
  </si>
  <si>
    <t>KB3B-9W506-AA</t>
  </si>
  <si>
    <t>U725-P375 BRKT ASY-ACEL PDL</t>
  </si>
  <si>
    <t>KB3B-2K004-AA</t>
  </si>
  <si>
    <t>KTN1WB 16L558 DB</t>
  </si>
  <si>
    <t>M2DB-17E811-BA5YZ9</t>
  </si>
  <si>
    <t>U725 CVR FRT BMPR OPG LH</t>
  </si>
  <si>
    <t>M2DB-X200B38-AC</t>
  </si>
  <si>
    <t>U725 ROCK RAIL SUPT MID BRKT</t>
  </si>
  <si>
    <t>MB3B 10723 AJ</t>
  </si>
  <si>
    <t>MLD16E166APIA02</t>
  </si>
  <si>
    <t>AGS VANE LONG</t>
  </si>
  <si>
    <t>RACK 21</t>
  </si>
  <si>
    <t>85132157</t>
  </si>
  <si>
    <t>BT1CC B-PILLAR LWR LH</t>
  </si>
  <si>
    <t>85156432</t>
  </si>
  <si>
    <t>MIC- BOOMERANG LH</t>
  </si>
  <si>
    <t>LH</t>
  </si>
  <si>
    <t xml:space="preserve">TOOL # 36810                  </t>
  </si>
  <si>
    <t>N1WB-E23942-A-PIA-45</t>
  </si>
  <si>
    <t>P703 SWT BEZ FRT SBST RH</t>
  </si>
  <si>
    <t xml:space="preserve">34034/34040                   </t>
  </si>
  <si>
    <t>N1WB E266A65 A PIA 01</t>
  </si>
  <si>
    <t>P703 RR GRAB HANDLE SPT LH</t>
  </si>
  <si>
    <t>ST96/48 DOOR LINE MARKET PLACE</t>
  </si>
  <si>
    <t xml:space="preserve">34025                         </t>
  </si>
  <si>
    <t>N1WB 14A568 BE3ZHE</t>
  </si>
  <si>
    <t>P703 HSG ASY-WDO REG LH SW RR</t>
  </si>
  <si>
    <t>N1WB-E23942-HF3ZHE</t>
  </si>
  <si>
    <t>N1WB-E23942-SF3LU4</t>
  </si>
  <si>
    <t>N1WB-E23942-TK1G1C</t>
  </si>
  <si>
    <t>N1WB-E23943-KL1G1C</t>
  </si>
  <si>
    <t>N1WB-E23943-VF1G1E</t>
  </si>
  <si>
    <t>N1WB-E23943-VF3LU4</t>
  </si>
  <si>
    <t>N1WB-E23943-YL1G1C</t>
  </si>
  <si>
    <t>N1WB E24396 CA31NB</t>
  </si>
  <si>
    <t>P703 B PILLAR RH</t>
  </si>
  <si>
    <t>N1WB E268A04 CB</t>
  </si>
  <si>
    <t>P703 REINF ASY RR DR HGE</t>
  </si>
  <si>
    <t xml:space="preserve">FRD01013  </t>
  </si>
  <si>
    <t>N1WB-E27406-CL3ZHE</t>
  </si>
  <si>
    <t>N1WB-E27406-SL1G1C</t>
  </si>
  <si>
    <t>EBONY SUPER SMOOTH</t>
  </si>
  <si>
    <t>N1WB-E27407-SL1G1C</t>
  </si>
  <si>
    <t>N1WB-E27407-UL1G1E</t>
  </si>
  <si>
    <t>N1WB-E27407-UL3LU4</t>
  </si>
  <si>
    <t>N1WB E31003 CD3ZHE</t>
  </si>
  <si>
    <t>P703 PNL ASY QTR TR UPR LH</t>
  </si>
  <si>
    <t xml:space="preserve">32666                         </t>
  </si>
  <si>
    <t>N1WB-E312A49-BC</t>
  </si>
  <si>
    <t>P703 BRKT ASY ASST HNDL</t>
  </si>
  <si>
    <t>N1WB-E412A05-CB</t>
  </si>
  <si>
    <t>PC.WL68436049</t>
  </si>
  <si>
    <t>WL BRKT SUPPORT LT</t>
  </si>
  <si>
    <t>68436049-CC71/700-TROY</t>
  </si>
  <si>
    <t xml:space="preserve">DETROIT ROW 350               </t>
  </si>
  <si>
    <t xml:space="preserve">REPACKS109A26       </t>
  </si>
  <si>
    <t>M2DB-S109A26-AB</t>
  </si>
  <si>
    <t>U725 BM ASY BMPR FRT</t>
  </si>
  <si>
    <t xml:space="preserve">REPACKS28126        </t>
  </si>
  <si>
    <t>M2DB-S28126-AA</t>
  </si>
  <si>
    <t>U725 BRKT ASY</t>
  </si>
  <si>
    <t>ST26/30</t>
  </si>
  <si>
    <t xml:space="preserve">ROW 65B                       </t>
  </si>
  <si>
    <t xml:space="preserve">RMP600GF30-BK       </t>
  </si>
  <si>
    <t>MAXTEL 600GF30-BK</t>
  </si>
  <si>
    <t>PP      PP GF30-03</t>
  </si>
  <si>
    <t>RXF   BLACK               CHRY</t>
  </si>
  <si>
    <t>665067012</t>
  </si>
  <si>
    <t xml:space="preserve">RMS2120170RLAA      </t>
  </si>
  <si>
    <t>RM2018-171074-ERMA</t>
  </si>
  <si>
    <t>.046/.048 X   22.05  X COIL</t>
  </si>
  <si>
    <t xml:space="preserve">WSS-M1A365-A12 CR2 50G50G-GI  </t>
  </si>
  <si>
    <t xml:space="preserve">WORTH0105 </t>
  </si>
  <si>
    <t xml:space="preserve">FORD RESALE-WORTHINGTON STEEL </t>
  </si>
  <si>
    <t xml:space="preserve">RMSBR3D072SB3C      </t>
  </si>
  <si>
    <t>.077/.081 X    7.531 X COIL</t>
  </si>
  <si>
    <t>CR   CQ          MILOIL</t>
  </si>
  <si>
    <t xml:space="preserve">WSS-M1A365-A11U CR1 CR CQ     </t>
  </si>
  <si>
    <t>68618404AA</t>
  </si>
  <si>
    <t>WS TOW HOOK BOOT AERO PRE LH</t>
  </si>
  <si>
    <t>N1WB E28252 AA</t>
  </si>
  <si>
    <t>P703 HS3-1212-W9 NUT WELD ASY</t>
  </si>
  <si>
    <t>N1WB E41212 A</t>
  </si>
  <si>
    <t xml:space="preserve">ROW312-W9-MB4                 </t>
  </si>
  <si>
    <t>N1WB E28253 AA</t>
  </si>
  <si>
    <t>P703 HS3-1213-W8 NUT WELD ASY</t>
  </si>
  <si>
    <t>N1WB E41213 A</t>
  </si>
  <si>
    <t xml:space="preserve">ROW313-W8-MB4                 </t>
  </si>
  <si>
    <t>P703 HS6 1022 W22 NUT WLD</t>
  </si>
  <si>
    <t>N1WB E41022B SUB ASSY</t>
  </si>
  <si>
    <t xml:space="preserve">ROW354-HS6-MB4                </t>
  </si>
  <si>
    <t>N1WB E280A55 BA</t>
  </si>
  <si>
    <t>P703 HS6 1023 W21 NUT WLD ASY</t>
  </si>
  <si>
    <t>N1WB E41023B SUB ASSY</t>
  </si>
  <si>
    <t xml:space="preserve">ROW355-HS6-MB4                </t>
  </si>
  <si>
    <t>KB3B 2610117 A</t>
  </si>
  <si>
    <t xml:space="preserve">ROW304E-W13-MB4 HV            </t>
  </si>
  <si>
    <t xml:space="preserve">ASYS200B38          </t>
  </si>
  <si>
    <t>M2DB-S200B38-AB</t>
  </si>
  <si>
    <t>U725 ROCK RAILS RR BRKT</t>
  </si>
  <si>
    <t xml:space="preserve">BLK2611218A         </t>
  </si>
  <si>
    <t>GAGE=.026" W-44.094" P=67.91"</t>
  </si>
  <si>
    <t>BLANK WT 21.71LB PAN RR FLRFRT</t>
  </si>
  <si>
    <t xml:space="preserve">WSS-M1A365-A14 50G50G-GI 1BLK </t>
  </si>
  <si>
    <t>CON68566221AA</t>
  </si>
  <si>
    <t>DT BUMPER BRACKET LH</t>
  </si>
  <si>
    <t>68566221AA</t>
  </si>
  <si>
    <t xml:space="preserve">FNGCXCEL  </t>
  </si>
  <si>
    <t>KB3B 26403E42 AA</t>
  </si>
  <si>
    <t>REINF BK PNL LWR CNR</t>
  </si>
  <si>
    <t>KB3B 2640342 A</t>
  </si>
  <si>
    <t xml:space="preserve">ROW303B-W15-2-MB2             </t>
  </si>
  <si>
    <t>PLT RR ST ANC</t>
  </si>
  <si>
    <t>KB3B 26605A40 A</t>
  </si>
  <si>
    <t xml:space="preserve">ROW302B-HS8-MB2               </t>
  </si>
  <si>
    <t>KB3B 26613E43 A</t>
  </si>
  <si>
    <t xml:space="preserve">ROW17-HS2-MB4                 </t>
  </si>
  <si>
    <t>MB3C-3D072-AE</t>
  </si>
  <si>
    <t xml:space="preserve">MB2/500 ROW 126               </t>
  </si>
  <si>
    <t xml:space="preserve">ROW 281 MB4/2000              </t>
  </si>
  <si>
    <t>DET850109BU0A07N00R</t>
  </si>
  <si>
    <t>H61P RR TOP PLT FD RH-ROW 256</t>
  </si>
  <si>
    <t xml:space="preserve">DETROIT ROW 256               </t>
  </si>
  <si>
    <t>P703 REINF FRT PLR UPR LH</t>
  </si>
  <si>
    <t xml:space="preserve">ROW 145A MB4/1000             </t>
  </si>
  <si>
    <t>N1WB-E51105-AA</t>
  </si>
  <si>
    <t>P703 REINF ASY RF SD LH</t>
  </si>
  <si>
    <t xml:space="preserve">ROW 143B MB8/300              </t>
  </si>
  <si>
    <t>KB3B-26403E88-AA</t>
  </si>
  <si>
    <t>PNL ASY BK PNL ACC</t>
  </si>
  <si>
    <t>M2DB-17A793-AD</t>
  </si>
  <si>
    <t>U725 BRKT FRT BMPR MTNG RH</t>
  </si>
  <si>
    <t xml:space="preserve">ST95/140   26605              </t>
  </si>
  <si>
    <t>M2DB-S502A74-AD</t>
  </si>
  <si>
    <t>M2DB-S517C86-AB</t>
  </si>
  <si>
    <t>U725 BRKT ASY RF O/S FIN PNL</t>
  </si>
  <si>
    <t xml:space="preserve">ST26/250  ROW 751             </t>
  </si>
  <si>
    <t xml:space="preserve">FRD01015  </t>
  </si>
  <si>
    <t>M2DB-X200B39-AC</t>
  </si>
  <si>
    <t>MB3B 10718 CC</t>
  </si>
  <si>
    <t>MB3B-5801710-AA</t>
  </si>
  <si>
    <t>U725 REINF DH SD PNL</t>
  </si>
  <si>
    <t xml:space="preserve">ST39/50   ROW 652             </t>
  </si>
  <si>
    <t>MB3C-5F147-RB</t>
  </si>
  <si>
    <t>U725 BRKT FU/TNK PROT</t>
  </si>
  <si>
    <t xml:space="preserve">ST26/50                       </t>
  </si>
  <si>
    <t>MLD17130017AA</t>
  </si>
  <si>
    <t>FR WAL DUCT LH</t>
  </si>
  <si>
    <t>6441</t>
  </si>
  <si>
    <t xml:space="preserve">ROWS 61/62                    </t>
  </si>
  <si>
    <t xml:space="preserve">ION01000  </t>
  </si>
  <si>
    <t>BT1CC 60% DIVIDER FRT PLATE</t>
  </si>
  <si>
    <t>N1WB E060B00 B PIA 02</t>
  </si>
  <si>
    <t>P703 FRT MAP POCKET RH</t>
  </si>
  <si>
    <t>ROW TBD/SB31</t>
  </si>
  <si>
    <t xml:space="preserve">34018                         </t>
  </si>
  <si>
    <t>N1WB-E23943-BA</t>
  </si>
  <si>
    <t>P703 FRT DR PNL DBL FULL LH</t>
  </si>
  <si>
    <t>N1WB E266A64 A PIA 01</t>
  </si>
  <si>
    <t>P703 RR GRAB HANDLE SPT RH</t>
  </si>
  <si>
    <t>N1WB-E27406-G-PIA-05</t>
  </si>
  <si>
    <t>P703 DOG HOUSE RH</t>
  </si>
  <si>
    <t xml:space="preserve">34611                         </t>
  </si>
  <si>
    <t>N1WB-E27407-G-PIA-05</t>
  </si>
  <si>
    <t>P703 DOG HOUSE LH</t>
  </si>
  <si>
    <t>N1WB E03512 DE31NB</t>
  </si>
  <si>
    <t>P703 A PLR UPR NONBRANDED RH</t>
  </si>
  <si>
    <t>N1WB E03512 EE31NB</t>
  </si>
  <si>
    <t>P703 A PILLAR UPR BRANDED RH</t>
  </si>
  <si>
    <t>N1WB-E23943-UF3ZHE</t>
  </si>
  <si>
    <t>N1WB-E27407-CL3ZHE</t>
  </si>
  <si>
    <t>N1WB E31002 CD3ZHE</t>
  </si>
  <si>
    <t>P703 PNL ASY QTR TR UPR</t>
  </si>
  <si>
    <t>N1WB-E312A48-BB</t>
  </si>
  <si>
    <t>PC PP802 AC</t>
  </si>
  <si>
    <t xml:space="preserve">ROW 457/459-W15-2-SB31        </t>
  </si>
  <si>
    <t>PC.WL68425109B</t>
  </si>
  <si>
    <t>WL CARGO RAIL FRT RT   56A</t>
  </si>
  <si>
    <t>68425109-CC71/500-TROY</t>
  </si>
  <si>
    <t xml:space="preserve">DETROIT ROW 56A               </t>
  </si>
  <si>
    <t xml:space="preserve">PCP8312AB           </t>
  </si>
  <si>
    <t>AGS A VERSION FRONT SEAL</t>
  </si>
  <si>
    <t xml:space="preserve">ROW 192/193                   </t>
  </si>
  <si>
    <t xml:space="preserve">USFCO0010 </t>
  </si>
  <si>
    <t xml:space="preserve">US FARATHANE LLC              </t>
  </si>
  <si>
    <t>320037</t>
  </si>
  <si>
    <t>PCB</t>
  </si>
  <si>
    <t xml:space="preserve">PCPT2DJ8312AA       </t>
  </si>
  <si>
    <t>AGS 60TH ANNIVERSARY FRONT</t>
  </si>
  <si>
    <t>SEAL</t>
  </si>
  <si>
    <t xml:space="preserve">REPACK10718         </t>
  </si>
  <si>
    <t>MB3B 10718 CB</t>
  </si>
  <si>
    <t>P703 CLMP BAT H/DWN</t>
  </si>
  <si>
    <t xml:space="preserve">ROW 66B                       </t>
  </si>
  <si>
    <t xml:space="preserve">RMPG75A520 205/09   </t>
  </si>
  <si>
    <t>G75A 520 205/09 YZ9A</t>
  </si>
  <si>
    <t xml:space="preserve">MULTI0100 </t>
  </si>
  <si>
    <t xml:space="preserve">MULTIBASE INC                 </t>
  </si>
  <si>
    <t>665999</t>
  </si>
  <si>
    <t xml:space="preserve">RMS2641726A         </t>
  </si>
  <si>
    <t>RM2018-171053-ERMA</t>
  </si>
  <si>
    <t>.057/.061 X   12.087 X COIL</t>
  </si>
  <si>
    <t xml:space="preserve">WSS-M1A367-A35  UNCOATED      </t>
  </si>
  <si>
    <t xml:space="preserve">KENWA0100 </t>
  </si>
  <si>
    <t xml:space="preserve">FORD RESALE-KENWAL STEEL CORP </t>
  </si>
  <si>
    <t xml:space="preserve">RMSE10766B          </t>
  </si>
  <si>
    <t>RM2023-209105-ERMA</t>
  </si>
  <si>
    <t>.045/.049 X   65.433 X COIL</t>
  </si>
  <si>
    <t xml:space="preserve">MSTST0105 </t>
  </si>
  <si>
    <t xml:space="preserve">FORD RESALE-MST STEEL CORP    </t>
  </si>
  <si>
    <t xml:space="preserve">RMSE41040RL         </t>
  </si>
  <si>
    <t>RM2020-201428-ERMA</t>
  </si>
  <si>
    <t>.038/.041 X   62.992 X COIL</t>
  </si>
  <si>
    <t xml:space="preserve">WSS-M1A367-A38 CR420 50G50G   </t>
  </si>
  <si>
    <t xml:space="preserve">STEEL0100 </t>
  </si>
  <si>
    <t xml:space="preserve">FORD RESALE-STEEL DYNAMICS    </t>
  </si>
  <si>
    <t>T2DJ 16E166 AA</t>
  </si>
  <si>
    <t>U725 AGS 60TH ANNIVERSARY</t>
  </si>
  <si>
    <t xml:space="preserve">LB417                         </t>
  </si>
  <si>
    <t>84643220</t>
  </si>
  <si>
    <t>T1XX PNL PUBX W/H RR LH</t>
  </si>
  <si>
    <t>BT1CC B-PILLAR LOWER RH</t>
  </si>
  <si>
    <t>ROW 191/195F/200</t>
  </si>
  <si>
    <t>P703 HS5-2C04-W16 NUT WELD</t>
  </si>
  <si>
    <t>MB3B 58112C04 AA</t>
  </si>
  <si>
    <t xml:space="preserve">ROW157-W16-2-MB4              </t>
  </si>
  <si>
    <t>P703 NUT WELD SUB ASSY LH</t>
  </si>
  <si>
    <t>N1WB E200B63 A</t>
  </si>
  <si>
    <t xml:space="preserve">ROW 303E-W21                  </t>
  </si>
  <si>
    <t>KB3B 2110780 AA</t>
  </si>
  <si>
    <t>KB3B 21108A60 B PIA 01</t>
  </si>
  <si>
    <t xml:space="preserve">ROW293-W17-MB2                </t>
  </si>
  <si>
    <t>KB3B 2628252 AC</t>
  </si>
  <si>
    <t>KB3B 2641212 A</t>
  </si>
  <si>
    <t xml:space="preserve">ROW171-W8-MB2                 </t>
  </si>
  <si>
    <t>N1WB E412A04 CA</t>
  </si>
  <si>
    <t>N1WB E410A76 A</t>
  </si>
  <si>
    <t xml:space="preserve">ROW 456                       </t>
  </si>
  <si>
    <t xml:space="preserve">ASYX200B39          </t>
  </si>
  <si>
    <t>M2DB-X200B39-AB</t>
  </si>
  <si>
    <t>U725 ROCK RAIL SUPT DID BRKT</t>
  </si>
  <si>
    <t>BRA CWL TOP INR</t>
  </si>
  <si>
    <t>KB3B 21023A41 A</t>
  </si>
  <si>
    <t xml:space="preserve">ROW271-PW5-MB2                </t>
  </si>
  <si>
    <t>P703 PNL CWL TOP INR RR</t>
  </si>
  <si>
    <t xml:space="preserve">ROW 405-406-407-408-409-410   </t>
  </si>
  <si>
    <t>KB3B 2110940 AB</t>
  </si>
  <si>
    <t>GST FLR PAN RR C/M REINF</t>
  </si>
  <si>
    <t>KB3B 21109A84 A</t>
  </si>
  <si>
    <t xml:space="preserve">ROW417-W19-MB4                </t>
  </si>
  <si>
    <t>MB3B 2610110 AA</t>
  </si>
  <si>
    <t>P703 MBR FLR SD CTR</t>
  </si>
  <si>
    <t>MB3B 26104A98 A</t>
  </si>
  <si>
    <t xml:space="preserve">ROW142B-327-W13-MB8           </t>
  </si>
  <si>
    <t>P703/U725 MBR FRT FLR CS #1</t>
  </si>
  <si>
    <t>MB3B 5810776 A</t>
  </si>
  <si>
    <t xml:space="preserve">ROW186B-MB4/300               </t>
  </si>
  <si>
    <t>KB3B 9W506 AA</t>
  </si>
  <si>
    <t>BRKT-ACEL PDL</t>
  </si>
  <si>
    <t>KB3B-9D823-A</t>
  </si>
  <si>
    <t xml:space="preserve">ROPW285-PW7-MB4               </t>
  </si>
  <si>
    <t>N1WB-E106B52-BA</t>
  </si>
  <si>
    <t>P703 SL RR FLR CS RR</t>
  </si>
  <si>
    <t xml:space="preserve">ROW404-W17-MB4                </t>
  </si>
  <si>
    <t>P703 REINF FRT PLR UPR</t>
  </si>
  <si>
    <t xml:space="preserve">ROW 144A MB4/1000             </t>
  </si>
  <si>
    <t>P703 RL P/U BOX O/S LH</t>
  </si>
  <si>
    <t xml:space="preserve">ROW 330                       </t>
  </si>
  <si>
    <t>P703 PLR RR BDY INR</t>
  </si>
  <si>
    <t xml:space="preserve">ROW175A                       </t>
  </si>
  <si>
    <t>U725 BELT SHELF INNER LH</t>
  </si>
  <si>
    <t xml:space="preserve">ROW 304F  MB4/500             </t>
  </si>
  <si>
    <t>M2DB-17E810-GC5YZ9</t>
  </si>
  <si>
    <t>U725 BUMPERTTE MODULAR</t>
  </si>
  <si>
    <t xml:space="preserve">ST95A/12  ROW  29317          </t>
  </si>
  <si>
    <t xml:space="preserve">MB6/160                       </t>
  </si>
  <si>
    <t>MLD17130016AA</t>
  </si>
  <si>
    <t>FR WAL DUCT RH</t>
  </si>
  <si>
    <t xml:space="preserve">ROWS 59/60                    </t>
  </si>
  <si>
    <t>KB3B 26243C03</t>
  </si>
  <si>
    <t>B PILLAR RAMP LH</t>
  </si>
  <si>
    <t>N1WB-E23942-A-PIA-30</t>
  </si>
  <si>
    <t>P703 RH FRONT IP EXT MIC</t>
  </si>
  <si>
    <t>ST39/48 DOOR LINE MARKET PLACE</t>
  </si>
  <si>
    <t xml:space="preserve">34031                         </t>
  </si>
  <si>
    <t>N1WB-16D232-BB</t>
  </si>
  <si>
    <t>P703 BRA ASY FRT FNDR TO RAD</t>
  </si>
  <si>
    <t xml:space="preserve">ROW TBD-MB2                   </t>
  </si>
  <si>
    <t>N1WB-16D233-BB</t>
  </si>
  <si>
    <t xml:space="preserve">ROWxxxx-MB2                   </t>
  </si>
  <si>
    <t>N1WB E03513 EH31NB</t>
  </si>
  <si>
    <t>P703 A PILLAR UPR BRANDED LH</t>
  </si>
  <si>
    <t>N1WB E268A05 CB</t>
  </si>
  <si>
    <t>N1WB-E40781-AC</t>
  </si>
  <si>
    <t>N1WB-E51104-AA</t>
  </si>
  <si>
    <t>P703 RL ASY RR RF SD INR</t>
  </si>
  <si>
    <t>PC.WL68436048</t>
  </si>
  <si>
    <t>WL BRKT SUPPORT RT</t>
  </si>
  <si>
    <t>68436048-CC71/700-TROY</t>
  </si>
  <si>
    <t xml:space="preserve">DETROIT ROW 351               </t>
  </si>
  <si>
    <t>PC02221</t>
  </si>
  <si>
    <t>MB3B 5802221 A/FNG102/260</t>
  </si>
  <si>
    <t xml:space="preserve">ROW-146A                      </t>
  </si>
  <si>
    <t>PC31593A</t>
  </si>
  <si>
    <t>WL MID TUNNEL REINF LT</t>
  </si>
  <si>
    <t>68431593-CC71/750-TROY</t>
  </si>
  <si>
    <t xml:space="preserve">DETROIT ROW 133A              </t>
  </si>
  <si>
    <t xml:space="preserve">PCPGMBEW18200       </t>
  </si>
  <si>
    <t>1-11195-3200-302</t>
  </si>
  <si>
    <t>BT1CC A-PILLAR WRAPPED RH</t>
  </si>
  <si>
    <t xml:space="preserve">PCS2610142AB        </t>
  </si>
  <si>
    <t>REINF BODY RKR PNL</t>
  </si>
  <si>
    <t xml:space="preserve">ROW 427                       </t>
  </si>
  <si>
    <t xml:space="preserve">PCSW520774S300      </t>
  </si>
  <si>
    <t>W520774</t>
  </si>
  <si>
    <t>NUT   WELD       X  .  X   .</t>
  </si>
  <si>
    <t>FLANGE  STEEL   .</t>
  </si>
  <si>
    <t xml:space="preserve">STEEL-MELT&amp;POURTAIWAN         </t>
  </si>
  <si>
    <t xml:space="preserve">INDUS0140 </t>
  </si>
  <si>
    <t xml:space="preserve">INDUSTRIAL FASTENER           </t>
  </si>
  <si>
    <t>320042001</t>
  </si>
  <si>
    <t>PUR21000K50 A</t>
  </si>
  <si>
    <t>DET21000K50-DET/ROYAL OAK</t>
  </si>
  <si>
    <t xml:space="preserve">DETROIT ROW 446-447           </t>
  </si>
  <si>
    <t xml:space="preserve">XFNGRO    </t>
  </si>
  <si>
    <t>R1WB E41018 CA</t>
  </si>
  <si>
    <t>P703 TAILGATE ASSY</t>
  </si>
  <si>
    <t xml:space="preserve">43262                         </t>
  </si>
  <si>
    <t xml:space="preserve">RMPPP8285E1         </t>
  </si>
  <si>
    <t>PP8285E1</t>
  </si>
  <si>
    <t>PP      PP8285-E1</t>
  </si>
  <si>
    <t>NATURAL             FORD</t>
  </si>
  <si>
    <t xml:space="preserve">EXXON0100 </t>
  </si>
  <si>
    <t xml:space="preserve">EXXONMOBIL PRODUCT SOLUTIONS  </t>
  </si>
  <si>
    <t xml:space="preserve">RMS26111B94A        </t>
  </si>
  <si>
    <t>RM2018-170914-ERMA</t>
  </si>
  <si>
    <t>.027/.029 X   44.5   X COIL</t>
  </si>
  <si>
    <t xml:space="preserve">WSS-M1A365-A14  50G50G-GI     </t>
  </si>
  <si>
    <t xml:space="preserve">CLEVE0140 </t>
  </si>
  <si>
    <t xml:space="preserve">FORD RESALE-CLIFFS STEEL INC  </t>
  </si>
  <si>
    <t>86584061</t>
  </si>
  <si>
    <t>BT1CC C-PILLAR LWR LH VALUE</t>
  </si>
  <si>
    <t>188,203</t>
  </si>
  <si>
    <t xml:space="preserve">36798                         </t>
  </si>
  <si>
    <t xml:space="preserve">ASY10723SNAP        </t>
  </si>
  <si>
    <t>MB3B 10723 AH_GH</t>
  </si>
  <si>
    <t>P703 BATTERY TRAY SNAPCELL</t>
  </si>
  <si>
    <t>XCEL TO DETROIT</t>
  </si>
  <si>
    <t xml:space="preserve">ROW BESIDE SNAP               </t>
  </si>
  <si>
    <t>P1WB E280A55 BA</t>
  </si>
  <si>
    <t>P703 HS4 0L76 NUT WELD</t>
  </si>
  <si>
    <t>N1WB E281C53 BA</t>
  </si>
  <si>
    <t xml:space="preserve">ROW303A-W21-MB2               </t>
  </si>
  <si>
    <t>MB3B 2102038 AD</t>
  </si>
  <si>
    <t>P703 HS5 4367 W16 NUTWLD ASY</t>
  </si>
  <si>
    <t>PCS5804367</t>
  </si>
  <si>
    <t xml:space="preserve">ROW167-168-HS5                </t>
  </si>
  <si>
    <t>HS6-1A30-W8 NUT WELD SUB ASS</t>
  </si>
  <si>
    <t>KB3B 26281A30 A</t>
  </si>
  <si>
    <t xml:space="preserve">ROW400-W9-MB4                 </t>
  </si>
  <si>
    <t>KB3B 2628253 AC</t>
  </si>
  <si>
    <t>HS6-1A31-W9 NUT WELD SUB ASS</t>
  </si>
  <si>
    <t>KB3B 26281A31 A</t>
  </si>
  <si>
    <t xml:space="preserve">ROW308-HS6-MB4                </t>
  </si>
  <si>
    <t>MS1-3110-W2 MIG WELD SUB ASSY</t>
  </si>
  <si>
    <t>KB3B 2613110 A</t>
  </si>
  <si>
    <t xml:space="preserve">ROW393-W2-MB4                 </t>
  </si>
  <si>
    <t>CON68566220AA</t>
  </si>
  <si>
    <t>DT BUMPER BRACKET RH</t>
  </si>
  <si>
    <t>68566220AA</t>
  </si>
  <si>
    <t>MB3B-10723-A_G</t>
  </si>
  <si>
    <t>P703 BAT TRY</t>
  </si>
  <si>
    <t xml:space="preserve">ROW 173B                      </t>
  </si>
  <si>
    <t>U725 GST D/PNL REINF</t>
  </si>
  <si>
    <t>MB3B 5801710 AA</t>
  </si>
  <si>
    <t xml:space="preserve">ROW 261E MB4/1000             </t>
  </si>
  <si>
    <t>P703 REINF FLR SD FRT MBR R</t>
  </si>
  <si>
    <t>MB3B 5810202 A</t>
  </si>
  <si>
    <t xml:space="preserve">ROW238D-W14/W4-               </t>
  </si>
  <si>
    <t>MB3B 5810203 A</t>
  </si>
  <si>
    <t xml:space="preserve">ROW238E-W14/W4-MB4/600        </t>
  </si>
  <si>
    <t>P703 PLT RR ST MTNG</t>
  </si>
  <si>
    <t>MB3B 58112C04 A</t>
  </si>
  <si>
    <t xml:space="preserve">ROW174A-HS5-MB4               </t>
  </si>
  <si>
    <t>DET8A297PIA04OS</t>
  </si>
  <si>
    <t>U625 HYBRID CRSS MBR BKT RH</t>
  </si>
  <si>
    <t>N1WB E412A05 CA</t>
  </si>
  <si>
    <t xml:space="preserve">ROW 299 - W15-1 - MB4         </t>
  </si>
  <si>
    <t>P1WB E10610 BA</t>
  </si>
  <si>
    <t>P1WB E403C96 A</t>
  </si>
  <si>
    <t xml:space="preserve">ROW 47-W19-MB8                </t>
  </si>
  <si>
    <t>P703 PLR RR CNR LWR LH</t>
  </si>
  <si>
    <t>N1WB E41041 BA</t>
  </si>
  <si>
    <t xml:space="preserve">ROW 326                       </t>
  </si>
  <si>
    <t>TO DOCK FOR E-COATED</t>
  </si>
  <si>
    <t xml:space="preserve">AB270/66 ROW 125-127,170-172  </t>
  </si>
  <si>
    <t>M2DB-S27830-AA</t>
  </si>
  <si>
    <t>U725 BELT SHELF INNER</t>
  </si>
  <si>
    <t xml:space="preserve">ROW 304D MB4/500              </t>
  </si>
  <si>
    <t>MB3C-3D072-EA</t>
  </si>
  <si>
    <t xml:space="preserve">ST39/50                       </t>
  </si>
  <si>
    <t>N1WB-E237W21-B-PIA-01</t>
  </si>
  <si>
    <t>P703 SWT BEZ RR DBL LH</t>
  </si>
  <si>
    <t>N1WB-E26657-A-PIA-02</t>
  </si>
  <si>
    <t>P703 PULL CUP RAMP COVER LH</t>
  </si>
  <si>
    <t>N1WB 14A563 KD3ZHE</t>
  </si>
  <si>
    <t xml:space="preserve">34040                         </t>
  </si>
  <si>
    <t>N1WB 14A567 BE3ZHE</t>
  </si>
  <si>
    <t>P703 HSG ASY-WDO REG RH SW RR</t>
  </si>
  <si>
    <t>N1WB-E280K96-DA</t>
  </si>
  <si>
    <t>P703 REAR TIRE AIR DEFLE</t>
  </si>
  <si>
    <t xml:space="preserve">36000                         </t>
  </si>
  <si>
    <t>N1WB-E280K97-DA</t>
  </si>
  <si>
    <t>N1WB-E28345-DA</t>
  </si>
  <si>
    <t>P703 FRONT WHEEL ARCH LH</t>
  </si>
  <si>
    <t xml:space="preserve">34167                         </t>
  </si>
  <si>
    <t>N1WB E410A42 AA</t>
  </si>
  <si>
    <t>P703 REINF RR CNR INR RR</t>
  </si>
  <si>
    <t>PLR LWR</t>
  </si>
  <si>
    <t>N1WB E41624 AC</t>
  </si>
  <si>
    <t>P703 RNF TL/GT INR TO OTR PNL</t>
  </si>
  <si>
    <t>PC.WL68424075</t>
  </si>
  <si>
    <t>WL RR SHEAR PLATE MTG</t>
  </si>
  <si>
    <t>68424075-CC71/600-TROY</t>
  </si>
  <si>
    <t xml:space="preserve">DETROIT ROW 462               </t>
  </si>
  <si>
    <t>PC.WL68426191</t>
  </si>
  <si>
    <t>WL DBL 2ND ROW SEAT DET DOCK</t>
  </si>
  <si>
    <t>68426191-CC71/10000-TROY</t>
  </si>
  <si>
    <t>PC.WL68430494</t>
  </si>
  <si>
    <t>WL BRKT SPARE TIRE HOL</t>
  </si>
  <si>
    <t>68430494-CC71/1000-TROY</t>
  </si>
  <si>
    <t xml:space="preserve">DETROIT ROW 57B               </t>
  </si>
  <si>
    <t>PC.WL68435702</t>
  </si>
  <si>
    <t>WL REINF EXA HANGER RD</t>
  </si>
  <si>
    <t>68435702-CC71/500-TROY</t>
  </si>
  <si>
    <t xml:space="preserve">DETROIT ROW 427               </t>
  </si>
  <si>
    <t>PC30481C</t>
  </si>
  <si>
    <t>WL PANEL CLOSEOUT</t>
  </si>
  <si>
    <t>68430481-CC71/600-TROY</t>
  </si>
  <si>
    <t xml:space="preserve">DETROIT ROW 358               </t>
  </si>
  <si>
    <t xml:space="preserve">PCP8312BA           </t>
  </si>
  <si>
    <t>AGS B VERSION FRONT SEAL</t>
  </si>
  <si>
    <t xml:space="preserve">ROW 194/195                   </t>
  </si>
  <si>
    <t xml:space="preserve">PCP8312ZB           </t>
  </si>
  <si>
    <t>AGS WARTHOG VERSION FRONT SEAL</t>
  </si>
  <si>
    <t xml:space="preserve">PCSW520772-S300     </t>
  </si>
  <si>
    <t>W520772</t>
  </si>
  <si>
    <t>NUT   FLANGE     X  .  X   .</t>
  </si>
  <si>
    <t>320042012</t>
  </si>
  <si>
    <t>PUR2110370 A</t>
  </si>
  <si>
    <t>DET2110370</t>
  </si>
  <si>
    <t xml:space="preserve">DETROIT ROW 66A               </t>
  </si>
  <si>
    <t>PUR58107A96 A</t>
  </si>
  <si>
    <t>U725 MBR FRT FLR CS R-ROW 907</t>
  </si>
  <si>
    <t>MB3B 58107A96A</t>
  </si>
  <si>
    <t xml:space="preserve">DETROIT ROW 238A              </t>
  </si>
  <si>
    <t xml:space="preserve">REPACK5F147         </t>
  </si>
  <si>
    <t>MB3C-5F147-RA</t>
  </si>
  <si>
    <t>U725 LWER TRAIL LINK SHEILD</t>
  </si>
  <si>
    <t xml:space="preserve">ROW 85&amp;88                     </t>
  </si>
  <si>
    <t>N1WB E404D91 AC</t>
  </si>
  <si>
    <t>P703 BRKT INS LFT GT OTR</t>
  </si>
  <si>
    <t>REPACK</t>
  </si>
  <si>
    <t xml:space="preserve">ROW 62B                       </t>
  </si>
  <si>
    <t xml:space="preserve">RMPMAGNUM3325MT     </t>
  </si>
  <si>
    <t>MAGNUM 3325 MT NATURAL</t>
  </si>
  <si>
    <t>ABS     MAGNUM 3325 - BLENDED</t>
  </si>
  <si>
    <t xml:space="preserve">ENTEC0100 </t>
  </si>
  <si>
    <t xml:space="preserve">ENTEC POLYMERS LLC            </t>
  </si>
  <si>
    <t>665067001</t>
  </si>
  <si>
    <t xml:space="preserve">RMPPPH5TF2 JA6A     </t>
  </si>
  <si>
    <t>PPH5TF2 UV JA6A</t>
  </si>
  <si>
    <t>PP      PPH5TF2 UV</t>
  </si>
  <si>
    <t>JA6A  BLACK               FORD</t>
  </si>
  <si>
    <t xml:space="preserve">WASHI0100 </t>
  </si>
  <si>
    <t xml:space="preserve">WASHINGTON PENN PLASTICS CO   </t>
  </si>
  <si>
    <t xml:space="preserve">RMS2101514A         </t>
  </si>
  <si>
    <t>RM2018-173264-ERMA</t>
  </si>
  <si>
    <t>.097/.107 X    3.78  X COIL</t>
  </si>
  <si>
    <t>HRPO CQ          .</t>
  </si>
  <si>
    <t xml:space="preserve">WSS-M1A365-A21  UNCOATED      </t>
  </si>
  <si>
    <t xml:space="preserve">RMS26243B12RLA      </t>
  </si>
  <si>
    <t>RM2019-178388-ERMA</t>
  </si>
  <si>
    <t>.028/.034 X   43.504 X COIL</t>
  </si>
  <si>
    <t xml:space="preserve">WSS-M1A368-A15   50G50G-GI    </t>
  </si>
  <si>
    <t xml:space="preserve">RMSBRS41224ARL      </t>
  </si>
  <si>
    <t>RM2020-189095-ERMA ROYAL OAK</t>
  </si>
  <si>
    <t>.038/.040 X   64.567 X COIL</t>
  </si>
  <si>
    <t>HDGA CQ          50G50G .</t>
  </si>
  <si>
    <t xml:space="preserve">WSS-M1A365-A14 CR4 50G50G     </t>
  </si>
  <si>
    <t xml:space="preserve">USSTE0115 </t>
  </si>
  <si>
    <t xml:space="preserve">FORD RESALE-US STEEL/RO       </t>
  </si>
  <si>
    <t>570017005</t>
  </si>
  <si>
    <t xml:space="preserve">RMSE279D58ARL       </t>
  </si>
  <si>
    <t>RM2024-212393-ERMA</t>
  </si>
  <si>
    <t>.052/.057 X   37.116 X COIL</t>
  </si>
  <si>
    <t xml:space="preserve">WSS-M1A367-A36 50/50G         </t>
  </si>
  <si>
    <t xml:space="preserve">RMSWL68426174/5     </t>
  </si>
  <si>
    <t>68426174SD</t>
  </si>
  <si>
    <t>.095/.102 X   15.669 X COIL</t>
  </si>
  <si>
    <t>HDGA CQ          60G60G .</t>
  </si>
  <si>
    <t xml:space="preserve">LAH340Y410T HR GI60/60 U      </t>
  </si>
  <si>
    <t xml:space="preserve">NATIO0105 </t>
  </si>
  <si>
    <t>FCA RESALE-NATIONAL MATERIAL/T</t>
  </si>
  <si>
    <t>84533245</t>
  </si>
  <si>
    <t>T1XX PNL PUBX W/H FRT LH</t>
  </si>
  <si>
    <t>84533246</t>
  </si>
  <si>
    <t>T1XX PNL PUBX W/H FRT RH</t>
  </si>
  <si>
    <t>84643221</t>
  </si>
  <si>
    <t>T1XX PNL PUBX W/H RR RH</t>
  </si>
  <si>
    <t xml:space="preserve">85746600            </t>
  </si>
  <si>
    <t>85746600</t>
  </si>
  <si>
    <t>BT1CC B-PILLAR UPPER LH</t>
  </si>
  <si>
    <t>32</t>
  </si>
  <si>
    <t xml:space="preserve">36808                         </t>
  </si>
  <si>
    <t xml:space="preserve">85746601            </t>
  </si>
  <si>
    <t>85746601</t>
  </si>
  <si>
    <t>BT1CC B-PILLAR UPPER RH</t>
  </si>
  <si>
    <t>33</t>
  </si>
  <si>
    <t>85824846</t>
  </si>
  <si>
    <t>BT1CC A-PILLAR UP LEVEL LH</t>
  </si>
  <si>
    <t>215</t>
  </si>
  <si>
    <t>P703 REINF FU/TNK FILL PIP MT</t>
  </si>
  <si>
    <t>N1WB-E405K02-A</t>
  </si>
  <si>
    <t xml:space="preserve">ROW302F-W21-MB2               </t>
  </si>
  <si>
    <t>P703 NUT WELD SUB ASY</t>
  </si>
  <si>
    <t>MB3B 21024A68 A</t>
  </si>
  <si>
    <t xml:space="preserve">ROW 155-W13                   </t>
  </si>
  <si>
    <t>P1WB E280A54 BA</t>
  </si>
  <si>
    <t>N1WB E281C52 BA</t>
  </si>
  <si>
    <t xml:space="preserve">ROW302G-W22-MB2               </t>
  </si>
  <si>
    <t>P703 HS4 6386 W16 NUT WELD</t>
  </si>
  <si>
    <t>N1WB E16386 BA</t>
  </si>
  <si>
    <t xml:space="preserve">ROW326A-W16-1-MB2             </t>
  </si>
  <si>
    <t>P703 HS4 6386 NUT WELD</t>
  </si>
  <si>
    <t>N1WB E16387 BA</t>
  </si>
  <si>
    <t xml:space="preserve">ROW326B-W16-1-MB2-500         </t>
  </si>
  <si>
    <t>P1WB E279D58 AA</t>
  </si>
  <si>
    <t xml:space="preserve">ROW63A-W22-MB4                </t>
  </si>
  <si>
    <t>HS8-5A40-W2 NUT WELD SUB ASSY</t>
  </si>
  <si>
    <t xml:space="preserve">ROW 42-W2-MB2                 </t>
  </si>
  <si>
    <t>N1WB E27726 AC</t>
  </si>
  <si>
    <t xml:space="preserve">ROW397-HS8-8A60-W11           </t>
  </si>
  <si>
    <t>KB3B 26103B60 A</t>
  </si>
  <si>
    <t xml:space="preserve">ROW73C-W2-MB2                 </t>
  </si>
  <si>
    <t xml:space="preserve">BLKE513D20RH        </t>
  </si>
  <si>
    <t>N1WB E51104 AA</t>
  </si>
  <si>
    <t>GAGE=.063"W=57.00 PITCH 13.583</t>
  </si>
  <si>
    <t>BLANK WT= 13.852 R &amp; L FLIP</t>
  </si>
  <si>
    <t>WSS-M1A368-A15 DP1000 UNCOATED</t>
  </si>
  <si>
    <t>KB3B 2110780 AC</t>
  </si>
  <si>
    <t>BRACKET 1</t>
  </si>
  <si>
    <t>KB3B 21108A60 B_PIA01</t>
  </si>
  <si>
    <t xml:space="preserve">ROW322-MIGSUB2-MB2            </t>
  </si>
  <si>
    <t>BRACKET 2</t>
  </si>
  <si>
    <t>KB3B 21108A60 B_PIA03</t>
  </si>
  <si>
    <t xml:space="preserve">ROW315-MIGSUB2-MB2            </t>
  </si>
  <si>
    <t>KB3B 2610129 AB</t>
  </si>
  <si>
    <t>PNL BDY RKR LH</t>
  </si>
  <si>
    <t>KB3B 2610131 A</t>
  </si>
  <si>
    <t xml:space="preserve">ROW46-W12-MB8                 </t>
  </si>
  <si>
    <t>REINF MBR RR FLR CS FRT</t>
  </si>
  <si>
    <t>KB3B 26107K40 A</t>
  </si>
  <si>
    <t xml:space="preserve">ROW19-W2-MB4                  </t>
  </si>
  <si>
    <t>REINF RR FLR PAN RR LH</t>
  </si>
  <si>
    <t xml:space="preserve">ROW15-W2-WB                   </t>
  </si>
  <si>
    <t>BRKT RR FLR HT DEFL</t>
  </si>
  <si>
    <t xml:space="preserve">ROW263-PW2-MB2                </t>
  </si>
  <si>
    <t>PLT RR FLR PAN</t>
  </si>
  <si>
    <t xml:space="preserve">ROW13-W2-WB4                  </t>
  </si>
  <si>
    <t>BRKT FLR PAN CTR</t>
  </si>
  <si>
    <t xml:space="preserve">ROW307-HS8-MB4                </t>
  </si>
  <si>
    <t>PNL BDY LK PLR</t>
  </si>
  <si>
    <t>KB3B 26281A30 AC</t>
  </si>
  <si>
    <t xml:space="preserve">ROW277-HS6-MB4                </t>
  </si>
  <si>
    <t>KB3B 26625A64 A</t>
  </si>
  <si>
    <t xml:space="preserve">ROW239-HS2-MB2                </t>
  </si>
  <si>
    <t>MB3B 5810777 A</t>
  </si>
  <si>
    <t xml:space="preserve">ROW185B-MB4/300               </t>
  </si>
  <si>
    <t xml:space="preserve">MB2/3000 ROW 276              </t>
  </si>
  <si>
    <t>WL BRKT CARGO RAIL FRT RT</t>
  </si>
  <si>
    <t xml:space="preserve">ROW 137B-CC71/2000            </t>
  </si>
  <si>
    <t>PC.WL68426192</t>
  </si>
  <si>
    <t>WL DOUBLER 2 ROW SEAT BELT RH</t>
  </si>
  <si>
    <t xml:space="preserve">ROW 138B CC71/ 600            </t>
  </si>
  <si>
    <t>7YS87TRMAA</t>
  </si>
  <si>
    <t>WS FOGLAMP BZL POS2 MOLDED</t>
  </si>
  <si>
    <t>ST39/500</t>
  </si>
  <si>
    <t xml:space="preserve">43201                         </t>
  </si>
  <si>
    <t xml:space="preserve">XPYRAM10  </t>
  </si>
  <si>
    <t>DET850109BU0A09N00R</t>
  </si>
  <si>
    <t xml:space="preserve">DETROIT ROW 258               </t>
  </si>
  <si>
    <t>DET850109BU0A10N00L</t>
  </si>
  <si>
    <t xml:space="preserve">DETROIT ROW 259               </t>
  </si>
  <si>
    <t>DET8A297PIA03OS</t>
  </si>
  <si>
    <t>U625 HYBRID CRSS MBR CNT BRK</t>
  </si>
  <si>
    <t>P703 SL RR FLR CS #2</t>
  </si>
  <si>
    <t xml:space="preserve">ROW 454/455 MB4/300           </t>
  </si>
  <si>
    <t>N1WB-E403E32-AB</t>
  </si>
  <si>
    <t>N1WB E403B48 AB</t>
  </si>
  <si>
    <t xml:space="preserve">ROW70B-W16-1-MB6              </t>
  </si>
  <si>
    <t>N1WB E28252 AE</t>
  </si>
  <si>
    <t>P703 REINF RR CNR OTR PLR LWR</t>
  </si>
  <si>
    <t>N1WB E41058 A</t>
  </si>
  <si>
    <t xml:space="preserve">ROW180A-180B-MB4              </t>
  </si>
  <si>
    <t>MSDB-S200B38-AB</t>
  </si>
  <si>
    <t xml:space="preserve">MB4/500 ROW 105               </t>
  </si>
  <si>
    <t>M2DB-X200B38-AB</t>
  </si>
  <si>
    <t xml:space="preserve">MB4/400 ROW 107               </t>
  </si>
  <si>
    <t>KB3B 17N397 AC</t>
  </si>
  <si>
    <t>BRKT ASY LIC PLT MTNG</t>
  </si>
  <si>
    <t xml:space="preserve">6315                          </t>
  </si>
  <si>
    <t>M2DB-17E810-BA5YZ9</t>
  </si>
  <si>
    <t>U725 CVR FRT BMPR OPG RH</t>
  </si>
  <si>
    <t xml:space="preserve">ST96A/21 27666                </t>
  </si>
  <si>
    <t>P703 REINF D/PNL RH INR</t>
  </si>
  <si>
    <t>MLD16E166APIA07</t>
  </si>
  <si>
    <t>VANE LINK MAIN</t>
  </si>
  <si>
    <t xml:space="preserve">27221                         </t>
  </si>
  <si>
    <t>KB3B 26243C02</t>
  </si>
  <si>
    <t>B PILLAR RAMP RH</t>
  </si>
  <si>
    <t>P703 Tweeter Cover Branded LH</t>
  </si>
  <si>
    <t xml:space="preserve">TOOL # 32661                  </t>
  </si>
  <si>
    <t>N1WB-E23943-H/S</t>
  </si>
  <si>
    <t>N1WB-E23942-AA</t>
  </si>
  <si>
    <t>P703 FRT DR PNL DBL FULL RH</t>
  </si>
  <si>
    <t>N1WB-E26656-A-PIA-01</t>
  </si>
  <si>
    <t>N1WB E03513 EH3ZHE</t>
  </si>
  <si>
    <t>N1WB-E23942-BK3LU4</t>
  </si>
  <si>
    <t>N1WB-E23943-KL3LU4</t>
  </si>
  <si>
    <t>N1WB E24397 CA3ZHE</t>
  </si>
  <si>
    <t>N1WB-E27406-RP3LU4</t>
  </si>
  <si>
    <t>N1WB-E27407-RP3LU4</t>
  </si>
  <si>
    <t>N1WB-E28344-DA</t>
  </si>
  <si>
    <t>P703 FRONT WHEEL ARCH RH</t>
  </si>
  <si>
    <t>PC.WL68425102</t>
  </si>
  <si>
    <t>WL SEAT ATT UPR RT</t>
  </si>
  <si>
    <t>68425102-CC71/1200-TROY</t>
  </si>
  <si>
    <t>WL BRKT 2ND SEAT MTG 55A</t>
  </si>
  <si>
    <t>68426192-CC71/1000-TROY</t>
  </si>
  <si>
    <t xml:space="preserve">DETROIT ROW 55A               </t>
  </si>
  <si>
    <t>WL SUPPORT CNT BEARING</t>
  </si>
  <si>
    <t>68431601-CC71/1500-TROY</t>
  </si>
  <si>
    <t xml:space="preserve">DETROIT ROW 432               </t>
  </si>
  <si>
    <t>PC17B810 AA5YZ9</t>
  </si>
  <si>
    <t>P702 BEV STP PD 10K</t>
  </si>
  <si>
    <t>NL34 17B810 AA5YZ9</t>
  </si>
  <si>
    <t xml:space="preserve">32888                         </t>
  </si>
  <si>
    <t>PC24957A</t>
  </si>
  <si>
    <t>WL REINF SHOCK MTG RR</t>
  </si>
  <si>
    <t>68424957-CC71/360-TROY</t>
  </si>
  <si>
    <t>PC24958A</t>
  </si>
  <si>
    <t>68424958-CC71/360-TROY</t>
  </si>
  <si>
    <t>PC26172B</t>
  </si>
  <si>
    <t>WL SUP CNT BEARING B</t>
  </si>
  <si>
    <t>68426172-CS120/100-TROY</t>
  </si>
  <si>
    <t xml:space="preserve">DETROW 52B/53                 </t>
  </si>
  <si>
    <t>PC30482A</t>
  </si>
  <si>
    <t>68430482-CC71/900-TROY</t>
  </si>
  <si>
    <t xml:space="preserve">DETROIT ROW 430               </t>
  </si>
  <si>
    <t>PC30483A</t>
  </si>
  <si>
    <t>WL PNL RR RAIL EXT RT-</t>
  </si>
  <si>
    <t>68430483-CC71/900-TROY</t>
  </si>
  <si>
    <t xml:space="preserve">DETROIT ROW 82&amp;83             </t>
  </si>
  <si>
    <t xml:space="preserve">PCP14529B           </t>
  </si>
  <si>
    <t>REAR WINDOW SWITCH</t>
  </si>
  <si>
    <t xml:space="preserve">KOSTA0100 </t>
  </si>
  <si>
    <t xml:space="preserve">KOSTAL (SHANGHAI) MANAGEMENT  </t>
  </si>
  <si>
    <t>055005</t>
  </si>
  <si>
    <t xml:space="preserve">PCPE22600A          </t>
  </si>
  <si>
    <t>N1WB-E22600-ACW</t>
  </si>
  <si>
    <t>P703 RELEASE HANDLE RH MIC</t>
  </si>
  <si>
    <t xml:space="preserve">NOVAR0100 </t>
  </si>
  <si>
    <t xml:space="preserve">NOVARES US LLC                </t>
  </si>
  <si>
    <t>553011</t>
  </si>
  <si>
    <t xml:space="preserve">PCPE22601A          </t>
  </si>
  <si>
    <t>N1WB-E22601-ACW</t>
  </si>
  <si>
    <t>P703 RELEASE HANDLE LH MIC</t>
  </si>
  <si>
    <t xml:space="preserve">PCS10723GPIA01B     </t>
  </si>
  <si>
    <t>P703TRAY-BATTERYG-VERSION</t>
  </si>
  <si>
    <t xml:space="preserve">   </t>
  </si>
  <si>
    <t>FNG</t>
  </si>
  <si>
    <t xml:space="preserve">PCS5804366AA        </t>
  </si>
  <si>
    <t>P703 SHD PAN</t>
  </si>
  <si>
    <t xml:space="preserve">ROW 305                       </t>
  </si>
  <si>
    <t xml:space="preserve">FNGHO0100 </t>
  </si>
  <si>
    <t xml:space="preserve">FLEX-N-GATE HOWARD            </t>
  </si>
  <si>
    <t xml:space="preserve">PCSE28503AA         </t>
  </si>
  <si>
    <t>P703 PNL- P/U- BOX- L- SHORT</t>
  </si>
  <si>
    <t xml:space="preserve">ROW 334                       </t>
  </si>
  <si>
    <t xml:space="preserve">FNGCA0100 </t>
  </si>
  <si>
    <t xml:space="preserve">FLEX-N-GATE CANADA COMPANY    </t>
  </si>
  <si>
    <t>570064</t>
  </si>
  <si>
    <t xml:space="preserve">PCSE410A76BB        </t>
  </si>
  <si>
    <t>P703 SHD FLOOR PAN</t>
  </si>
  <si>
    <t xml:space="preserve">ROW27D                        </t>
  </si>
  <si>
    <t xml:space="preserve">PCSW520704S300      </t>
  </si>
  <si>
    <t>W520704</t>
  </si>
  <si>
    <t>ROUND   STEEL   .</t>
  </si>
  <si>
    <t xml:space="preserve">PCSW520714S300      </t>
  </si>
  <si>
    <t>W520714</t>
  </si>
  <si>
    <t xml:space="preserve">PCSW520721S300      </t>
  </si>
  <si>
    <t>W520721</t>
  </si>
  <si>
    <t xml:space="preserve">PCSW702961 S300     </t>
  </si>
  <si>
    <t>W702961 S300</t>
  </si>
  <si>
    <t>BOLT  WELD       X  .  X   .</t>
  </si>
  <si>
    <t>WELD    STEEL   ZINC</t>
  </si>
  <si>
    <t xml:space="preserve">NATIO0100 </t>
  </si>
  <si>
    <t xml:space="preserve">NATIONAL ENGINEERED FASTENERS </t>
  </si>
  <si>
    <t>320020001</t>
  </si>
  <si>
    <t xml:space="preserve">PCSW713624S300      </t>
  </si>
  <si>
    <t>W713624</t>
  </si>
  <si>
    <t>STUD  WELD       X  .  X   .</t>
  </si>
  <si>
    <t>WELD    STEEL   .</t>
  </si>
  <si>
    <t xml:space="preserve">PURS41225 A         </t>
  </si>
  <si>
    <t>PURS41225 A</t>
  </si>
  <si>
    <t>U725 D PILLAR INNER L-ROW 909</t>
  </si>
  <si>
    <t>M2DB S41225 A-ROYAL OAK</t>
  </si>
  <si>
    <t xml:space="preserve">DETROIT ROW 909               </t>
  </si>
  <si>
    <t xml:space="preserve">XFNGRO1   </t>
  </si>
  <si>
    <t>PURS45130 A</t>
  </si>
  <si>
    <t>M2DB S45130 A-ROYAL OAK</t>
  </si>
  <si>
    <t xml:space="preserve">DETROIT ROW 172               </t>
  </si>
  <si>
    <t xml:space="preserve">MISC0106  </t>
  </si>
  <si>
    <t>PURS45131 A</t>
  </si>
  <si>
    <t>M2DB S45131 A-ROYAL OAK</t>
  </si>
  <si>
    <t xml:space="preserve">DETROIT ROW 163               </t>
  </si>
  <si>
    <t xml:space="preserve">REPACK2K004AA       </t>
  </si>
  <si>
    <t xml:space="preserve">ROW 149A                      </t>
  </si>
  <si>
    <t xml:space="preserve">REPACK2K005AA       </t>
  </si>
  <si>
    <t>SHLD BRK DSC SPLS LH</t>
  </si>
  <si>
    <t xml:space="preserve">ROW 148A                      </t>
  </si>
  <si>
    <t xml:space="preserve">RMP1342P JA6        </t>
  </si>
  <si>
    <t>TPO     TYC1342P</t>
  </si>
  <si>
    <t xml:space="preserve">LYOND0100 </t>
  </si>
  <si>
    <t xml:space="preserve">EQUISTAR CHEMICALS LP         </t>
  </si>
  <si>
    <t>665067015</t>
  </si>
  <si>
    <t xml:space="preserve">RMS2102892RL P703   </t>
  </si>
  <si>
    <t>RM2022-201314-ERMA</t>
  </si>
  <si>
    <t>.045/.049 X   37.795 X COIL</t>
  </si>
  <si>
    <t xml:space="preserve">WSS-M1A365-A12 CR2 UNCOATED   </t>
  </si>
  <si>
    <t xml:space="preserve">RMS21410A48RLAA     </t>
  </si>
  <si>
    <t>RM-2019-178438 OLD 2018-171195</t>
  </si>
  <si>
    <t>.029/.033 X   31.496 X COIL</t>
  </si>
  <si>
    <t xml:space="preserve">WSS-M1A368-A15  50G50G-GI     </t>
  </si>
  <si>
    <t xml:space="preserve">RMS26410A36RLAA     </t>
  </si>
  <si>
    <t>RM2018-170995-ERMA</t>
  </si>
  <si>
    <t>.043/.051 X   14.567 X COIL</t>
  </si>
  <si>
    <t xml:space="preserve">WSS-M1A367-A36  UNCOATED      </t>
  </si>
  <si>
    <t xml:space="preserve">RMSBR5810776B       </t>
  </si>
  <si>
    <t>RM2022-204036-ERMA</t>
  </si>
  <si>
    <t>.045/.049 X   50.984 X COIL</t>
  </si>
  <si>
    <t xml:space="preserve">WSS-M1A367-A38 60G/60G U      </t>
  </si>
  <si>
    <t xml:space="preserve">RMSE22868RL         </t>
  </si>
  <si>
    <t>RM2022-201556-ERMA</t>
  </si>
  <si>
    <t>.053/.057 X   36.614 X COIL</t>
  </si>
  <si>
    <t xml:space="preserve">RMSE279A30RL        </t>
  </si>
  <si>
    <t>RM2022-201423-ERMA</t>
  </si>
  <si>
    <t>.053/.057 X   55.906 X COIL</t>
  </si>
  <si>
    <t xml:space="preserve">RMSE405K02          </t>
  </si>
  <si>
    <t>P703 TRIAL</t>
  </si>
  <si>
    <t>.061/.065 X    8.189 X COIL</t>
  </si>
  <si>
    <t xml:space="preserve">RMSWL68424957/8-A   </t>
  </si>
  <si>
    <t>68424958SD</t>
  </si>
  <si>
    <t>.041/.045 X   41.339 X COIL</t>
  </si>
  <si>
    <t xml:space="preserve">LAC420Y480TCRGI60/60U         </t>
  </si>
  <si>
    <t xml:space="preserve">CLEVE0150 </t>
  </si>
  <si>
    <t xml:space="preserve">FCA RESALE-CLIFFS STEEL/TROY  </t>
  </si>
  <si>
    <t xml:space="preserve">ZINCS444A20         </t>
  </si>
  <si>
    <t xml:space="preserve">ROW 73A                       </t>
  </si>
  <si>
    <t>87868129</t>
  </si>
  <si>
    <t>BT1CC WT 40% DIVIDER W/O SUB</t>
  </si>
  <si>
    <t>220</t>
  </si>
  <si>
    <t xml:space="preserve">38817                         </t>
  </si>
  <si>
    <t>U725 ASY-PW8-ECOTED</t>
  </si>
  <si>
    <t>METALS DOCK FOR E-COATING</t>
  </si>
  <si>
    <t xml:space="preserve">MB4/2000 ROW 127              </t>
  </si>
  <si>
    <t>84489304</t>
  </si>
  <si>
    <t>T1XX CC EXT BRKT RH</t>
  </si>
  <si>
    <t>84489304 BATTLE CREEK</t>
  </si>
  <si>
    <t>MB3B-21021A40-A</t>
  </si>
  <si>
    <t>P703 BRKT I/PNL TO CWL TOP IN</t>
  </si>
  <si>
    <t xml:space="preserve">ROW 164-W1-MB2                </t>
  </si>
  <si>
    <t>EXT RR FLR CS RR LWR MBR</t>
  </si>
  <si>
    <t xml:space="preserve">ROW16-W2-MB4                  </t>
  </si>
  <si>
    <t>EXT RR FLR CS RR LWR MBR LH</t>
  </si>
  <si>
    <t xml:space="preserve">ROW12-W2-MB4                  </t>
  </si>
  <si>
    <t>REINF RR FLR PAN RR</t>
  </si>
  <si>
    <t xml:space="preserve">ROW14-W2-WB                   </t>
  </si>
  <si>
    <t>REINF FLR PAN #3 BDY BLT</t>
  </si>
  <si>
    <t xml:space="preserve">ROW35-W2-MB2                  </t>
  </si>
  <si>
    <t>KB3B 26281A31 AC</t>
  </si>
  <si>
    <t xml:space="preserve">ROW278-HS6-MB4                </t>
  </si>
  <si>
    <t>MB3C-7P026-AA</t>
  </si>
  <si>
    <t xml:space="preserve">MB4/400 ROW 125               </t>
  </si>
  <si>
    <t>N1WB-E10780-B</t>
  </si>
  <si>
    <t>P703 REINF RR FLR CS RR SL</t>
  </si>
  <si>
    <t xml:space="preserve">ROW 48 MB8/400                </t>
  </si>
  <si>
    <t>P703 PLR RR CNR LWR</t>
  </si>
  <si>
    <t>N1WB E41040 BA</t>
  </si>
  <si>
    <t xml:space="preserve">ROW 327                       </t>
  </si>
  <si>
    <t>N1WB E28253 AE</t>
  </si>
  <si>
    <t>N1WB E41059 A</t>
  </si>
  <si>
    <t xml:space="preserve">ROW 176B-177B-W8-MB4          </t>
  </si>
  <si>
    <t>M2DB-S517C86-AA</t>
  </si>
  <si>
    <t xml:space="preserve">ROW 265 MB2/5000              </t>
  </si>
  <si>
    <t>P703 FRT DR PNL DBL INSERT RH</t>
  </si>
  <si>
    <t>N1WB-E23943-A-PIA-30</t>
  </si>
  <si>
    <t>P703 LH FRONT IP EXT MIC</t>
  </si>
  <si>
    <t>N1WB-E50230-AA</t>
  </si>
  <si>
    <t>WL CARGO RAIL FRT LT  55B</t>
  </si>
  <si>
    <t>68425118-CC71/500-TROY</t>
  </si>
  <si>
    <t xml:space="preserve">DETROIT ROW 55B               </t>
  </si>
  <si>
    <t xml:space="preserve">PCPE23942IN03.H     </t>
  </si>
  <si>
    <t>INSERT RH EBONY SUPER SMOOTH</t>
  </si>
  <si>
    <t xml:space="preserve">HOPEG0100 </t>
  </si>
  <si>
    <t xml:space="preserve">HOPE GLOBAL                   </t>
  </si>
  <si>
    <t xml:space="preserve">PCS100N00A          </t>
  </si>
  <si>
    <t>U725_P703Weld Tape</t>
  </si>
  <si>
    <t xml:space="preserve">LLPRO0100 </t>
  </si>
  <si>
    <t xml:space="preserve">L &amp; L PRODUCTS INC            </t>
  </si>
  <si>
    <t xml:space="preserve">PCSE28502AA         </t>
  </si>
  <si>
    <t>P703 PNL- P/U- BOX- R- SHORT</t>
  </si>
  <si>
    <t xml:space="preserve">ROW 333                       </t>
  </si>
  <si>
    <t>PUR58112A56 A</t>
  </si>
  <si>
    <t>U725 REINF FLR PAN N3 ROW 905</t>
  </si>
  <si>
    <t>MB3B 58112A56A-ROYAL OAK</t>
  </si>
  <si>
    <t xml:space="preserve">DETROIT ROW 905               </t>
  </si>
  <si>
    <t xml:space="preserve">PURS41224 B         </t>
  </si>
  <si>
    <t>PURS41224 B</t>
  </si>
  <si>
    <t>U725 D PILLAR INNER R-ROW 908</t>
  </si>
  <si>
    <t>S2DB S41224 AA-ROYAL OAK</t>
  </si>
  <si>
    <t xml:space="preserve">DETROIT ROW 908               </t>
  </si>
  <si>
    <t xml:space="preserve">RMS21000K50A        </t>
  </si>
  <si>
    <t>RM2018-176069-ERMA</t>
  </si>
  <si>
    <t>.086/.096 X   13.425 X COIL</t>
  </si>
  <si>
    <t xml:space="preserve">WSS-M1A367-A44  50G50G-GI     </t>
  </si>
  <si>
    <t xml:space="preserve">DOFAS0100 </t>
  </si>
  <si>
    <t xml:space="preserve">FORD RESALE-DOFASCO INC       </t>
  </si>
  <si>
    <t xml:space="preserve">RMS2628286AA        </t>
  </si>
  <si>
    <t>RM2018-171063-ERMA</t>
  </si>
  <si>
    <t>.038/.04  X   14.97  X COIL</t>
  </si>
  <si>
    <t xml:space="preserve">WSS-M1A365-A12  UNCOATED      </t>
  </si>
  <si>
    <t xml:space="preserve">RMS2641058RLAA      </t>
  </si>
  <si>
    <t>RM2020-190211-ERMA</t>
  </si>
  <si>
    <t>.046/.049 X   62.125 X COIL</t>
  </si>
  <si>
    <t xml:space="preserve">WSS-M1A367-A37  50G50G-GI     </t>
  </si>
  <si>
    <t xml:space="preserve">RMSE268A04RL        </t>
  </si>
  <si>
    <t>RM2022-201558-ERMA</t>
  </si>
  <si>
    <t>.053/.057 X   34.252 X COIL</t>
  </si>
  <si>
    <t>85163289</t>
  </si>
  <si>
    <t>BT1CC REAR SILL BRKT RH</t>
  </si>
  <si>
    <t>RACK</t>
  </si>
  <si>
    <t xml:space="preserve">36811                         </t>
  </si>
  <si>
    <t xml:space="preserve">ASYX200B38          </t>
  </si>
  <si>
    <t>MB3B-2610111-DB</t>
  </si>
  <si>
    <t>MB3B 26104A99 A</t>
  </si>
  <si>
    <t xml:space="preserve">ROW 141B                      </t>
  </si>
  <si>
    <t>KB3B 9D817 AA</t>
  </si>
  <si>
    <t>BRKT - ACEL SHFT</t>
  </si>
  <si>
    <t>KB3B 9A762 A</t>
  </si>
  <si>
    <t xml:space="preserve">ROW282-PW7-MB2                </t>
  </si>
  <si>
    <t>P703 GST RR CNR PLR</t>
  </si>
  <si>
    <t>Welder 22</t>
  </si>
  <si>
    <t xml:space="preserve">ROW 317                       </t>
  </si>
  <si>
    <t>P703 GST RR CNR PLR LH</t>
  </si>
  <si>
    <t xml:space="preserve">ROW 356                       </t>
  </si>
  <si>
    <t>N1WB-E40630-AD</t>
  </si>
  <si>
    <t xml:space="preserve">ROW 402 MB4/400               </t>
  </si>
  <si>
    <t>M2DB-17E811-GC5YZ9</t>
  </si>
  <si>
    <t>U725 BUMPERETTE MODULAR</t>
  </si>
  <si>
    <t xml:space="preserve">ST95A/12  ROW 29317           </t>
  </si>
  <si>
    <t>N1WB 14A564 VD3ZHE</t>
  </si>
  <si>
    <t>14540-V</t>
  </si>
  <si>
    <t>N1WB-E03410-AA</t>
  </si>
  <si>
    <t>P703 PNL W/SHLD HDR INR</t>
  </si>
  <si>
    <t xml:space="preserve">ROW 65A                       </t>
  </si>
  <si>
    <t>N1WB E245A22 AA3ZHE</t>
  </si>
  <si>
    <t>P703 BLZ CTR BDY PLR CTR</t>
  </si>
  <si>
    <t xml:space="preserve">32659                         </t>
  </si>
  <si>
    <t>PC30467B</t>
  </si>
  <si>
    <t>WL D PILLAR GUSSET LT</t>
  </si>
  <si>
    <t>68430467-CC71/300-TROY</t>
  </si>
  <si>
    <t>PC31592A</t>
  </si>
  <si>
    <t>WL MID TUNNEL RINF RT</t>
  </si>
  <si>
    <t>68431592-CC71/750-TROY</t>
  </si>
  <si>
    <t>PC66241A</t>
  </si>
  <si>
    <t>WL RETAINER TPING PLT</t>
  </si>
  <si>
    <t>68466241-CC71/10000-TROY</t>
  </si>
  <si>
    <t xml:space="preserve">DETROIT ROW 96                </t>
  </si>
  <si>
    <t xml:space="preserve">PCPE23943AR01.HA    </t>
  </si>
  <si>
    <t>P703 FRT DR LH EBONY NO/STITCH</t>
  </si>
  <si>
    <t xml:space="preserve">PCPE23943IN03.H     </t>
  </si>
  <si>
    <t>INSERT LH EBONY SUPER SMOOTH</t>
  </si>
  <si>
    <t xml:space="preserve">PCPE27407AR02.HA    </t>
  </si>
  <si>
    <t>P703 RR DR LH EBONY W/STITCH</t>
  </si>
  <si>
    <t xml:space="preserve">PCPE41018APIA04     </t>
  </si>
  <si>
    <t>N1WB-E41018-A-PIA-04</t>
  </si>
  <si>
    <t>P703 DOOR METAL POST 3.5MM DIA</t>
  </si>
  <si>
    <t xml:space="preserve">READY0100 </t>
  </si>
  <si>
    <t xml:space="preserve">READY RIVET &amp; FASTENER LTD    </t>
  </si>
  <si>
    <t>320097</t>
  </si>
  <si>
    <t xml:space="preserve">PCSW520771S300      </t>
  </si>
  <si>
    <t>W520771</t>
  </si>
  <si>
    <t xml:space="preserve">RMSDT68566220RL     </t>
  </si>
  <si>
    <t>685662201SB</t>
  </si>
  <si>
    <t>.075/.083 X   37.598 X COIL</t>
  </si>
  <si>
    <t>MS.50002 LAH340Y410T 60G/60G U</t>
  </si>
  <si>
    <t xml:space="preserve">HASCA0100 </t>
  </si>
  <si>
    <t xml:space="preserve">HASCALL STEEL CO INC          </t>
  </si>
  <si>
    <t>LBS</t>
  </si>
  <si>
    <t xml:space="preserve">RMSE10665           </t>
  </si>
  <si>
    <t>RM2022-201421-ERMA</t>
  </si>
  <si>
    <t>.037/.041 X   50.118 X COIL</t>
  </si>
  <si>
    <t xml:space="preserve">WSS-M1A368-A14 DP800 50G50G   </t>
  </si>
  <si>
    <t xml:space="preserve">RMSE10832           </t>
  </si>
  <si>
    <t>RM2022-201422-ERMA</t>
  </si>
  <si>
    <t>.069/.073 X   15.354 X COIL</t>
  </si>
  <si>
    <t xml:space="preserve">RMSF10738/9         </t>
  </si>
  <si>
    <t>RM2023-207007-ERMA</t>
  </si>
  <si>
    <t>.060/.065 X   45.04  X COIL</t>
  </si>
  <si>
    <t xml:space="preserve">WSS-M1A367-A37 50G/50G        </t>
  </si>
  <si>
    <t xml:space="preserve">RMSWL68436048/9     </t>
  </si>
  <si>
    <t>68436048SB</t>
  </si>
  <si>
    <t>.037/.041 X   25.00  X COIL</t>
  </si>
  <si>
    <t xml:space="preserve">MS.50002 CR02 GI60/60 U       </t>
  </si>
  <si>
    <t xml:space="preserve">VENTU0120 </t>
  </si>
  <si>
    <t xml:space="preserve">FCA RESALE-VENTURE STEEL/TROY </t>
  </si>
  <si>
    <t>PCS5804366</t>
  </si>
  <si>
    <t xml:space="preserve">ROW165-166-HS5                </t>
  </si>
  <si>
    <t xml:space="preserve">ROW36-W2-MB2                  </t>
  </si>
  <si>
    <t>P703 PLT RR ST MTNG LH</t>
  </si>
  <si>
    <t>MB3B 58112C05 A</t>
  </si>
  <si>
    <t xml:space="preserve">ROW173A-HS5-MB4               </t>
  </si>
  <si>
    <t>N1WB-E279E12-A</t>
  </si>
  <si>
    <t xml:space="preserve">MB2/1000  ROW 321             </t>
  </si>
  <si>
    <t>N1WB-E412A04-CA</t>
  </si>
  <si>
    <t>P703 PLT BDY SD TOP RL ANC</t>
  </si>
  <si>
    <t xml:space="preserve">ROW 288 MB2/1000              </t>
  </si>
  <si>
    <t>P703 RL P/U BOX O/S RH</t>
  </si>
  <si>
    <t xml:space="preserve">ROW 329                       </t>
  </si>
  <si>
    <t>P703 REINF ASY RF SD</t>
  </si>
  <si>
    <t xml:space="preserve">ROW 144B MB8/300              </t>
  </si>
  <si>
    <t>MB3B-21016A23-AA</t>
  </si>
  <si>
    <t>P703 REINF D/PNL LH INR</t>
  </si>
  <si>
    <t>N1WB 14A564 SD3ZHE</t>
  </si>
  <si>
    <t>14540-U</t>
  </si>
  <si>
    <t>N1WB-17C791-GA</t>
  </si>
  <si>
    <t>P703 REDBACK SUPT BRKT LH</t>
  </si>
  <si>
    <t xml:space="preserve">39944                         </t>
  </si>
  <si>
    <t>N1WB-E22868-CB</t>
  </si>
  <si>
    <t>P703 REINF DR HGE ON DR</t>
  </si>
  <si>
    <t>N1WB-E40631-AE</t>
  </si>
  <si>
    <t>P703 REINF TL/GT INR TO</t>
  </si>
  <si>
    <t>OTR PNL</t>
  </si>
  <si>
    <t>PC30466B</t>
  </si>
  <si>
    <t>WL D PILLAR GUSSET RT</t>
  </si>
  <si>
    <t>68430466-CC71/300-TROY</t>
  </si>
  <si>
    <t xml:space="preserve">PCP18808BA          </t>
  </si>
  <si>
    <t>JB3T-18808-BA</t>
  </si>
  <si>
    <t>P703 NON BRANDED TWEETER</t>
  </si>
  <si>
    <t>FOSTER ELECTRIC</t>
  </si>
  <si>
    <t xml:space="preserve">FOSTE0100 </t>
  </si>
  <si>
    <t xml:space="preserve">FOSTER ELECTRIC USA INC       </t>
  </si>
  <si>
    <t>055006</t>
  </si>
  <si>
    <t xml:space="preserve">PCPBOXF-6           </t>
  </si>
  <si>
    <t>F-6 BOX - 59 X 46 X 26</t>
  </si>
  <si>
    <t xml:space="preserve">WINDS0105 </t>
  </si>
  <si>
    <t xml:space="preserve">WINDSOR PALLET LTD            </t>
  </si>
  <si>
    <t xml:space="preserve">BX </t>
  </si>
  <si>
    <t xml:space="preserve">PCPE27406IN03.H     </t>
  </si>
  <si>
    <t>P703 INSERT RH EBONY S.SMOOTH</t>
  </si>
  <si>
    <t xml:space="preserve">PCPW520802-S439MOD  </t>
  </si>
  <si>
    <t>W520802-S439MOD</t>
  </si>
  <si>
    <t>U-CLIP</t>
  </si>
  <si>
    <t>STEEL   .</t>
  </si>
  <si>
    <t>320036004</t>
  </si>
  <si>
    <t xml:space="preserve">PCS21101A84AB       </t>
  </si>
  <si>
    <t>EXT FRT FLR SD INR LWR MBR LWR</t>
  </si>
  <si>
    <t>EXTRUSION</t>
  </si>
  <si>
    <t xml:space="preserve">WICOM0100 </t>
  </si>
  <si>
    <t xml:space="preserve">WICO METAL PRODUCTS CO        </t>
  </si>
  <si>
    <t xml:space="preserve">PCS21200L58AB       </t>
  </si>
  <si>
    <t>BRKT BDY SD STE</t>
  </si>
  <si>
    <t>553030002</t>
  </si>
  <si>
    <t xml:space="preserve">PCS2661216AC        </t>
  </si>
  <si>
    <t>REINF FRT SL BEL ANC INR</t>
  </si>
  <si>
    <t xml:space="preserve">PCS2662440AB        </t>
  </si>
  <si>
    <t>LAT STRIKER BAR</t>
  </si>
  <si>
    <t xml:space="preserve">APEXS0100 </t>
  </si>
  <si>
    <t xml:space="preserve">APEX SPRING &amp; STAMPING CORP   </t>
  </si>
  <si>
    <t>KB3B-2101514-AA</t>
  </si>
  <si>
    <t>REINF BRK PDL SUPT</t>
  </si>
  <si>
    <t>KB3B 2101514 AA</t>
  </si>
  <si>
    <t xml:space="preserve">ROW 76-MB2                    </t>
  </si>
  <si>
    <t xml:space="preserve">RMPDRL1401P JA6     </t>
  </si>
  <si>
    <t>TPO     HX DRL 1401P</t>
  </si>
  <si>
    <t xml:space="preserve">RMS2131406APIA02    </t>
  </si>
  <si>
    <t>MAKES PC221-11-0499</t>
  </si>
  <si>
    <t>.089/.093 X   10.19  X COIL</t>
  </si>
  <si>
    <t xml:space="preserve">WSS-M1A365-A14  UNCOATED      </t>
  </si>
  <si>
    <t xml:space="preserve">RMSE10032           </t>
  </si>
  <si>
    <t>RM2022-201416-ERMA</t>
  </si>
  <si>
    <t>.045/.049 X   15.591 X COIL</t>
  </si>
  <si>
    <t xml:space="preserve">RMSE28562RL         </t>
  </si>
  <si>
    <t>RM2022-204616-ERMA</t>
  </si>
  <si>
    <t>.077/.081 X   59.843 X COIL</t>
  </si>
  <si>
    <t xml:space="preserve">WSS-M1A367-A50 HR550LA 50G50G </t>
  </si>
  <si>
    <t xml:space="preserve">NATIO0130 </t>
  </si>
  <si>
    <t xml:space="preserve">FORD RESALE-NATIONAL MATERIAL </t>
  </si>
  <si>
    <t xml:space="preserve">RMSN9BUOA7/8        </t>
  </si>
  <si>
    <t>85010 9BUOA_PIA07/08</t>
  </si>
  <si>
    <t>.065/.077 X   36.38  X COIL</t>
  </si>
  <si>
    <t xml:space="preserve">SP231-440 HR PICKLE &amp; OIL     </t>
  </si>
  <si>
    <t xml:space="preserve">TORCH0100 </t>
  </si>
  <si>
    <t xml:space="preserve">TORCH STEEL SALES             </t>
  </si>
  <si>
    <t>85033340</t>
  </si>
  <si>
    <t>BT1CC FRT SILL PLATE LH VALUE</t>
  </si>
  <si>
    <t>ROW 189/202</t>
  </si>
  <si>
    <t xml:space="preserve">36805                         </t>
  </si>
  <si>
    <t>P703 W2 NUT WELD SUB ASSY</t>
  </si>
  <si>
    <t>MB3B 17A040 A</t>
  </si>
  <si>
    <t xml:space="preserve">ROW73B-W2-MB2                 </t>
  </si>
  <si>
    <t>MB3B-10718-CD</t>
  </si>
  <si>
    <t xml:space="preserve">ROW 103                       </t>
  </si>
  <si>
    <t>PNL BK PNL ACC</t>
  </si>
  <si>
    <t>KB3B 2628286 A</t>
  </si>
  <si>
    <t xml:space="preserve">ROW178A-PW7-MB4               </t>
  </si>
  <si>
    <t>WL BRKT SPARE  TIRE HOLD DOWN</t>
  </si>
  <si>
    <t xml:space="preserve">ROW 141A-CC71/4000            </t>
  </si>
  <si>
    <t>68612898 AC</t>
  </si>
  <si>
    <t>LB REINF D-PILLAR RH</t>
  </si>
  <si>
    <t xml:space="preserve">ROW 60B                       </t>
  </si>
  <si>
    <t xml:space="preserve">MISC0107  </t>
  </si>
  <si>
    <t xml:space="preserve">ROW 275 - W15-1-MB4           </t>
  </si>
  <si>
    <t>JL3Z-17626-D</t>
  </si>
  <si>
    <t>P552 FRONT BUMPER  ASSEMBLY</t>
  </si>
  <si>
    <t xml:space="preserve">5465                          </t>
  </si>
  <si>
    <t>KB3B-9D817-AA</t>
  </si>
  <si>
    <t>BRKT ASY-ACEL SHFT TO DH</t>
  </si>
  <si>
    <t>M2DB-X502D12-AD</t>
  </si>
  <si>
    <t xml:space="preserve">LBZ24/84                      </t>
  </si>
  <si>
    <t>N1WB-E23407-M</t>
  </si>
  <si>
    <t>P703 RR DR PNL DBL INSERT LH</t>
  </si>
  <si>
    <t>N1WB E03512 EE3ZHE</t>
  </si>
  <si>
    <t>PC.WL68425103</t>
  </si>
  <si>
    <t>WL SEAT ATT UPR LT</t>
  </si>
  <si>
    <t>68425103-CC71/1200-TROY</t>
  </si>
  <si>
    <t xml:space="preserve">PCPE23900TOP02.H    </t>
  </si>
  <si>
    <t>RH TOP ROLL EBONY TERRA SUEDE</t>
  </si>
  <si>
    <t>BLACK STITCH</t>
  </si>
  <si>
    <t xml:space="preserve">PCPE23901TOP01.H    </t>
  </si>
  <si>
    <t>LH TOP ROLL EBONY SOHO</t>
  </si>
  <si>
    <t>URBAN GREY STITCH</t>
  </si>
  <si>
    <t xml:space="preserve">PCPE23901TOP02.H    </t>
  </si>
  <si>
    <t>LH TOP ROLL EBONY TERRA SUEDE</t>
  </si>
  <si>
    <t xml:space="preserve">PCPE23943IN01.H     </t>
  </si>
  <si>
    <t>P703 INSERT LH ENONY SOHO</t>
  </si>
  <si>
    <t xml:space="preserve">PCPE27407IN03.H     </t>
  </si>
  <si>
    <t>P703 INSERT LH EBONY S.SMOOTH</t>
  </si>
  <si>
    <t xml:space="preserve">PCPW506945-S450     </t>
  </si>
  <si>
    <t>W506945-S450</t>
  </si>
  <si>
    <t>WASHER FLAT</t>
  </si>
  <si>
    <t xml:space="preserve">ATFIN0100 </t>
  </si>
  <si>
    <t xml:space="preserve">EJOT ATF LP                   </t>
  </si>
  <si>
    <t>320091002</t>
  </si>
  <si>
    <t xml:space="preserve">PCPW713610-S300     </t>
  </si>
  <si>
    <t>W713610-S300</t>
  </si>
  <si>
    <t>PUSH PIN</t>
  </si>
  <si>
    <t>PLASTIC ORGNIC</t>
  </si>
  <si>
    <t xml:space="preserve">ITWDE0100 </t>
  </si>
  <si>
    <t xml:space="preserve">ITW DELTAR FASTENERS          </t>
  </si>
  <si>
    <t>320038004</t>
  </si>
  <si>
    <t xml:space="preserve">PCS21101W24AB       </t>
  </si>
  <si>
    <t>REINF FLR SD INF FRT</t>
  </si>
  <si>
    <t xml:space="preserve">PCS26413A29AB       </t>
  </si>
  <si>
    <t>SE RR CNR PLR INR</t>
  </si>
  <si>
    <t xml:space="preserve">HENKE0100 </t>
  </si>
  <si>
    <t xml:space="preserve">HENKEL CORPORATION            </t>
  </si>
  <si>
    <t xml:space="preserve">PCSE410A77BB        </t>
  </si>
  <si>
    <t>P703 FLOOR SHD PAN</t>
  </si>
  <si>
    <t xml:space="preserve">ROW27E                        </t>
  </si>
  <si>
    <t xml:space="preserve">PCSE413A12BA        </t>
  </si>
  <si>
    <t>SE RR CNR PLR LWR</t>
  </si>
  <si>
    <t xml:space="preserve">PCSE413A15BB        </t>
  </si>
  <si>
    <t>P703SE ASY RR CNR PLR OTRLWRLH</t>
  </si>
  <si>
    <t xml:space="preserve">PCSW520781S300      </t>
  </si>
  <si>
    <t xml:space="preserve">PRFAS0100 </t>
  </si>
  <si>
    <t xml:space="preserve">P &amp; R FASTENERS INC           </t>
  </si>
  <si>
    <t>PUR58107A97 A</t>
  </si>
  <si>
    <t>U725 MBR FRT FLR CS L-ROW 911</t>
  </si>
  <si>
    <t>MB3B 58107A97 A</t>
  </si>
  <si>
    <t xml:space="preserve">DETROIT ROW 238B              </t>
  </si>
  <si>
    <t>PUR58112A57 A</t>
  </si>
  <si>
    <t>U725 REINF FLR PAN N3-ROW 906</t>
  </si>
  <si>
    <t>MB3B 58112A57A-ROYAL OAK</t>
  </si>
  <si>
    <t xml:space="preserve">DETROIT ROW 906               </t>
  </si>
  <si>
    <t xml:space="preserve">RMPADX50231NB       </t>
  </si>
  <si>
    <t>ADX-5023 1NB</t>
  </si>
  <si>
    <t>TPO     ADX 5023 1NB</t>
  </si>
  <si>
    <t>ADX5023 GRAY              FORD</t>
  </si>
  <si>
    <t xml:space="preserve">MITSU0100 </t>
  </si>
  <si>
    <t xml:space="preserve">MITSUI PLASTICS INC           </t>
  </si>
  <si>
    <t xml:space="preserve">RMPPPGF30-03        </t>
  </si>
  <si>
    <t>30YM240 GENERIC BLACK     CHRY</t>
  </si>
  <si>
    <t xml:space="preserve">RMSE431F92RL        </t>
  </si>
  <si>
    <t>RM2022-201560-ERMA</t>
  </si>
  <si>
    <t>.077/.081 X   15.118 X COIL</t>
  </si>
  <si>
    <t>HDGA CQ          50A50A .</t>
  </si>
  <si>
    <t xml:space="preserve">WSS-M1365-A23 HR3 50G50G      </t>
  </si>
  <si>
    <t xml:space="preserve">RMSWL68426550/1     </t>
  </si>
  <si>
    <t>68426550SC</t>
  </si>
  <si>
    <t>.076/.081 X   20.250 X COIL</t>
  </si>
  <si>
    <t>MS.50002 LAH420Y480T GI60/60 U</t>
  </si>
  <si>
    <t xml:space="preserve">WORTH0115 </t>
  </si>
  <si>
    <t xml:space="preserve">FCA RESALE-WORTHINGTON ST/TR  </t>
  </si>
  <si>
    <t>85033342</t>
  </si>
  <si>
    <t>BT1CC FRT SILL PLATE RH VALUE</t>
  </si>
  <si>
    <t>ROW 190/201</t>
  </si>
  <si>
    <t>85533616</t>
  </si>
  <si>
    <t>BT1CC SENSOR FARM COVER</t>
  </si>
  <si>
    <t xml:space="preserve">36815                         </t>
  </si>
  <si>
    <t xml:space="preserve">85755676            </t>
  </si>
  <si>
    <t>85755676</t>
  </si>
  <si>
    <t>BT1CC A Pillar Garn LH</t>
  </si>
  <si>
    <t xml:space="preserve">39155                         </t>
  </si>
  <si>
    <t>86584059</t>
  </si>
  <si>
    <t>BT1CC C PLR LWR MIDGATE LH</t>
  </si>
  <si>
    <t xml:space="preserve">36799                         </t>
  </si>
  <si>
    <t>N1WB E410A77 A</t>
  </si>
  <si>
    <t xml:space="preserve">BLK2610130RLAA      </t>
  </si>
  <si>
    <t>GAGE=.047" W=13.78" P=71.850"</t>
  </si>
  <si>
    <t>BLK WT=13.25#  P TOL +0/-.125"</t>
  </si>
  <si>
    <t xml:space="preserve">WSS-M1A368-A15 50G50G-GI      </t>
  </si>
  <si>
    <t xml:space="preserve">BLK26104A98RLA      </t>
  </si>
  <si>
    <t>GAGE=.047" W=9.875" P=70.000"</t>
  </si>
  <si>
    <t>BLK WT=9.26 LBS P=+0/-.125"TOL</t>
  </si>
  <si>
    <t xml:space="preserve">WSS-M1A367-A38 50G50G-GI      </t>
  </si>
  <si>
    <t xml:space="preserve">BLKE513D21LH        </t>
  </si>
  <si>
    <t>N1WB E51105 AA</t>
  </si>
  <si>
    <t>BT1CC008</t>
  </si>
  <si>
    <t>BT1CC HEADLINER BACK PLATE LH</t>
  </si>
  <si>
    <t>RST REFINE  85154946</t>
  </si>
  <si>
    <t>MB3B-2102038-AG</t>
  </si>
  <si>
    <t>P703 PNL CWL SD INR</t>
  </si>
  <si>
    <t xml:space="preserve">ROW452                        </t>
  </si>
  <si>
    <t>REINF FLR SM RR</t>
  </si>
  <si>
    <t>KB3B 21101A16 A</t>
  </si>
  <si>
    <t xml:space="preserve">ROW311-W13-MB4                </t>
  </si>
  <si>
    <t>REINF FLR SM RR LH</t>
  </si>
  <si>
    <t>KB3B 21101A17 A</t>
  </si>
  <si>
    <t xml:space="preserve">ROW310-W13-MB4                </t>
  </si>
  <si>
    <t>EXT RR FLR CS RR MBR LH</t>
  </si>
  <si>
    <t>KB3B 2610707 A</t>
  </si>
  <si>
    <t xml:space="preserve">ROW10-W2-MB2                  </t>
  </si>
  <si>
    <t>PAN RR FLR FRT</t>
  </si>
  <si>
    <t xml:space="preserve">ROW 50/51A-W2-MB8             </t>
  </si>
  <si>
    <t xml:space="preserve">ROW 134A CC71/600             </t>
  </si>
  <si>
    <t>7YS86TRMAA</t>
  </si>
  <si>
    <t>WS FRT LB BEZEL POS1 MOLDED</t>
  </si>
  <si>
    <t>7YS91TRMAA</t>
  </si>
  <si>
    <t>WS FRT LB BEZEL POS6 MOLDED</t>
  </si>
  <si>
    <t>7YS90TRMAA</t>
  </si>
  <si>
    <t>WS FOGLAMP BZL POS5 MOLDED</t>
  </si>
  <si>
    <t>N1WB-E10129-AA</t>
  </si>
  <si>
    <t>P703 REINF RKR PNL INR L</t>
  </si>
  <si>
    <t xml:space="preserve">ROW 34                        </t>
  </si>
  <si>
    <t>N1WB-E10940-CE</t>
  </si>
  <si>
    <t>P703 MBR CTR FLR CS</t>
  </si>
  <si>
    <t xml:space="preserve">ROW 401 MB8/200               </t>
  </si>
  <si>
    <t>P703 MBR RR FLR CS FRT</t>
  </si>
  <si>
    <t>P1WB E10786 BA</t>
  </si>
  <si>
    <t xml:space="preserve">ROW304A-W21/W22-MB4           </t>
  </si>
  <si>
    <t>P703 BRKT RR FNDR TO P/U BOX</t>
  </si>
  <si>
    <t xml:space="preserve">ROW301G-W21/W22-MB2           </t>
  </si>
  <si>
    <t>P703 BRA BDY SD PNL RR</t>
  </si>
  <si>
    <t>Ford part # P1WB-E27726-BA</t>
  </si>
  <si>
    <t xml:space="preserve">ROW 445-W19-MB2               </t>
  </si>
  <si>
    <t>P703 EXT RR CNR INR PLR RR</t>
  </si>
  <si>
    <t>N1WB E410A36 B</t>
  </si>
  <si>
    <t xml:space="preserve">ROW 179A                      </t>
  </si>
  <si>
    <t>P703 EXT RR CNR PLR RR</t>
  </si>
  <si>
    <t>N1WB E410A37 B</t>
  </si>
  <si>
    <t xml:space="preserve">ROW 179B                      </t>
  </si>
  <si>
    <t>P703 BRKT LFT/GT HGE</t>
  </si>
  <si>
    <t xml:space="preserve">ROW40-PW1-MB4                 </t>
  </si>
  <si>
    <t>MIC - B-PILLAR UPR RH-SUB</t>
  </si>
  <si>
    <t>CARTRIDGE</t>
  </si>
  <si>
    <t xml:space="preserve">TOOL # 36809                  </t>
  </si>
  <si>
    <t>P703 Tweeter Cover Branded RH</t>
  </si>
  <si>
    <t>N1WB E24396 CA3ZHE</t>
  </si>
  <si>
    <t>68424074-CC71/600-TROY</t>
  </si>
  <si>
    <t xml:space="preserve">DETROIT ROW 461               </t>
  </si>
  <si>
    <t>PC30188E</t>
  </si>
  <si>
    <t>WL PNL RR FRT RT</t>
  </si>
  <si>
    <t>68430188-CC71/400-TROY</t>
  </si>
  <si>
    <t>PC30189E</t>
  </si>
  <si>
    <t>WL PNL RR FRT LT</t>
  </si>
  <si>
    <t>68430189-CC71/400-TROY</t>
  </si>
  <si>
    <t xml:space="preserve">PCP14A563           </t>
  </si>
  <si>
    <t>N1WB-14A563-A-PIA01</t>
  </si>
  <si>
    <t>STEEL   ZINC</t>
  </si>
  <si>
    <t xml:space="preserve">BURNE0100 </t>
  </si>
  <si>
    <t xml:space="preserve">BURNEX CORP                   </t>
  </si>
  <si>
    <t xml:space="preserve">PCP2623942BAG01     </t>
  </si>
  <si>
    <t>42"X42" 0.5 MIL HDPE BAG</t>
  </si>
  <si>
    <t xml:space="preserve">POLYM0100 </t>
  </si>
  <si>
    <t xml:space="preserve">POLYMER PROTECTIVE PACKAGING  </t>
  </si>
  <si>
    <t>100101001</t>
  </si>
  <si>
    <t xml:space="preserve">PCP26403A86APIA04   </t>
  </si>
  <si>
    <t>AB39-26403A86-A-PIA-04</t>
  </si>
  <si>
    <t>BACK PANEL NVH TAPE</t>
  </si>
  <si>
    <t xml:space="preserve">DERBY0100 </t>
  </si>
  <si>
    <t xml:space="preserve">DERBY FABRICATING SOLUTIONS   </t>
  </si>
  <si>
    <t>255060001</t>
  </si>
  <si>
    <t xml:space="preserve">PCPE03512DPIA03     </t>
  </si>
  <si>
    <t>P703 Tether 137mm x 13mm x2mm</t>
  </si>
  <si>
    <t>553010</t>
  </si>
  <si>
    <t xml:space="preserve">PCPE237W28APIA70    </t>
  </si>
  <si>
    <t>P703 FRONT APPLIQUE RH</t>
  </si>
  <si>
    <t>PRECISION GREY (1MY)</t>
  </si>
  <si>
    <t xml:space="preserve">RACK#1 SLOT#1                 </t>
  </si>
  <si>
    <t xml:space="preserve">VENSA0100 </t>
  </si>
  <si>
    <t xml:space="preserve">VENTRA SALEM LLC              </t>
  </si>
  <si>
    <t>553054</t>
  </si>
  <si>
    <t xml:space="preserve">PCPE23942APIA26     </t>
  </si>
  <si>
    <t>FrontDoorPanelDBL-NVH</t>
  </si>
  <si>
    <t xml:space="preserve">GDCIN0100 </t>
  </si>
  <si>
    <t xml:space="preserve">GDC INC                       </t>
  </si>
  <si>
    <t xml:space="preserve">PCPE23942APIA27     </t>
  </si>
  <si>
    <t>N1WB-E23942-A-PIA-27</t>
  </si>
  <si>
    <t>P703 FRT DR PNL FOAM STRIP</t>
  </si>
  <si>
    <t>13mmx430mmx3mmthick</t>
  </si>
  <si>
    <t xml:space="preserve">ARGEN0100 </t>
  </si>
  <si>
    <t xml:space="preserve">ARGENT INTERNATIONAL INC      </t>
  </si>
  <si>
    <t xml:space="preserve">PCPE23942APIA28     </t>
  </si>
  <si>
    <t>N1WB-E23942-A-PIA-28</t>
  </si>
  <si>
    <t>13mmx320mmx3mmthick</t>
  </si>
  <si>
    <t xml:space="preserve">PCPE23943AR02.HA    </t>
  </si>
  <si>
    <t>P703 FRT DR LH W/STITCH</t>
  </si>
  <si>
    <t xml:space="preserve">PCPE27406AR02.HA    </t>
  </si>
  <si>
    <t>P703 RR DR RH EBONY W/STITCH</t>
  </si>
  <si>
    <t xml:space="preserve">PCPE27406MPIA06A    </t>
  </si>
  <si>
    <t>N1WB-E27406-M-PIA-06</t>
  </si>
  <si>
    <t>50MM X 25MM X38.989MM THICK</t>
  </si>
  <si>
    <t xml:space="preserve">PCPE27407AR01.HA    </t>
  </si>
  <si>
    <t>P703 RR DR EBONY NO/STITCH</t>
  </si>
  <si>
    <t xml:space="preserve">PCPE27407GPIA07     </t>
  </si>
  <si>
    <t>N1WB-E27407-G-PIA-07</t>
  </si>
  <si>
    <t>P703 FELT TAPE 13X120X1.5MM</t>
  </si>
  <si>
    <t>553999</t>
  </si>
  <si>
    <t xml:space="preserve">PCPE31002CPIA03     </t>
  </si>
  <si>
    <t>P703 FELT PAD 1MM X 25MM X12MM</t>
  </si>
  <si>
    <t xml:space="preserve">CREAT0100 </t>
  </si>
  <si>
    <t xml:space="preserve">CREATIVE FOAM CORPORATION     </t>
  </si>
  <si>
    <t>255060002</t>
  </si>
  <si>
    <t xml:space="preserve">PCPW709046-S300     </t>
  </si>
  <si>
    <t>W709046-S300</t>
  </si>
  <si>
    <t>PLASTIC .</t>
  </si>
  <si>
    <t xml:space="preserve">PCPW715321          </t>
  </si>
  <si>
    <t>B040700580</t>
  </si>
  <si>
    <t>TAPER PIN</t>
  </si>
  <si>
    <t xml:space="preserve">PIOLA0100 </t>
  </si>
  <si>
    <t xml:space="preserve">PIOLAX CORPORATION            </t>
  </si>
  <si>
    <t>320035003</t>
  </si>
  <si>
    <t xml:space="preserve">PCS10723APIA01      </t>
  </si>
  <si>
    <t>MB3B-10723-A PIA01</t>
  </si>
  <si>
    <t>BOLT  ROD        X  .  X   .</t>
  </si>
  <si>
    <t xml:space="preserve">CGRXX0100 </t>
  </si>
  <si>
    <t xml:space="preserve">CGR DE MEXICO SA DE CV        </t>
  </si>
  <si>
    <t>320020005001</t>
  </si>
  <si>
    <t xml:space="preserve">PCS21101W25AB       </t>
  </si>
  <si>
    <t>REINF FLR SD INR FRT</t>
  </si>
  <si>
    <t xml:space="preserve">PCS26413A28AB       </t>
  </si>
  <si>
    <t xml:space="preserve">PCS99431B98-S439    </t>
  </si>
  <si>
    <t>04461</t>
  </si>
  <si>
    <t>P703 PLT TL/GT LAT CTCH</t>
  </si>
  <si>
    <t>(EXTRUSION)</t>
  </si>
  <si>
    <t xml:space="preserve">ITWPO0100 </t>
  </si>
  <si>
    <t xml:space="preserve">ITW STAMPTECH FASTENERS       </t>
  </si>
  <si>
    <t xml:space="preserve">PCSE413A13BA        </t>
  </si>
  <si>
    <t>SE RR CNR PLR LWR LH</t>
  </si>
  <si>
    <t xml:space="preserve">PCSW520702S300      </t>
  </si>
  <si>
    <t xml:space="preserve">STELF0100 </t>
  </si>
  <si>
    <t xml:space="preserve">STELFAST INC                  </t>
  </si>
  <si>
    <t xml:space="preserve">PCSW702321S300      </t>
  </si>
  <si>
    <t xml:space="preserve">PCSW711618S300      </t>
  </si>
  <si>
    <t>W711618-S300</t>
  </si>
  <si>
    <t>ROUND   OTHER   .</t>
  </si>
  <si>
    <t xml:space="preserve">PCSW721819S300      </t>
  </si>
  <si>
    <t>PUR58101B50 B</t>
  </si>
  <si>
    <t>U725 GTS FLR RR MBR R-ROW 902</t>
  </si>
  <si>
    <t>MB3B 58101B50-ROYAL OAK</t>
  </si>
  <si>
    <t xml:space="preserve">DETROIT ROW 902               </t>
  </si>
  <si>
    <t>MB3B-58016B28-AA</t>
  </si>
  <si>
    <t>U725 REINF D/PNL BRK MSTR CYL</t>
  </si>
  <si>
    <t>MB3B 58016B28 AA</t>
  </si>
  <si>
    <t xml:space="preserve">ROW 63B MB4/1000              </t>
  </si>
  <si>
    <t>M2DB-S502D12-AB</t>
  </si>
  <si>
    <t xml:space="preserve">MB4/600 ROW 62A               </t>
  </si>
  <si>
    <t xml:space="preserve">RMPPPC5UFO UV ZHEA  </t>
  </si>
  <si>
    <t>PPC5UFO UV ZHEA</t>
  </si>
  <si>
    <t>PT-8665 ZHEA BLACK        FORD</t>
  </si>
  <si>
    <t xml:space="preserve">RMS21025A62 P703    </t>
  </si>
  <si>
    <t>RM2022-201315-ERMA</t>
  </si>
  <si>
    <t>.045/.049 X   66.850 X COIL</t>
  </si>
  <si>
    <t xml:space="preserve">RMS2110370AA        </t>
  </si>
  <si>
    <t>RM2018-171000-ERMA</t>
  </si>
  <si>
    <t>.057/.061 X    9.724 X COIL</t>
  </si>
  <si>
    <t xml:space="preserve">WSS-M1A367-A33  50G50G-GI     </t>
  </si>
  <si>
    <t xml:space="preserve">RMS21109A84AA       </t>
  </si>
  <si>
    <t>RM2018-171017-ERMA</t>
  </si>
  <si>
    <t>.045/.049 X   17.323 X COIL</t>
  </si>
  <si>
    <t xml:space="preserve">WSS-M1A367-A34  50G50G-GI     </t>
  </si>
  <si>
    <t xml:space="preserve">RMS26625A64A        </t>
  </si>
  <si>
    <t>RM2018-170907-ERMA</t>
  </si>
  <si>
    <t>.03 /.032 X   13.622 X COIL</t>
  </si>
  <si>
    <t xml:space="preserve">WSS-M1A365A12  UNCOATED       </t>
  </si>
  <si>
    <t xml:space="preserve">RMS26625A65A        </t>
  </si>
  <si>
    <t>RM2018-170909-ERMA</t>
  </si>
  <si>
    <t>.029/.033 X    9.820 X COIL</t>
  </si>
  <si>
    <t xml:space="preserve">WSS-M1A365-A12   UNCOATED     </t>
  </si>
  <si>
    <t xml:space="preserve">RMSBR58111K34ARL    </t>
  </si>
  <si>
    <t>RM2020-189196-ERMA E ROYAL OAK</t>
  </si>
  <si>
    <t>.075/.083 X   37.48  X COIL</t>
  </si>
  <si>
    <t xml:space="preserve">WSS-M1A367-A45 HR300LA P&amp;OIL  </t>
  </si>
  <si>
    <t xml:space="preserve">RMSE40364RL         </t>
  </si>
  <si>
    <t>RM2022-201433-ERMA</t>
  </si>
  <si>
    <t>.061/.065 X   28.346 X COIL</t>
  </si>
  <si>
    <t xml:space="preserve">RMSE404D91          </t>
  </si>
  <si>
    <t>RM2022-201567-ERMA</t>
  </si>
  <si>
    <t>.065/.069 X   20.551 X COIL</t>
  </si>
  <si>
    <t xml:space="preserve">WSS-M1A367-A36 CR340LA 50G50G </t>
  </si>
  <si>
    <t xml:space="preserve">RMSGM84533245       </t>
  </si>
  <si>
    <t>2026865I</t>
  </si>
  <si>
    <t>.031/.032 X   48.82  X COIL</t>
  </si>
  <si>
    <t>GMW3032M-ST-S-CR180B2-HD60G60G</t>
  </si>
  <si>
    <t xml:space="preserve">USSTE0125 </t>
  </si>
  <si>
    <t xml:space="preserve">GM RESALE-US STEEL CORP       </t>
  </si>
  <si>
    <t xml:space="preserve">RMSWL68424960/59    </t>
  </si>
  <si>
    <t>68424960SD</t>
  </si>
  <si>
    <t>.037/.041 X   16.50  X COIL</t>
  </si>
  <si>
    <t xml:space="preserve">MS.50002 CR4 GI60/60 U        </t>
  </si>
  <si>
    <t xml:space="preserve">DOFAS0115 </t>
  </si>
  <si>
    <t xml:space="preserve">FCA RESALE-DOFASCO INC/TROY   </t>
  </si>
  <si>
    <t xml:space="preserve">RMSWL68430188/9     </t>
  </si>
  <si>
    <t>68430188SC</t>
  </si>
  <si>
    <t>.061/.065 X   40.00  X COIL</t>
  </si>
  <si>
    <t>MS.50002 TBC600Y980T G60G60 G3</t>
  </si>
  <si>
    <t xml:space="preserve">AMNSC0100 </t>
  </si>
  <si>
    <t xml:space="preserve">FCA RESALE-AM/NS CALVERT/TROY </t>
  </si>
  <si>
    <t xml:space="preserve">RMSWL68430466/7     </t>
  </si>
  <si>
    <t>68430466SC</t>
  </si>
  <si>
    <t>.034/.038 X   31.50  X COIL</t>
  </si>
  <si>
    <t xml:space="preserve">MS.50002 CR04 GI60/60 U       </t>
  </si>
  <si>
    <t xml:space="preserve">RMSWL68500427B      </t>
  </si>
  <si>
    <t>68500427AB</t>
  </si>
  <si>
    <t>.046/.049 X   27.051 X COIL</t>
  </si>
  <si>
    <t xml:space="preserve">LAC340Y410T CR GI50/50 U      </t>
  </si>
  <si>
    <t>85067811</t>
  </si>
  <si>
    <t>BT1CC STORAGE MAIN BIN W/SUB</t>
  </si>
  <si>
    <t>ROW 185/206</t>
  </si>
  <si>
    <t xml:space="preserve">39070                         </t>
  </si>
  <si>
    <t>BT1CC B-PILLAR LOWER LH</t>
  </si>
  <si>
    <t>ROW 194/195G/197</t>
  </si>
  <si>
    <t>85755678</t>
  </si>
  <si>
    <t>BT1CC A Pillar Garn RH</t>
  </si>
  <si>
    <t>62</t>
  </si>
  <si>
    <t>EXT RR FLR CS RR MBR</t>
  </si>
  <si>
    <t>KB3B 2610706 A</t>
  </si>
  <si>
    <t xml:space="preserve">ROW9-W2-MB2                   </t>
  </si>
  <si>
    <t>KB3B 26403E42 AD</t>
  </si>
  <si>
    <t>REINF UPR BK I/S PNL</t>
  </si>
  <si>
    <t xml:space="preserve">ROW11-W2-MB4                  </t>
  </si>
  <si>
    <t>68612899 AC</t>
  </si>
  <si>
    <t>LB REINF D-PILLAR LH</t>
  </si>
  <si>
    <t xml:space="preserve">ROW 61B                       </t>
  </si>
  <si>
    <t>7YS89TRMAA</t>
  </si>
  <si>
    <t>WS GRILL BZL POS4 MOLDED</t>
  </si>
  <si>
    <t>N1WB-E23901-A-PIA-02</t>
  </si>
  <si>
    <t>P703 SOFT TOP ROLL REINF LH</t>
  </si>
  <si>
    <t xml:space="preserve">34012                         </t>
  </si>
  <si>
    <t>N1WB-E26291-BA</t>
  </si>
  <si>
    <t>P703 REINF TL/GT INR TO OTR</t>
  </si>
  <si>
    <t>PNL</t>
  </si>
  <si>
    <t>PC.WL68507883</t>
  </si>
  <si>
    <t>WL REINF RR SUS FRT LT</t>
  </si>
  <si>
    <t>68507883-SPLIT/5000-TROY</t>
  </si>
  <si>
    <t>PC30462A</t>
  </si>
  <si>
    <t>WL REINF TRAILER HINCH</t>
  </si>
  <si>
    <t>68430462-CC71/650-TROY</t>
  </si>
  <si>
    <t>PC30463A</t>
  </si>
  <si>
    <t>68430463-CC71/650-TROY</t>
  </si>
  <si>
    <t xml:space="preserve">PCPE23942AR02.HA    </t>
  </si>
  <si>
    <t>P703 FRT DR RH EBONY W/STITCH</t>
  </si>
  <si>
    <t xml:space="preserve">PCPE27406MPIA05     </t>
  </si>
  <si>
    <t>N1WB-J27406-A-PIA-05</t>
  </si>
  <si>
    <t>RearDoorPanelDBL-NVH</t>
  </si>
  <si>
    <t>255999</t>
  </si>
  <si>
    <t xml:space="preserve">PCPE27407AR05.HA    </t>
  </si>
  <si>
    <t>N1WB E27407 UK1HD5</t>
  </si>
  <si>
    <t>P703 REAR DR LH BLACK PACK</t>
  </si>
  <si>
    <t xml:space="preserve">PCPE403A86APIA05    </t>
  </si>
  <si>
    <t>N1WB-E403A86-A-PIA-05</t>
  </si>
  <si>
    <t>BMPR RR ST BK STP</t>
  </si>
  <si>
    <t>WASHER 6.5MM X 17.5MM</t>
  </si>
  <si>
    <t xml:space="preserve">JLTIN0100 </t>
  </si>
  <si>
    <t xml:space="preserve">JLT INDUSTRIAL HOLDINGS PTE   </t>
  </si>
  <si>
    <t xml:space="preserve">PCPGMBEE17703       </t>
  </si>
  <si>
    <t>INSULATOR PAD-LOWER-LH</t>
  </si>
  <si>
    <t>B-PILLAR</t>
  </si>
  <si>
    <t>PCG</t>
  </si>
  <si>
    <t xml:space="preserve">PCPW710338          </t>
  </si>
  <si>
    <t>W710338-S439</t>
  </si>
  <si>
    <t xml:space="preserve">TERMA0100 </t>
  </si>
  <si>
    <t xml:space="preserve">TERMAX CORPORATION            </t>
  </si>
  <si>
    <t xml:space="preserve">PCS21101C84B        </t>
  </si>
  <si>
    <t>MB3B-21101C84-B</t>
  </si>
  <si>
    <t>S/M BRACKET BRONCO U725</t>
  </si>
  <si>
    <t xml:space="preserve">SCHAL0100 </t>
  </si>
  <si>
    <t xml:space="preserve">SCHALLER CORPORATION          </t>
  </si>
  <si>
    <t xml:space="preserve">PCS21108A60BAPIA02  </t>
  </si>
  <si>
    <t>NUT   ROUND      X  .  X   .</t>
  </si>
  <si>
    <t xml:space="preserve">FORMN0100 </t>
  </si>
  <si>
    <t xml:space="preserve">FORMNET INC                   </t>
  </si>
  <si>
    <t>320042015</t>
  </si>
  <si>
    <t xml:space="preserve">RMPWPP-351          </t>
  </si>
  <si>
    <t>CQENAT</t>
  </si>
  <si>
    <t>PP      WPP 351</t>
  </si>
  <si>
    <t xml:space="preserve">RMSBR5B018A         </t>
  </si>
  <si>
    <t>RM2020-189110-ERMA E</t>
  </si>
  <si>
    <t>.082/.092 X   32.874 X COIL</t>
  </si>
  <si>
    <t xml:space="preserve">WSS-M1A367-A50 HR550LA P&amp;OIL  </t>
  </si>
  <si>
    <t xml:space="preserve">RMSBR7P026A         </t>
  </si>
  <si>
    <t>RM2020-189109-ERMA E ROYAL OAK</t>
  </si>
  <si>
    <t>.113/.124 X   18.543 X COIL</t>
  </si>
  <si>
    <t xml:space="preserve">WSS-M1A367-A48 HR420LA P&amp;OIL  </t>
  </si>
  <si>
    <t xml:space="preserve">RMSGM7243401        </t>
  </si>
  <si>
    <t>DCPBEI82073/76/86/116G00RL</t>
  </si>
  <si>
    <t>.128/.135 X   30.6   X COIL</t>
  </si>
  <si>
    <t>HRPO X           .</t>
  </si>
  <si>
    <t>GMW ST-S-HR420LA W/450MPA MINY</t>
  </si>
  <si>
    <t xml:space="preserve">RMSLB68586410/1     </t>
  </si>
  <si>
    <t>68586410-11AA</t>
  </si>
  <si>
    <t>.075/.082 X   22.441 X COIL</t>
  </si>
  <si>
    <t>MS.50002-LAH340Y410T GI60/60 U</t>
  </si>
  <si>
    <t xml:space="preserve">VENTU0100 </t>
  </si>
  <si>
    <t xml:space="preserve">VENTURE STEEL US INC          </t>
  </si>
  <si>
    <t>85648120</t>
  </si>
  <si>
    <t>BT1CC REAR WDO UPR VALUE</t>
  </si>
  <si>
    <t>31</t>
  </si>
  <si>
    <t xml:space="preserve">36813                         </t>
  </si>
  <si>
    <t>85686515</t>
  </si>
  <si>
    <t>BT1CC 40% REAR MINI BIN</t>
  </si>
  <si>
    <t>225</t>
  </si>
  <si>
    <t xml:space="preserve">39074                         </t>
  </si>
  <si>
    <t>PLT RR CNR INR RR RKR</t>
  </si>
  <si>
    <t>KB3B 21410A49 A</t>
  </si>
  <si>
    <t xml:space="preserve">ROW178B-W8-MB4                </t>
  </si>
  <si>
    <t>U725 BRKT TL GT</t>
  </si>
  <si>
    <t xml:space="preserve">ROW 98                        </t>
  </si>
  <si>
    <t>M2DB-X27830-AB</t>
  </si>
  <si>
    <t>U725 BELT ASSEMBLY RH</t>
  </si>
  <si>
    <t xml:space="preserve">SMF6/84 ROW 314B              </t>
  </si>
  <si>
    <t>N1WB-E22869-CB</t>
  </si>
  <si>
    <t>PC24959A</t>
  </si>
  <si>
    <t>WL REINF D PILLAR LWR</t>
  </si>
  <si>
    <t>68424959-CC71/2000-TROY</t>
  </si>
  <si>
    <t xml:space="preserve">DETROIT ROW 134B              </t>
  </si>
  <si>
    <t xml:space="preserve">PCPE237W29APIA71    </t>
  </si>
  <si>
    <t>P703 LH MAGNALIUM 3659APPLIQUE</t>
  </si>
  <si>
    <t>553055</t>
  </si>
  <si>
    <t xml:space="preserve">PCPE23942IN01.H     </t>
  </si>
  <si>
    <t>INSERT RH EBONY SOHO</t>
  </si>
  <si>
    <t xml:space="preserve">PCPE23943AR04.HA    </t>
  </si>
  <si>
    <t>P703 FRT DR LH SUPER SMOOTH</t>
  </si>
  <si>
    <t>WITH STITCH</t>
  </si>
  <si>
    <t xml:space="preserve">PCPE27406AR01.HA    </t>
  </si>
  <si>
    <t>P703 RR DR RH EBONY NO/STITCH</t>
  </si>
  <si>
    <t xml:space="preserve">PCPW715255          </t>
  </si>
  <si>
    <t>W715255-S300</t>
  </si>
  <si>
    <t>PLASTIC ZINC</t>
  </si>
  <si>
    <t>320035004</t>
  </si>
  <si>
    <t xml:space="preserve">PCPW718046          </t>
  </si>
  <si>
    <t>W718046</t>
  </si>
  <si>
    <t xml:space="preserve">PCS21105A40AA       </t>
  </si>
  <si>
    <t>TUBULAR CLIP</t>
  </si>
  <si>
    <t>320036005</t>
  </si>
  <si>
    <t xml:space="preserve">PCS2640226A         </t>
  </si>
  <si>
    <t>REINF UPR BK PNL CTR</t>
  </si>
  <si>
    <t>WIRE FORM</t>
  </si>
  <si>
    <t xml:space="preserve">COMSP0100 </t>
  </si>
  <si>
    <t xml:space="preserve">COMMERCIAL SPRING &amp; TOOL CO   </t>
  </si>
  <si>
    <t xml:space="preserve">PCSW520753S300      </t>
  </si>
  <si>
    <t>W520753-S300</t>
  </si>
  <si>
    <t xml:space="preserve">PCSW520761S300      </t>
  </si>
  <si>
    <t xml:space="preserve">RMS26403B48A        </t>
  </si>
  <si>
    <t>RM2018-171032-ERMA</t>
  </si>
  <si>
    <t>.030/.032 X   53.969 X COIL</t>
  </si>
  <si>
    <t xml:space="preserve">WSS-M1A365-A11   UNCOATED     </t>
  </si>
  <si>
    <t xml:space="preserve">RMS26410A22RLAA     </t>
  </si>
  <si>
    <t>RM2018-170992-ERMA</t>
  </si>
  <si>
    <t>.038/.041 X   33.504 X COIL</t>
  </si>
  <si>
    <t>CR   X           .</t>
  </si>
  <si>
    <t xml:space="preserve">WSS-M1A367-A37  UNCOATED      </t>
  </si>
  <si>
    <t xml:space="preserve">RMS8A297PIA03       </t>
  </si>
  <si>
    <t>RM2023-205639-ERMA</t>
  </si>
  <si>
    <t>.027/.028 X   33.858 X COIL</t>
  </si>
  <si>
    <t>WSS-M1A367-A36 CR340LA UNCOATE</t>
  </si>
  <si>
    <t xml:space="preserve">RMSE20170RL         </t>
  </si>
  <si>
    <t>RM2022-201555-ERMA</t>
  </si>
  <si>
    <t>.045/.049 X   39.685 X COIL</t>
  </si>
  <si>
    <t xml:space="preserve">WSS-M1A365-A12 CR2 50G50G GI  </t>
  </si>
  <si>
    <t xml:space="preserve">RMSWL68431587B      </t>
  </si>
  <si>
    <t>68431587AB</t>
  </si>
  <si>
    <t>.029/.033 X   54.330 X COIL</t>
  </si>
  <si>
    <t>KB3B 21280A54 AA</t>
  </si>
  <si>
    <t>BRKT RR RNDR MTNG UPR</t>
  </si>
  <si>
    <t>KB3B 2116386A</t>
  </si>
  <si>
    <t xml:space="preserve">ROW323-W18-MB2                </t>
  </si>
  <si>
    <t>7YS88TRMAA</t>
  </si>
  <si>
    <t>WS GRILL BZL POS3 MOLDED</t>
  </si>
  <si>
    <t>U725 BRA REINF HTR PLUM CHMB</t>
  </si>
  <si>
    <t xml:space="preserve">MB2/1000 ROW 266              </t>
  </si>
  <si>
    <t>N1WB-E10610-CC</t>
  </si>
  <si>
    <t>P703 SUPT RAD LWR BRKT</t>
  </si>
  <si>
    <t xml:space="preserve">ROW 289  MB2/1800             </t>
  </si>
  <si>
    <t xml:space="preserve">ROW176A                       </t>
  </si>
  <si>
    <t>N1WB-E23943-A-PIA-42</t>
  </si>
  <si>
    <t>P703 SWT BEZ FRT LH/DBL</t>
  </si>
  <si>
    <t>PC30491A</t>
  </si>
  <si>
    <t>68430491-CC71/350-TROY</t>
  </si>
  <si>
    <t xml:space="preserve">DETROIT ROW 58A               </t>
  </si>
  <si>
    <t xml:space="preserve">PCP2627406FB00      </t>
  </si>
  <si>
    <t>AB39-2627406-A-PIA16</t>
  </si>
  <si>
    <t>RR DR DBL FOAM BLOCK</t>
  </si>
  <si>
    <t xml:space="preserve">DERBY0110 </t>
  </si>
  <si>
    <t xml:space="preserve">PCPE23900TOP01.H    </t>
  </si>
  <si>
    <t>RH TOP ROLL EBONY SOHO</t>
  </si>
  <si>
    <t xml:space="preserve">PCPE23900TOP03.H    </t>
  </si>
  <si>
    <t>P703 RH TOP ROLL BLACK PACK</t>
  </si>
  <si>
    <t xml:space="preserve">PCS06511931AAWL     </t>
  </si>
  <si>
    <t>06511931AA</t>
  </si>
  <si>
    <t xml:space="preserve">PCSE413A14BB        </t>
  </si>
  <si>
    <t>P703 SE ASY RR CNR PLT OTR LWR</t>
  </si>
  <si>
    <t xml:space="preserve">PCSW520782S300      </t>
  </si>
  <si>
    <t xml:space="preserve">PCSW702989S403      </t>
  </si>
  <si>
    <t xml:space="preserve">EMHAR0100 </t>
  </si>
  <si>
    <t xml:space="preserve">STANLEY ENGINEERED FASTENING  </t>
  </si>
  <si>
    <t xml:space="preserve">RMSBR5B852APIA1     </t>
  </si>
  <si>
    <t>RM2020-189404-ERMA</t>
  </si>
  <si>
    <t>.061/.065 X    7.749 X COIL</t>
  </si>
  <si>
    <t xml:space="preserve">RMSF12C04/5         </t>
  </si>
  <si>
    <t>RM2023-207006-ERMA</t>
  </si>
  <si>
    <t>.075/.082 X   18.897 X COIL</t>
  </si>
  <si>
    <t xml:space="preserve">WSS-M1A367-A45 50G/50G P/O    </t>
  </si>
  <si>
    <t>MB3B-2102038-AD</t>
  </si>
  <si>
    <t>MB3B 2102544 A</t>
  </si>
  <si>
    <t xml:space="preserve">ROW 156-MB4/1000              </t>
  </si>
  <si>
    <t>HS1-1B04-W2 NUT WELD SUB ASSY</t>
  </si>
  <si>
    <t>KB3B 26111B04 A</t>
  </si>
  <si>
    <t xml:space="preserve">ROW74                         </t>
  </si>
  <si>
    <t xml:space="preserve">BLKBR5802220        </t>
  </si>
  <si>
    <t>GAGE=.031" W=46.457 P=37.9921"</t>
  </si>
  <si>
    <t>BLK WT=15.73 LB PNL CWL SD INR</t>
  </si>
  <si>
    <t xml:space="preserve">WSS-M1A367-A34 CR270LA 50G50G </t>
  </si>
  <si>
    <t>N1WB-E280A54-AA</t>
  </si>
  <si>
    <t>P703 REINF RR FLR S/M T/DWN</t>
  </si>
  <si>
    <t xml:space="preserve">ROW 177A                      </t>
  </si>
  <si>
    <t>EXT RR CNR UPR INR PLR</t>
  </si>
  <si>
    <t>N1WB E410A23 AA</t>
  </si>
  <si>
    <t xml:space="preserve">ROW 174 B                     </t>
  </si>
  <si>
    <t>KTN1WB 16L558 FB</t>
  </si>
  <si>
    <t>KTN1WB 16L559 FB</t>
  </si>
  <si>
    <t>85132701</t>
  </si>
  <si>
    <t>BT1CC A PLR GRAB HNDL</t>
  </si>
  <si>
    <t xml:space="preserve">39156                         </t>
  </si>
  <si>
    <t>PC26590A</t>
  </si>
  <si>
    <t>WL REINF CSMBR SUS CRA</t>
  </si>
  <si>
    <t>68426590-SPLIT/750-TROY</t>
  </si>
  <si>
    <t>PC30490A</t>
  </si>
  <si>
    <t>68430490-CC71/350-TROY</t>
  </si>
  <si>
    <t xml:space="preserve">DETROIT ROW 59B               </t>
  </si>
  <si>
    <t xml:space="preserve">PCP14K011AD         </t>
  </si>
  <si>
    <t>AGS ASSY WIRE HARNESS</t>
  </si>
  <si>
    <t xml:space="preserve">CYPRI0100 </t>
  </si>
  <si>
    <t xml:space="preserve">CYPRIUM LLC                   </t>
  </si>
  <si>
    <t>055003</t>
  </si>
  <si>
    <t xml:space="preserve">PCPE23943AR05.HA    </t>
  </si>
  <si>
    <t>N1WB E23943 VF1HD5</t>
  </si>
  <si>
    <t>P703 FRT DR LH BLACK PACK</t>
  </si>
  <si>
    <t xml:space="preserve">PCPE27406AR05.HA    </t>
  </si>
  <si>
    <t>N1WB E27406 UK1HD5</t>
  </si>
  <si>
    <t>P703 REAR DR RH BLACK PACK</t>
  </si>
  <si>
    <t xml:space="preserve">PCPW506945MOD-S450  </t>
  </si>
  <si>
    <t>W506945MOD-S450</t>
  </si>
  <si>
    <t>SCREW TORX       X  .  X   .</t>
  </si>
  <si>
    <t>.       STEEL   ZINC</t>
  </si>
  <si>
    <t>320020028</t>
  </si>
  <si>
    <t xml:space="preserve">PCPW506964-S450B    </t>
  </si>
  <si>
    <t>24129-Z1A</t>
  </si>
  <si>
    <t>SCREW .          X  .  X   .</t>
  </si>
  <si>
    <t>.       OTHER   .</t>
  </si>
  <si>
    <t xml:space="preserve">SEMBL0100 </t>
  </si>
  <si>
    <t xml:space="preserve">SEMBLEX CORPORATION           </t>
  </si>
  <si>
    <t xml:space="preserve">RMS2610130RLA       </t>
  </si>
  <si>
    <t>RM2019-178376 * OLD2018-172874</t>
  </si>
  <si>
    <t>.044/.050 X   41.919 X COIL</t>
  </si>
  <si>
    <t>PNL BDY RKR     WSS-M1A368-A15</t>
  </si>
  <si>
    <t xml:space="preserve">RMS9D823AA          </t>
  </si>
  <si>
    <t>RM2018-171048-ERMA</t>
  </si>
  <si>
    <t>.045/.048 X    5.708 X COIL</t>
  </si>
  <si>
    <t xml:space="preserve">WSS-M1A367-A33  UNCOATED      </t>
  </si>
  <si>
    <t>85033346</t>
  </si>
  <si>
    <t>BT1CC FRONT SILL PLATE RH</t>
  </si>
  <si>
    <t>ROW 193/198</t>
  </si>
  <si>
    <t>85058020</t>
  </si>
  <si>
    <t>BT1CC C-PILLAR UPR RH VALUE</t>
  </si>
  <si>
    <t>ROW 184</t>
  </si>
  <si>
    <t xml:space="preserve">36795                         </t>
  </si>
  <si>
    <t>85154936</t>
  </si>
  <si>
    <t xml:space="preserve">36816                         </t>
  </si>
  <si>
    <t xml:space="preserve">GMC01020  </t>
  </si>
  <si>
    <t>85163268</t>
  </si>
  <si>
    <t>BT1CC FRONT SILL BRKT LH</t>
  </si>
  <si>
    <t>195A,195C</t>
  </si>
  <si>
    <t xml:space="preserve">36796                         </t>
  </si>
  <si>
    <t>KB3B 21410A48 A</t>
  </si>
  <si>
    <t xml:space="preserve">ROW181A-W9-MB4                </t>
  </si>
  <si>
    <t xml:space="preserve">ROW274-HS8-MB2                </t>
  </si>
  <si>
    <t>TO DOCK FOR ECOTE</t>
  </si>
  <si>
    <t xml:space="preserve">MB4/2000 ROW 128              </t>
  </si>
  <si>
    <t>68645025</t>
  </si>
  <si>
    <t>LB REINF - HATCH GATE PILLAR</t>
  </si>
  <si>
    <t xml:space="preserve">ROW 97                        </t>
  </si>
  <si>
    <t xml:space="preserve">MISC0100  </t>
  </si>
  <si>
    <t>U725 PLT FR FRT C/M ROW 901</t>
  </si>
  <si>
    <t xml:space="preserve">MB6/160 ROW 901               </t>
  </si>
  <si>
    <t>P703 REINF ASYBOX T/DWN HK RH</t>
  </si>
  <si>
    <t>P1WB E279D58AA</t>
  </si>
  <si>
    <t xml:space="preserve">ROW151B-HS4-MB4               </t>
  </si>
  <si>
    <t>P1WB E279D59AA</t>
  </si>
  <si>
    <t xml:space="preserve">ROW152B-HS4-MB4               </t>
  </si>
  <si>
    <t>N1WB-E279E13-A</t>
  </si>
  <si>
    <t xml:space="preserve">MB2/1000  ROW 320             </t>
  </si>
  <si>
    <t>N1WB E41022 BA</t>
  </si>
  <si>
    <t xml:space="preserve">ROW150A                       </t>
  </si>
  <si>
    <t>N1WB E41023 BA</t>
  </si>
  <si>
    <t xml:space="preserve">ROW151A                       </t>
  </si>
  <si>
    <t>KB3B-2150840-AC</t>
  </si>
  <si>
    <t>REINF RF PNL RR CTR</t>
  </si>
  <si>
    <t>U725 BELT ASSEMBLY X LH</t>
  </si>
  <si>
    <t xml:space="preserve">SMF6/84   ROW 314A            </t>
  </si>
  <si>
    <t>PC00427B</t>
  </si>
  <si>
    <t>WL EXT PILLAR LWR CTR</t>
  </si>
  <si>
    <t>68500427-CC71/1000-TROY</t>
  </si>
  <si>
    <t>PC24960A</t>
  </si>
  <si>
    <t>68424960-CC71/2000-TROY</t>
  </si>
  <si>
    <t xml:space="preserve">DETROIT ROW 135B              </t>
  </si>
  <si>
    <t>PC26550A</t>
  </si>
  <si>
    <t>68426550-CC71/600-TROY</t>
  </si>
  <si>
    <t xml:space="preserve">DETROIT ROW 360               </t>
  </si>
  <si>
    <t xml:space="preserve">PCP15K859MAW        </t>
  </si>
  <si>
    <t>NU5T-15K859-MAW</t>
  </si>
  <si>
    <t>PAINTED UPA HD SENSOR</t>
  </si>
  <si>
    <t xml:space="preserve">VALEO0100 </t>
  </si>
  <si>
    <t xml:space="preserve">VALEO NORTH AMERICA INC       </t>
  </si>
  <si>
    <t>055001</t>
  </si>
  <si>
    <t xml:space="preserve">PCP2631007APIA03    </t>
  </si>
  <si>
    <t>KB3B-2631007-A-PIA-03</t>
  </si>
  <si>
    <t>C PLR LWR FELT LH</t>
  </si>
  <si>
    <t xml:space="preserve">PCP8476AB           </t>
  </si>
  <si>
    <t>G10/002</t>
  </si>
  <si>
    <t>AGS ACTUATOR TYPE 1</t>
  </si>
  <si>
    <t xml:space="preserve">MIRRO0100 </t>
  </si>
  <si>
    <t xml:space="preserve">MCI NL B V                    </t>
  </si>
  <si>
    <t xml:space="preserve">PCPDT68434541AA     </t>
  </si>
  <si>
    <t>068434541AA</t>
  </si>
  <si>
    <t>NUT   HEX HD     X  .  X   .</t>
  </si>
  <si>
    <t>HEX HD  OTHER   .</t>
  </si>
  <si>
    <t>320042009</t>
  </si>
  <si>
    <t xml:space="preserve">PCPE237W29APIA70    </t>
  </si>
  <si>
    <t>P703 FRONT APPLIQUE LH</t>
  </si>
  <si>
    <t xml:space="preserve">RAPTOR                        </t>
  </si>
  <si>
    <t xml:space="preserve">PCPE23901TOP03.H    </t>
  </si>
  <si>
    <t>P703 LH TOP ROLL BLACK PACK</t>
  </si>
  <si>
    <t xml:space="preserve">PCPE23942APIA05     </t>
  </si>
  <si>
    <t>N1WB-E23942-A-PIA-05</t>
  </si>
  <si>
    <t>LocatorSeal</t>
  </si>
  <si>
    <t>35mmx35mmx12mmthick</t>
  </si>
  <si>
    <t xml:space="preserve">PCPE23942AR01.HA    </t>
  </si>
  <si>
    <t>P703 FRT DR RH EBONY NO-STICH</t>
  </si>
  <si>
    <t xml:space="preserve">PCPE23942AR05.HA    </t>
  </si>
  <si>
    <t>N1WB E23942 SF1HD5</t>
  </si>
  <si>
    <t>P703 FRT DR RH BLACK PACK</t>
  </si>
  <si>
    <t xml:space="preserve">PCPGM11602758       </t>
  </si>
  <si>
    <t>71115-169</t>
  </si>
  <si>
    <t xml:space="preserve">PCPGM11603735       </t>
  </si>
  <si>
    <t>11603735</t>
  </si>
  <si>
    <t>320038001</t>
  </si>
  <si>
    <t xml:space="preserve">PCPW713297          </t>
  </si>
  <si>
    <t>W713297</t>
  </si>
  <si>
    <t>SCRIVET</t>
  </si>
  <si>
    <t>320038003</t>
  </si>
  <si>
    <t xml:space="preserve">PCS10723APIA03B     </t>
  </si>
  <si>
    <t>P703 TRAY-BATTERY-A-VERSION</t>
  </si>
  <si>
    <t xml:space="preserve">ROW 184B                      </t>
  </si>
  <si>
    <t xml:space="preserve">PCS2661217AC        </t>
  </si>
  <si>
    <t>REINF FRT ST BEL ANC INR</t>
  </si>
  <si>
    <t xml:space="preserve">PCSM4GB60B4A        </t>
  </si>
  <si>
    <t>SE-REINF RKR PNL INR/PNL BDY</t>
  </si>
  <si>
    <t>RKR</t>
  </si>
  <si>
    <t xml:space="preserve">RACK#1 SLOT#4-5-6             </t>
  </si>
  <si>
    <t xml:space="preserve">APPLI0110 </t>
  </si>
  <si>
    <t xml:space="preserve">APPLIED ADHESIVES             </t>
  </si>
  <si>
    <t>255045</t>
  </si>
  <si>
    <t>GAL</t>
  </si>
  <si>
    <t xml:space="preserve">PCSW706176S403      </t>
  </si>
  <si>
    <t>STUD  T-BOLT     X  .  X   .</t>
  </si>
  <si>
    <t>T-BOLT  STEEL   .</t>
  </si>
  <si>
    <t xml:space="preserve">PCSW712873S300      </t>
  </si>
  <si>
    <t>W712873-S300</t>
  </si>
  <si>
    <t>PUR58101B51 B</t>
  </si>
  <si>
    <t>U725 GTS FLR RR MBR L-ROW 903</t>
  </si>
  <si>
    <t>MB3B 58101B51-ROYAL OAK</t>
  </si>
  <si>
    <t xml:space="preserve">DETROIT ROW 903               </t>
  </si>
  <si>
    <t>PUR5810780 A</t>
  </si>
  <si>
    <t>U725 MTR RR CS UPR    ROW 904</t>
  </si>
  <si>
    <t>MB3B 5810780 AA-ROYAL OAK</t>
  </si>
  <si>
    <t xml:space="preserve">DETROIT ROW 904               </t>
  </si>
  <si>
    <t xml:space="preserve">REPACK3D072         </t>
  </si>
  <si>
    <t>MB3C-3D072-AA</t>
  </si>
  <si>
    <t xml:space="preserve">RMS2611753A         </t>
  </si>
  <si>
    <t>RM2018-173258-ERMA</t>
  </si>
  <si>
    <t>.030/.032 X   11.26  X COIL</t>
  </si>
  <si>
    <t xml:space="preserve">WSS-M1A365-A14   UNCOATED     </t>
  </si>
  <si>
    <t xml:space="preserve">RMS2613110A         </t>
  </si>
  <si>
    <t>RM2018-170918-ERMA</t>
  </si>
  <si>
    <t>.038/.04  X   10.629 X COIL</t>
  </si>
  <si>
    <t xml:space="preserve">RMS26281A30RLAA     </t>
  </si>
  <si>
    <t>RM2018-170990-ERMA</t>
  </si>
  <si>
    <t>.045/.05  X   20.472 X COIL</t>
  </si>
  <si>
    <t xml:space="preserve">RMS2640506A         </t>
  </si>
  <si>
    <t>RM2018-171033-ERMA</t>
  </si>
  <si>
    <t>.038/.04  X   10.945 X COIL</t>
  </si>
  <si>
    <t xml:space="preserve">WSS-M1A365-A11    UNCOATED    </t>
  </si>
  <si>
    <t xml:space="preserve">RMS2661270RLA       </t>
  </si>
  <si>
    <t>RM2018-170912-ERMA</t>
  </si>
  <si>
    <t>.077/.081 X   15.799 X COIL</t>
  </si>
  <si>
    <t xml:space="preserve">WSS-M1A367-A35  50G50G-GI     </t>
  </si>
  <si>
    <t xml:space="preserve">RMSBR5802220RL      </t>
  </si>
  <si>
    <t>RM2020-189028-ERMA* HOWARD USS</t>
  </si>
  <si>
    <t>.030/.032 X   46.457 X COIL</t>
  </si>
  <si>
    <t xml:space="preserve">USSTE0110 </t>
  </si>
  <si>
    <t xml:space="preserve">FORD RESALE-US STEEL/HOWARD   </t>
  </si>
  <si>
    <t xml:space="preserve">RMSBRS45130ARL      </t>
  </si>
  <si>
    <t>RM2020-189097-ERMA ROYAL OAK</t>
  </si>
  <si>
    <t>.027/.029 X   11.89  X COIL</t>
  </si>
  <si>
    <t xml:space="preserve">VENTU0130 </t>
  </si>
  <si>
    <t xml:space="preserve">FORD RESALE-VENTURE STEEL/RO  </t>
  </si>
  <si>
    <t xml:space="preserve">RMSBRS502A74A       </t>
  </si>
  <si>
    <t>RM2020-189184-ERMA</t>
  </si>
  <si>
    <t>.037/.041 X   34.961 X COIL</t>
  </si>
  <si>
    <t xml:space="preserve">RMSE200L76RL        </t>
  </si>
  <si>
    <t>RM2022-201440-ERMA</t>
  </si>
  <si>
    <t>.077/.081 X   10.748 X COIL</t>
  </si>
  <si>
    <t xml:space="preserve">RMSE513D20RL        </t>
  </si>
  <si>
    <t>RM2022-201326-ERMA</t>
  </si>
  <si>
    <t>.061/.065 X   57.007 X COIL</t>
  </si>
  <si>
    <t>WSS-M1A368-A15 CRDP1000 UNCOAT</t>
  </si>
  <si>
    <t xml:space="preserve">RMSF12K76/7         </t>
  </si>
  <si>
    <t>RM2023-207005-ERMA</t>
  </si>
  <si>
    <t>.075/.082 X   12.598 X COIL</t>
  </si>
  <si>
    <t xml:space="preserve">RMSLB68612898/9     </t>
  </si>
  <si>
    <t>68612898-99AA</t>
  </si>
  <si>
    <t>.038/.040 X   57.283 X COIL</t>
  </si>
  <si>
    <t>MS.50002-LAC340Y410T GI60/60 U</t>
  </si>
  <si>
    <t xml:space="preserve">RMSWL68426192       </t>
  </si>
  <si>
    <t>68426192SC</t>
  </si>
  <si>
    <t>.057/.061 X   12.205 X COIL</t>
  </si>
  <si>
    <t>85058016</t>
  </si>
  <si>
    <t>BT1CC C-PILLAR UPR LH VALUE</t>
  </si>
  <si>
    <t>ROW 175</t>
  </si>
  <si>
    <t>86787809</t>
  </si>
  <si>
    <t>BT1CC 60% DIVIDER WT</t>
  </si>
  <si>
    <t>223</t>
  </si>
  <si>
    <t xml:space="preserve">38814                         </t>
  </si>
  <si>
    <t>KB3B 26508A40 AB</t>
  </si>
  <si>
    <t>KB3B 2650840 A</t>
  </si>
  <si>
    <t xml:space="preserve">ROW72B-W15-2-MB4              </t>
  </si>
  <si>
    <t>WL BRKT SEAT UPPR RT</t>
  </si>
  <si>
    <t xml:space="preserve">ROW 143A CC71/2500            </t>
  </si>
  <si>
    <t>68586415</t>
  </si>
  <si>
    <t xml:space="preserve">ROW 95                        </t>
  </si>
  <si>
    <t>N1WB-E10128-AA</t>
  </si>
  <si>
    <t>P703 REINF RKR PNL INR R</t>
  </si>
  <si>
    <t xml:space="preserve">ROW 33                        </t>
  </si>
  <si>
    <t>N1WB-E23900-A-PIA-02</t>
  </si>
  <si>
    <t>P703 SOFT TOP ROLL REINF RH</t>
  </si>
  <si>
    <t xml:space="preserve">PCP15A861C1AW       </t>
  </si>
  <si>
    <t>M2DT-15A861-C1AW</t>
  </si>
  <si>
    <t>FRT BEZ INR RH MIC</t>
  </si>
  <si>
    <t xml:space="preserve">PCP2616G040APIA03   </t>
  </si>
  <si>
    <t>AB31-17007-AA</t>
  </si>
  <si>
    <t>NYLON STRAP</t>
  </si>
  <si>
    <t xml:space="preserve">HAYAS0100 </t>
  </si>
  <si>
    <t xml:space="preserve">HAYASHI TELEMPU CO LTD        </t>
  </si>
  <si>
    <t>553012</t>
  </si>
  <si>
    <t xml:space="preserve">PCP2631006APIA03    </t>
  </si>
  <si>
    <t>KB3B-2631006-A-PIA-03</t>
  </si>
  <si>
    <t>C PLR LWR FELT RH</t>
  </si>
  <si>
    <t xml:space="preserve">PCPE31002CPIA02     </t>
  </si>
  <si>
    <t>C14512227</t>
  </si>
  <si>
    <t>P703 35MM X 35MM X 12.7 MM</t>
  </si>
  <si>
    <t>FOAM BLOCK</t>
  </si>
  <si>
    <t xml:space="preserve">PCPE41018APIA05     </t>
  </si>
  <si>
    <t>N1WB-E41018-A-PIA-05</t>
  </si>
  <si>
    <t>P703 TORSION SPRING</t>
  </si>
  <si>
    <t xml:space="preserve">FENNE0100 </t>
  </si>
  <si>
    <t xml:space="preserve">FENNELL SPRING COMPANY LLC    </t>
  </si>
  <si>
    <t>320096</t>
  </si>
  <si>
    <t xml:space="preserve">PCPW718226-S450B    </t>
  </si>
  <si>
    <t>N1WB E410A43 AA</t>
  </si>
  <si>
    <t>P703 REINF RR CNR INR RR PLR</t>
  </si>
  <si>
    <t>REPACK-ST26/140 PCS</t>
  </si>
  <si>
    <t xml:space="preserve">ROW 79                        </t>
  </si>
  <si>
    <t xml:space="preserve">RMPADX5023          </t>
  </si>
  <si>
    <t>ADX-5023 ZHE</t>
  </si>
  <si>
    <t>TPO     ADX 5023</t>
  </si>
  <si>
    <t>85033344</t>
  </si>
  <si>
    <t>BT1CC FRONT SILL PLATE LH</t>
  </si>
  <si>
    <t>ROW 192/199</t>
  </si>
  <si>
    <t>68586414</t>
  </si>
  <si>
    <t xml:space="preserve">ROW 94                        </t>
  </si>
  <si>
    <t>N1WB-E23406-M</t>
  </si>
  <si>
    <t>P703 RR DR PNL DBL INSERT RH</t>
  </si>
  <si>
    <t>N1WB-E26290-BA</t>
  </si>
  <si>
    <t>PC26551A</t>
  </si>
  <si>
    <t>68426551-CC71/500-TROY</t>
  </si>
  <si>
    <t xml:space="preserve">DETROIT ROW 359               </t>
  </si>
  <si>
    <t>PC31587B</t>
  </si>
  <si>
    <t>68431587-SMF7/700 TROY</t>
  </si>
  <si>
    <t xml:space="preserve">DETROIT ROW 437/438/439       </t>
  </si>
  <si>
    <t xml:space="preserve">PCP17D568EPIA03     </t>
  </si>
  <si>
    <t>P703 Tether 13mm x 137mm x1mm</t>
  </si>
  <si>
    <t xml:space="preserve">PCP2616G040PIA03    </t>
  </si>
  <si>
    <t>AB39-2616G040-A-PIA-03</t>
  </si>
  <si>
    <t xml:space="preserve">PCPDT68310054AA     </t>
  </si>
  <si>
    <t>68310054AA</t>
  </si>
  <si>
    <t>SPACER</t>
  </si>
  <si>
    <t>OTHER   .</t>
  </si>
  <si>
    <t xml:space="preserve">A1FAS0100 </t>
  </si>
  <si>
    <t xml:space="preserve">A-1 FASTENER INC              </t>
  </si>
  <si>
    <t>320091003</t>
  </si>
  <si>
    <t xml:space="preserve">PCS06510978AAWL     </t>
  </si>
  <si>
    <t xml:space="preserve">PCSW520712S300      </t>
  </si>
  <si>
    <t xml:space="preserve">PCSW703193S300      </t>
  </si>
  <si>
    <t xml:space="preserve">DECKE0100 </t>
  </si>
  <si>
    <t xml:space="preserve">DECKER FASTENERS LTD          </t>
  </si>
  <si>
    <t xml:space="preserve">RMPADX5324          </t>
  </si>
  <si>
    <t>TPO     ADX5324 GENERIC BLACK</t>
  </si>
  <si>
    <t xml:space="preserve">RMS26613E42RLA      </t>
  </si>
  <si>
    <t>RM2018-170906-ERMA</t>
  </si>
  <si>
    <t>.038/.04  X   25.472 X COIL</t>
  </si>
  <si>
    <t xml:space="preserve">RMS8A297PIA02/04    </t>
  </si>
  <si>
    <t>RM2023-205640-ERMA</t>
  </si>
  <si>
    <t>.031/.032 X   46.22  X COIL</t>
  </si>
  <si>
    <t>ST17210352AA</t>
  </si>
  <si>
    <t>P702 ML3V 19D521 D -ROW 242</t>
  </si>
  <si>
    <t>MAIN TUBE OUTER-CLAM SHEL</t>
  </si>
  <si>
    <t xml:space="preserve">DETROIT ROW 242               </t>
  </si>
  <si>
    <t>BT1CC SIDE SILL PLATE RH</t>
  </si>
  <si>
    <t xml:space="preserve">36804                         </t>
  </si>
  <si>
    <t>P703 PNL CWL SD INR LH</t>
  </si>
  <si>
    <t>MB3B 2102039 AF</t>
  </si>
  <si>
    <t xml:space="preserve">ROW453                        </t>
  </si>
  <si>
    <t>MB3B-21021A40-AA</t>
  </si>
  <si>
    <t>P703 REINF CWL TOP INR PNL</t>
  </si>
  <si>
    <t xml:space="preserve">ROW 20                        </t>
  </si>
  <si>
    <t>KB3B 2110020 AD</t>
  </si>
  <si>
    <t>MBR RR FLR CS</t>
  </si>
  <si>
    <t>KB3B 2110782 A</t>
  </si>
  <si>
    <t xml:space="preserve">ROW 44-W2-MB8                 </t>
  </si>
  <si>
    <t>PC26591A</t>
  </si>
  <si>
    <t>WL REINF CSMBR SUS CRD</t>
  </si>
  <si>
    <t>68426591-SPLIT/750-TROY</t>
  </si>
  <si>
    <t xml:space="preserve">PCP90228            </t>
  </si>
  <si>
    <t>902288</t>
  </si>
  <si>
    <t>40 X 40 X 1MM FELT PAD</t>
  </si>
  <si>
    <t xml:space="preserve">PCPE237W28APIA71    </t>
  </si>
  <si>
    <t>P703 RH MAGNALIUM 3659APPLIQUE</t>
  </si>
  <si>
    <t xml:space="preserve">PCPE23943APIA201MY0 </t>
  </si>
  <si>
    <t>P703 I/P  EXTENSION 1MY0  LH</t>
  </si>
  <si>
    <t xml:space="preserve">PCPE27407AR04.HA    </t>
  </si>
  <si>
    <t>P703 RR DR LH S.SMOOTH</t>
  </si>
  <si>
    <t>W/STITCH</t>
  </si>
  <si>
    <t xml:space="preserve">PCPW713489          </t>
  </si>
  <si>
    <t>W713489-S300</t>
  </si>
  <si>
    <t xml:space="preserve">RMS2611218A         </t>
  </si>
  <si>
    <t>RM2018-170913-ERMA*</t>
  </si>
  <si>
    <t>.025/.027 X   44.09  X COIL</t>
  </si>
  <si>
    <t xml:space="preserve">RMSE403C96A         </t>
  </si>
  <si>
    <t>RM2024-212390-ERMA</t>
  </si>
  <si>
    <t>.037/.041 X   59.763 X COIL</t>
  </si>
  <si>
    <t xml:space="preserve">WSS-M1A367-A38 50G/50G        </t>
  </si>
  <si>
    <t xml:space="preserve">MILST0105 </t>
  </si>
  <si>
    <t xml:space="preserve">FORD RESALE-MILL STEEL        </t>
  </si>
  <si>
    <t xml:space="preserve">RMSWL68426172/793   </t>
  </si>
  <si>
    <t>68426172SD</t>
  </si>
  <si>
    <t>.069/.073 X   55.393 X COIL</t>
  </si>
  <si>
    <t xml:space="preserve">USSTE0120 </t>
  </si>
  <si>
    <t xml:space="preserve">FCA RESALE-US STEEL/TROY      </t>
  </si>
  <si>
    <t>85027342</t>
  </si>
  <si>
    <t>BT1CC HEADLINER CVR LH</t>
  </si>
  <si>
    <t>RACKS</t>
  </si>
  <si>
    <t xml:space="preserve">36818                         </t>
  </si>
  <si>
    <t>WL BRACKET - SUPPORT RT</t>
  </si>
  <si>
    <t xml:space="preserve">ROW 261B CC71/600             </t>
  </si>
  <si>
    <t>N1WB-E10610-CA</t>
  </si>
  <si>
    <t>P703 DOUBLER REINFORCEMENT</t>
  </si>
  <si>
    <t xml:space="preserve">ROW 39 MB4/2000               </t>
  </si>
  <si>
    <t xml:space="preserve">PCP15A864C1AW       </t>
  </si>
  <si>
    <t>M2DT-15A864-C1AW</t>
  </si>
  <si>
    <t>FRT BEZ OTR LH MIC</t>
  </si>
  <si>
    <t xml:space="preserve">PCSW713405S300      </t>
  </si>
  <si>
    <t xml:space="preserve">RMSE10522           </t>
  </si>
  <si>
    <t>RM2022-201442-ERMA</t>
  </si>
  <si>
    <t>.037/.041 X   41.732 X COIL</t>
  </si>
  <si>
    <t xml:space="preserve">RMSWL68425109/18B   </t>
  </si>
  <si>
    <t>68425109AB</t>
  </si>
  <si>
    <t>.057/.061 X   23.819 X COIL</t>
  </si>
  <si>
    <t xml:space="preserve">RMSWL68431592/3     </t>
  </si>
  <si>
    <t>68431592SD</t>
  </si>
  <si>
    <t>.057/.061 X   25.393 X COIL</t>
  </si>
  <si>
    <t xml:space="preserve">LAC340Y410T CR GI60/60 U      </t>
  </si>
  <si>
    <t>85163269</t>
  </si>
  <si>
    <t>BT1CC FRONT SILL BRKT RH</t>
  </si>
  <si>
    <t>86584063</t>
  </si>
  <si>
    <t>BT1CC C PLR LWR MIDGATE RH</t>
  </si>
  <si>
    <t>86584065</t>
  </si>
  <si>
    <t>BT1CC C-PILLAR LWR RH</t>
  </si>
  <si>
    <t>187,204</t>
  </si>
  <si>
    <t>BT1CC FRT SILL GARNISH RH</t>
  </si>
  <si>
    <t xml:space="preserve">GMC01000  </t>
  </si>
  <si>
    <t>P703 BRA CWL TOP INR PNL</t>
  </si>
  <si>
    <t xml:space="preserve">ROW 396                       </t>
  </si>
  <si>
    <t>MB3B-2610020-A</t>
  </si>
  <si>
    <t>PLT RR FLR S/M</t>
  </si>
  <si>
    <t xml:space="preserve">ROW262-PW6-MB2                </t>
  </si>
  <si>
    <t xml:space="preserve">CC71/10000-ROW 294            </t>
  </si>
  <si>
    <t>P703 EXT RR CNR UPR INR PLR</t>
  </si>
  <si>
    <t>N1WB E410A22 AA</t>
  </si>
  <si>
    <t xml:space="preserve">ROW 175B                      </t>
  </si>
  <si>
    <t>P703 PLT TL/GT HGE ON BDY ANC</t>
  </si>
  <si>
    <t xml:space="preserve">MB2/500 ROW 325               </t>
  </si>
  <si>
    <t>N1WB-E20170-AA</t>
  </si>
  <si>
    <t>P703 REINF DR RR FR</t>
  </si>
  <si>
    <t>N1WB-E20171-AA</t>
  </si>
  <si>
    <t>N1WB E41018 CD</t>
  </si>
  <si>
    <t xml:space="preserve">34576                         </t>
  </si>
  <si>
    <t>PC26174A</t>
  </si>
  <si>
    <t>WL CSMBR RR SUSP FRT</t>
  </si>
  <si>
    <t>68426174-CC71/1000-TROY</t>
  </si>
  <si>
    <t>PC26175A</t>
  </si>
  <si>
    <t>68426175-CC71/1000-TROY</t>
  </si>
  <si>
    <t xml:space="preserve">DETROIT ROW 52A               </t>
  </si>
  <si>
    <t xml:space="preserve">PCP18045J02A4       </t>
  </si>
  <si>
    <t>H1BB-A045J02-AAW</t>
  </si>
  <si>
    <t>B&amp;O PLAY LOGO</t>
  </si>
  <si>
    <t xml:space="preserve">HARMA0100 </t>
  </si>
  <si>
    <t xml:space="preserve">HARMAN BECKER AUTOMOTIVE      </t>
  </si>
  <si>
    <t xml:space="preserve">PCP18808AA          </t>
  </si>
  <si>
    <t>MU5T-18808-EA</t>
  </si>
  <si>
    <t>Tweeter HARMAN</t>
  </si>
  <si>
    <t>T6 P703</t>
  </si>
  <si>
    <t xml:space="preserve">HARMA0105 </t>
  </si>
  <si>
    <t xml:space="preserve">PCP50205BA          </t>
  </si>
  <si>
    <t>50205</t>
  </si>
  <si>
    <t>TETHER</t>
  </si>
  <si>
    <t xml:space="preserve">PCPDTMXKITBOX       </t>
  </si>
  <si>
    <t>DT    REAR CENTER SUPPORT</t>
  </si>
  <si>
    <t>BOX</t>
  </si>
  <si>
    <t xml:space="preserve">PRATT0100 </t>
  </si>
  <si>
    <t xml:space="preserve">PRATT INDUSTRIES              </t>
  </si>
  <si>
    <t>100999</t>
  </si>
  <si>
    <t xml:space="preserve">PCPE23942APIA201MY  </t>
  </si>
  <si>
    <t>P703 I/P  EXTENSION 1MY RH</t>
  </si>
  <si>
    <t xml:space="preserve">PCPE23942AR04.HA    </t>
  </si>
  <si>
    <t>P703 FRT DR RH S.SMOOTH</t>
  </si>
  <si>
    <t xml:space="preserve">PCPE23943BPIA27     </t>
  </si>
  <si>
    <t>N1WB-E23943-B-PIA-27</t>
  </si>
  <si>
    <t>P703 FELT PAD 18X15X2MM THICK</t>
  </si>
  <si>
    <t xml:space="preserve">PCPE27406AR03.HA    </t>
  </si>
  <si>
    <t>P703 RR DR RH SAND W/STITCH</t>
  </si>
  <si>
    <t xml:space="preserve">PCPGMBEE17706       </t>
  </si>
  <si>
    <t>INSULATOR PAD-LOWER-RH</t>
  </si>
  <si>
    <t xml:space="preserve">PCPW714113-S439     </t>
  </si>
  <si>
    <t>W714113-S439</t>
  </si>
  <si>
    <t xml:space="preserve">PCPW718226-S439     </t>
  </si>
  <si>
    <t xml:space="preserve">PCS06510818AAWL     </t>
  </si>
  <si>
    <t>06510818AA</t>
  </si>
  <si>
    <t>HEX HD  STEEL   .</t>
  </si>
  <si>
    <t xml:space="preserve">PCS96502A78AA       </t>
  </si>
  <si>
    <t xml:space="preserve">LWENG0100 </t>
  </si>
  <si>
    <t xml:space="preserve">L &amp; W ENGINEERING CO          </t>
  </si>
  <si>
    <t xml:space="preserve">PCSW520763S300      </t>
  </si>
  <si>
    <t xml:space="preserve">PCSW709682S300      </t>
  </si>
  <si>
    <t xml:space="preserve">PCSW720447S300      </t>
  </si>
  <si>
    <t>W720447-S300</t>
  </si>
  <si>
    <t xml:space="preserve">ROW 78                        </t>
  </si>
  <si>
    <t xml:space="preserve">RMPCA387PC YZ9A     </t>
  </si>
  <si>
    <t>TPO     HX CA 387 PC</t>
  </si>
  <si>
    <t>YZ9A  BLACK               FORD</t>
  </si>
  <si>
    <t>RSB</t>
  </si>
  <si>
    <t xml:space="preserve">RMSBRS67110ARL      </t>
  </si>
  <si>
    <t>RM2023-207150-ERMA</t>
  </si>
  <si>
    <t>.030/.032 X   29.921 X COIL</t>
  </si>
  <si>
    <t xml:space="preserve">RMSDT683718/9       </t>
  </si>
  <si>
    <t>68274602SF</t>
  </si>
  <si>
    <t>.077/.079 X   25.125 X COIL</t>
  </si>
  <si>
    <t xml:space="preserve">MS.50002 LAH340Y410T UNCOATED </t>
  </si>
  <si>
    <t xml:space="preserve">RMSLB68586414RL     </t>
  </si>
  <si>
    <t>68586414-15 PIA-01/02</t>
  </si>
  <si>
    <t>.113/.123 X   11.142 X COIL</t>
  </si>
  <si>
    <t>1-11194-0100-202</t>
  </si>
  <si>
    <t>BT1CC A-PLR NON-GRAINED LH</t>
  </si>
  <si>
    <t>MOLLER TECH</t>
  </si>
  <si>
    <t xml:space="preserve">MOLL0100  </t>
  </si>
  <si>
    <t xml:space="preserve">PCP10CBOX           </t>
  </si>
  <si>
    <t>10C BOX - 73 X 41 X 29</t>
  </si>
  <si>
    <t xml:space="preserve">PCPE27406AR04.HA    </t>
  </si>
  <si>
    <t>P703 RR DR RH S.SMOOTH</t>
  </si>
  <si>
    <t xml:space="preserve">RMPS777K UV BK61099 </t>
  </si>
  <si>
    <t>LURAN S777K UV BK61099</t>
  </si>
  <si>
    <t xml:space="preserve">INEOS0100 </t>
  </si>
  <si>
    <t xml:space="preserve">INEOS STYROLUTION AMERICA LLC </t>
  </si>
  <si>
    <t xml:space="preserve">RMS2150840AA        </t>
  </si>
  <si>
    <t>RM2018-171057-ERMA</t>
  </si>
  <si>
    <t>.068/.074 X   43.000 X COIL</t>
  </si>
  <si>
    <t xml:space="preserve">WSS-M1A368-A15  UNCOATED      </t>
  </si>
  <si>
    <t xml:space="preserve">RMSN9BUOA9/10       </t>
  </si>
  <si>
    <t>85010 9BUOA_PIA09/10</t>
  </si>
  <si>
    <t>.111/.125 X   20.24  X COIL</t>
  </si>
  <si>
    <t xml:space="preserve">SP231-440-HR PICKLE &amp; OIL     </t>
  </si>
  <si>
    <t>RMST1XC0240201/801RL</t>
  </si>
  <si>
    <t>C0240201/301 C0240801/901</t>
  </si>
  <si>
    <t>.045/.049 X   45.279 X COIL</t>
  </si>
  <si>
    <t>CR   DP-590      MILOIL</t>
  </si>
  <si>
    <t>GMW3399M-ST-S-CR590T/340Y60G60</t>
  </si>
  <si>
    <t>86550557</t>
  </si>
  <si>
    <t>BT1CC SLIDER ASSY BUTTON RH</t>
  </si>
  <si>
    <t>WL REINF - EXHAUST HANGER ROD</t>
  </si>
  <si>
    <t xml:space="preserve">ROW 136A CC71/500             </t>
  </si>
  <si>
    <t xml:space="preserve">MB2/500 ROW 324               </t>
  </si>
  <si>
    <t>N1WB-16L558-DB</t>
  </si>
  <si>
    <t>P703 REAR SPLA SHIELD RH</t>
  </si>
  <si>
    <t xml:space="preserve">PCP520823S439       </t>
  </si>
  <si>
    <t>U-NUT</t>
  </si>
  <si>
    <t xml:space="preserve">ARAYM0110 </t>
  </si>
  <si>
    <t>ARAYMOND MFG CTR N AMERICA INC</t>
  </si>
  <si>
    <t>320036007</t>
  </si>
  <si>
    <t xml:space="preserve">PCPBUR100089        </t>
  </si>
  <si>
    <t>320036001</t>
  </si>
  <si>
    <t xml:space="preserve">PCPE23942AR03.HA    </t>
  </si>
  <si>
    <t>P703 FRT DR SAND W/STITCH</t>
  </si>
  <si>
    <t xml:space="preserve">PCPW714113-S424     </t>
  </si>
  <si>
    <t>W714113-S424</t>
  </si>
  <si>
    <t xml:space="preserve">RMS2611150RLA       </t>
  </si>
  <si>
    <t>RM2018-170910-ERMA</t>
  </si>
  <si>
    <t>.053/.057 X   42.913 X COIL</t>
  </si>
  <si>
    <t xml:space="preserve">RMSBRS502D12A CR4   </t>
  </si>
  <si>
    <t>RM2021-191402-ERMA</t>
  </si>
  <si>
    <t>.027/.029 X   38.819 X COIL</t>
  </si>
  <si>
    <t xml:space="preserve">WSS-M1A365-A14 50G50G CR4     </t>
  </si>
  <si>
    <t xml:space="preserve">RMSWL68424074/5     </t>
  </si>
  <si>
    <t>68424074SE</t>
  </si>
  <si>
    <t>.059/.061 X   13.543 X COIL</t>
  </si>
  <si>
    <t xml:space="preserve">MS.50002 CR05 GI60/60 U       </t>
  </si>
  <si>
    <t>WL BRACKET - SUPPORT LT</t>
  </si>
  <si>
    <t xml:space="preserve">ROW 261C CC71/600             </t>
  </si>
  <si>
    <t>68586411 AA</t>
  </si>
  <si>
    <t>LB REINF HATCH HINGE</t>
  </si>
  <si>
    <t>CC071 1300</t>
  </si>
  <si>
    <t xml:space="preserve">ROW 54B                       </t>
  </si>
  <si>
    <t>P703 SUPT BRKT FRT PLR LH</t>
  </si>
  <si>
    <t xml:space="preserve">MB4/800 ROW 319               </t>
  </si>
  <si>
    <t>N1WB-E50291-AA</t>
  </si>
  <si>
    <t>P703 REINF RF PNL RR</t>
  </si>
  <si>
    <t>PC26189A</t>
  </si>
  <si>
    <t>WL REINF 2ND ROW SEAT</t>
  </si>
  <si>
    <t>68426189-CC71/600-TROY</t>
  </si>
  <si>
    <t xml:space="preserve">DETROIT ROW 362               </t>
  </si>
  <si>
    <t xml:space="preserve">PCPW714972          </t>
  </si>
  <si>
    <t>W714972-S300</t>
  </si>
  <si>
    <t xml:space="preserve">PCSW520762S300      </t>
  </si>
  <si>
    <t xml:space="preserve">PCSW710471S300      </t>
  </si>
  <si>
    <t>W710471-S300</t>
  </si>
  <si>
    <t xml:space="preserve">RMS26104A98RLAA     </t>
  </si>
  <si>
    <t>RM2018-172528-ERMA*</t>
  </si>
  <si>
    <t>.045/.049 X    9.875 X COIL</t>
  </si>
  <si>
    <t xml:space="preserve">WSS-M1A367-A38  50G50G-GI     </t>
  </si>
  <si>
    <t xml:space="preserve">RMSBR5F147          </t>
  </si>
  <si>
    <t>RM2021-192031-ERMA E</t>
  </si>
  <si>
    <t>.075/.083 X    8.50  X COIL</t>
  </si>
  <si>
    <t xml:space="preserve">WSS-M1A365-A20 HOTROLL P&amp;O    </t>
  </si>
  <si>
    <t xml:space="preserve">RMSBRS444A20A       </t>
  </si>
  <si>
    <t>RM2020-189183-ERMA E</t>
  </si>
  <si>
    <t>.133/.143 X   10.63  X COIL</t>
  </si>
  <si>
    <t xml:space="preserve">RMSWL68430482/3     </t>
  </si>
  <si>
    <t>68430482SE</t>
  </si>
  <si>
    <t>.037/.041 X   20.00  X COIL</t>
  </si>
  <si>
    <t>85533617</t>
  </si>
  <si>
    <t>BT1CC SENSOR FARM INSERT</t>
  </si>
  <si>
    <t>P703 SUPT BRKT FRT PLR</t>
  </si>
  <si>
    <t xml:space="preserve">MB4/800 ROW 318               </t>
  </si>
  <si>
    <t>MIC - B-PILLAR UPR LH-SUB</t>
  </si>
  <si>
    <t xml:space="preserve">PCPW719347-S439     </t>
  </si>
  <si>
    <t>01056</t>
  </si>
  <si>
    <t xml:space="preserve">RMS2103410AA        </t>
  </si>
  <si>
    <t>RM2018-171076-ERMA</t>
  </si>
  <si>
    <t>.061/.065 X   42.902 X COIL</t>
  </si>
  <si>
    <t xml:space="preserve">WSS-M1A368-A15    UNCOATED    </t>
  </si>
  <si>
    <t xml:space="preserve">RMS26112A56RLA      </t>
  </si>
  <si>
    <t>RM2018-170920-ERMA</t>
  </si>
  <si>
    <t>.053/.057 X   12.50  X COIL</t>
  </si>
  <si>
    <t xml:space="preserve">RMSBRX67110ARL      </t>
  </si>
  <si>
    <t>RM2020-189191-ERMA</t>
  </si>
  <si>
    <t>.030/.032 X   45.669 X COIL</t>
  </si>
  <si>
    <t xml:space="preserve">RMSWL68430481       </t>
  </si>
  <si>
    <t>68430481SC</t>
  </si>
  <si>
    <t>.029/.033 X   34.646 X COIL</t>
  </si>
  <si>
    <t>86550555</t>
  </si>
  <si>
    <t>BT1CC SLIDER ASSY BUTTON LH</t>
  </si>
  <si>
    <t>MB3B-10723-AD_GD</t>
  </si>
  <si>
    <t>P703 SUPT BAT TRY FRT LH</t>
  </si>
  <si>
    <t xml:space="preserve">ROW 301F                      </t>
  </si>
  <si>
    <t>68586410 AA</t>
  </si>
  <si>
    <t xml:space="preserve">ROW 51B                       </t>
  </si>
  <si>
    <t>N1WB-E43858-AA</t>
  </si>
  <si>
    <t>P703 REINF TL/GT HNDL OPG</t>
  </si>
  <si>
    <t xml:space="preserve">ROW 458 MB4/800               </t>
  </si>
  <si>
    <t xml:space="preserve">PCP14E072AF         </t>
  </si>
  <si>
    <t>N1WB-14E072-AF</t>
  </si>
  <si>
    <t>P703 AMBIENT LIGHT RH BLUE</t>
  </si>
  <si>
    <t xml:space="preserve">AMPAS0100 </t>
  </si>
  <si>
    <t xml:space="preserve">AMPAS INDUSTRIES CO LTD       </t>
  </si>
  <si>
    <t>055007</t>
  </si>
  <si>
    <t xml:space="preserve">PCPE23942APIA20JA6  </t>
  </si>
  <si>
    <t>P703 I/P EXTENSION JA6  RH</t>
  </si>
  <si>
    <t xml:space="preserve">PCPE23943APIA20JA6A </t>
  </si>
  <si>
    <t>P703 I/P EXTENSION JA6 A LH</t>
  </si>
  <si>
    <t xml:space="preserve">PCPE23943AR03.HA    </t>
  </si>
  <si>
    <t>P703 FRT DR LH SAND STONE WITH</t>
  </si>
  <si>
    <t>STITCH</t>
  </si>
  <si>
    <t xml:space="preserve">PCPE27407AR03.HA    </t>
  </si>
  <si>
    <t>P703 RR DR LH SAND STONE</t>
  </si>
  <si>
    <t xml:space="preserve">PCPGMBEE17813       </t>
  </si>
  <si>
    <t>INSULATOR PAD-LOWER-LH-VALUE</t>
  </si>
  <si>
    <t>C-PILLAR</t>
  </si>
  <si>
    <t xml:space="preserve">PCSW520720S300      </t>
  </si>
  <si>
    <t xml:space="preserve">PCSW703778S300      </t>
  </si>
  <si>
    <t>W703778-S300</t>
  </si>
  <si>
    <t xml:space="preserve">PCSW707701S300      </t>
  </si>
  <si>
    <t xml:space="preserve">FASTC0100 </t>
  </si>
  <si>
    <t xml:space="preserve">FASTCO INDUSTRIES INC         </t>
  </si>
  <si>
    <t xml:space="preserve">RMP1168X BLK        </t>
  </si>
  <si>
    <t>HX TYC 1168X BLK</t>
  </si>
  <si>
    <t>TPO     TYC 1168X</t>
  </si>
  <si>
    <t xml:space="preserve">HX TYC 1168X BLK              </t>
  </si>
  <si>
    <t xml:space="preserve">RMP30S91PZG-SM      </t>
  </si>
  <si>
    <t>30S91PZG-SM EBONY</t>
  </si>
  <si>
    <t>P703 CONCENTRATE ZHEA  4%</t>
  </si>
  <si>
    <t>ACHIEVE PP8285E1</t>
  </si>
  <si>
    <t xml:space="preserve">UNIFO0100 </t>
  </si>
  <si>
    <t xml:space="preserve">UNIFORM COLOR COMPANY         </t>
  </si>
  <si>
    <t xml:space="preserve">RMSE286G50          </t>
  </si>
  <si>
    <t>RM2022-201328-ERMA</t>
  </si>
  <si>
    <t>.045/.049 X   57.071 X COIL</t>
  </si>
  <si>
    <t xml:space="preserve">PCP14540U           </t>
  </si>
  <si>
    <t>WINDOW SWITCH-MED DBL</t>
  </si>
  <si>
    <t xml:space="preserve">PCPGMBEE78516       </t>
  </si>
  <si>
    <t>INSULATOR PAD-UP LEVEL-LH</t>
  </si>
  <si>
    <t>FRONT SILL PLATE</t>
  </si>
  <si>
    <t xml:space="preserve">RMPGMPPC2935        </t>
  </si>
  <si>
    <t>PP      PPC 2935</t>
  </si>
  <si>
    <t>NATURAL               GM</t>
  </si>
  <si>
    <t>RSG</t>
  </si>
  <si>
    <t xml:space="preserve">RMSE42908RL         </t>
  </si>
  <si>
    <t>RM2022-201562-ERMA</t>
  </si>
  <si>
    <t>.075/.082 X   24.094 X COIL</t>
  </si>
  <si>
    <t xml:space="preserve">WSS-M1A365-A23 HR3 50G50G     </t>
  </si>
  <si>
    <t>KB3B 2610129 AD</t>
  </si>
  <si>
    <t>REINF RKR PNL INR LH</t>
  </si>
  <si>
    <t>KB3B 26243B13 A</t>
  </si>
  <si>
    <t xml:space="preserve">ROW67-W12-MB4                 </t>
  </si>
  <si>
    <t xml:space="preserve">PCP71415            </t>
  </si>
  <si>
    <t>M1PB-S204A34-CA</t>
  </si>
  <si>
    <t>P703 TETHER</t>
  </si>
  <si>
    <t xml:space="preserve">PCPE403A86APIA0809  </t>
  </si>
  <si>
    <t>N1WB-E403A86-A-PIA-08_1</t>
  </si>
  <si>
    <t>P703 35MM X 35MM X 10MM</t>
  </si>
  <si>
    <t>Felt on stacked Poron w/PSA</t>
  </si>
  <si>
    <t xml:space="preserve">PCPGM11589329       </t>
  </si>
  <si>
    <t>30603-166</t>
  </si>
  <si>
    <t>SPRING CLIP</t>
  </si>
  <si>
    <t>STEEL   PC OIL</t>
  </si>
  <si>
    <t xml:space="preserve">PCPGM85664836       </t>
  </si>
  <si>
    <t>W13157LH103H</t>
  </si>
  <si>
    <t>BT1CC SLIDER LH</t>
  </si>
  <si>
    <t xml:space="preserve">NYXIN0110 </t>
  </si>
  <si>
    <t>NYX MEXICO PLASTICS S DE RL DE</t>
  </si>
  <si>
    <t xml:space="preserve">RMSE200B62RL        </t>
  </si>
  <si>
    <t>RM2022-201447-ERMA</t>
  </si>
  <si>
    <t>.061/.065 X   19.173 X COIL</t>
  </si>
  <si>
    <t xml:space="preserve">RMSWL68430490/1     </t>
  </si>
  <si>
    <t>68430490SC</t>
  </si>
  <si>
    <t>.037/.041 X   42.320 X COIL</t>
  </si>
  <si>
    <t>MS.50002 LAC340Y410T GI60/60 U</t>
  </si>
  <si>
    <t>P703 BRKT RR FNDR MTNG UPR LH</t>
  </si>
  <si>
    <t>P1WB E16387 AA</t>
  </si>
  <si>
    <t xml:space="preserve">ROW304C-W21-MB2               </t>
  </si>
  <si>
    <t xml:space="preserve">PCPDT68310051AA     </t>
  </si>
  <si>
    <t>68310051AA</t>
  </si>
  <si>
    <t xml:space="preserve">PCPW716437-S300     </t>
  </si>
  <si>
    <t xml:space="preserve">PCSA26480AA         </t>
  </si>
  <si>
    <t>RET RR DR LK STRKR ANC PLT</t>
  </si>
  <si>
    <t xml:space="preserve">RMS2K004RLAA        </t>
  </si>
  <si>
    <t>RM2018-171065-ERMA E</t>
  </si>
  <si>
    <t>.031/.033 X   18.75  X COIL</t>
  </si>
  <si>
    <t xml:space="preserve">MSS-M1A365-A12  UNCOATED      </t>
  </si>
  <si>
    <t xml:space="preserve">CC71/10000 ROW 298            </t>
  </si>
  <si>
    <t xml:space="preserve">PCP30616-105        </t>
  </si>
  <si>
    <t>30616-105</t>
  </si>
  <si>
    <t xml:space="preserve">PCSW520751S300      </t>
  </si>
  <si>
    <t xml:space="preserve">PCSW703951S300      </t>
  </si>
  <si>
    <t>W703951-S300</t>
  </si>
  <si>
    <t xml:space="preserve">M6x1.0x21.00                  </t>
  </si>
  <si>
    <t xml:space="preserve">RMSBRS109A26A       </t>
  </si>
  <si>
    <t>RM2020-189214-ERMA E</t>
  </si>
  <si>
    <t>.113/.123 X   63.78  X COIL</t>
  </si>
  <si>
    <t xml:space="preserve">WSS-M1A367-A46 HR340LA 50G50G </t>
  </si>
  <si>
    <t>85163288</t>
  </si>
  <si>
    <t>BT1CC REAR SILL BRKT LH</t>
  </si>
  <si>
    <t>84489308</t>
  </si>
  <si>
    <t>T1XX DC EXT BRKT RH</t>
  </si>
  <si>
    <t>84489308 BATTLE CREEK</t>
  </si>
  <si>
    <t>P703 BRA CWL TOP OTR PNL</t>
  </si>
  <si>
    <t xml:space="preserve">ROW 301E MB2/600              </t>
  </si>
  <si>
    <t>KB3B 2610128 AE</t>
  </si>
  <si>
    <t>REINF RKR PNL INR</t>
  </si>
  <si>
    <t>KB3B 26243B12 A</t>
  </si>
  <si>
    <t xml:space="preserve">ROW68A-W12-MB4                </t>
  </si>
  <si>
    <t>REINF BEL RL CTR BRA</t>
  </si>
  <si>
    <t>KB3B 2641726 A</t>
  </si>
  <si>
    <t xml:space="preserve">ROW69A-W15-2-MB4              </t>
  </si>
  <si>
    <t>WL BRKT SEAT UPPR LT</t>
  </si>
  <si>
    <t xml:space="preserve">ROW 142A CC71/2500            </t>
  </si>
  <si>
    <t>P703 BRKT RR FNDR MTNG UPR RH</t>
  </si>
  <si>
    <t>P1WB E16386 AA</t>
  </si>
  <si>
    <t xml:space="preserve">ROW304B-W22-MB2               </t>
  </si>
  <si>
    <t xml:space="preserve">PCPGM11602377       </t>
  </si>
  <si>
    <t>71406-165</t>
  </si>
  <si>
    <t>BT1CC Tether w/BOLT</t>
  </si>
  <si>
    <t xml:space="preserve">PCPGMBEE17847       </t>
  </si>
  <si>
    <t>INSULATOR PAD-LOWER-RH-VALUE</t>
  </si>
  <si>
    <t xml:space="preserve">PCS10723APIA07      </t>
  </si>
  <si>
    <t>MB3B-10723-A PIA07</t>
  </si>
  <si>
    <t>BOLT  W/WSHR     X  .  X   .</t>
  </si>
  <si>
    <t>W/WSHR  STEEL   .</t>
  </si>
  <si>
    <t xml:space="preserve">ARTTE0100 </t>
  </si>
  <si>
    <t xml:space="preserve">ART TECHNOLOGIES              </t>
  </si>
  <si>
    <t xml:space="preserve">PCS1BBA26480AB      </t>
  </si>
  <si>
    <t xml:space="preserve">GEDIA0700 </t>
  </si>
  <si>
    <t xml:space="preserve">GEDIA GEBR DINGERKUS GMBH     </t>
  </si>
  <si>
    <t xml:space="preserve">PCSW713973S300      </t>
  </si>
  <si>
    <t>W713973-S300</t>
  </si>
  <si>
    <t>N1WB E312A49 BA</t>
  </si>
  <si>
    <t xml:space="preserve">ROW 68B                       </t>
  </si>
  <si>
    <t xml:space="preserve">RMPCON30-913580TPE  </t>
  </si>
  <si>
    <t>30-913580TPE ZHEA</t>
  </si>
  <si>
    <t>30-913580TPE CONCENTRATE 2%</t>
  </si>
  <si>
    <t>665067021</t>
  </si>
  <si>
    <t xml:space="preserve">RMPGMADX5301        </t>
  </si>
  <si>
    <t>TPO     ADX 5301</t>
  </si>
  <si>
    <t>1066 BK  BLACK              GM</t>
  </si>
  <si>
    <t xml:space="preserve">RMS2610116RLAA      </t>
  </si>
  <si>
    <t>RM2018-171005-ERMA</t>
  </si>
  <si>
    <t>.046/.048 X   40.315 X COIL</t>
  </si>
  <si>
    <t xml:space="preserve">WSS-M1A367-A33 50G50G-GI      </t>
  </si>
  <si>
    <t xml:space="preserve">RMS26107K40A        </t>
  </si>
  <si>
    <t>RM2018-170916-ERMA</t>
  </si>
  <si>
    <t>.034/.036 X   39.055 X COIL</t>
  </si>
  <si>
    <t xml:space="preserve">RMSE41624           </t>
  </si>
  <si>
    <t>RM2022-201564-ERMA</t>
  </si>
  <si>
    <t>.026/.030 X   55.118 X COIL</t>
  </si>
  <si>
    <t xml:space="preserve">WSS-M1A365-A13 CR3 UNCOATED   </t>
  </si>
  <si>
    <t xml:space="preserve">RMSBR5811270ARL     </t>
  </si>
  <si>
    <t>RM2020-188568-ERMA</t>
  </si>
  <si>
    <t>.038/.040 X    6.38  X COIL</t>
  </si>
  <si>
    <t xml:space="preserve">WSS-M1A365-A12 CR180B2 50G50G </t>
  </si>
  <si>
    <t xml:space="preserve">RMSWL68430494       </t>
  </si>
  <si>
    <t>.068/.073 X    6.85  X COIL</t>
  </si>
  <si>
    <t>KB3B 2662570 A</t>
  </si>
  <si>
    <t xml:space="preserve">ROW270-PW6-MB2                </t>
  </si>
  <si>
    <t>MLD17E811GC</t>
  </si>
  <si>
    <t>U725 BUMPERETTES  MODULAR</t>
  </si>
  <si>
    <t>29317</t>
  </si>
  <si>
    <t xml:space="preserve">SB31WIP/50 ROW 165            </t>
  </si>
  <si>
    <t xml:space="preserve">RMS21024A68         </t>
  </si>
  <si>
    <t>RM2022-201323-ERMA</t>
  </si>
  <si>
    <t>.077/.081 X   12.402 X COIL</t>
  </si>
  <si>
    <t xml:space="preserve">WSS-M1A367-A44 HR270LA 50G50G </t>
  </si>
  <si>
    <t xml:space="preserve">REPACK10723APIA04   </t>
  </si>
  <si>
    <t>MB3B 10723 GD_AD</t>
  </si>
  <si>
    <t>P703 BAT TRY SUPT</t>
  </si>
  <si>
    <t xml:space="preserve">RE-LABLE AND SHIP             </t>
  </si>
  <si>
    <t xml:space="preserve">RMS10723-02         </t>
  </si>
  <si>
    <t>RM2022-201579-ERMA</t>
  </si>
  <si>
    <t>.057/.061 X   20.669 X COIL</t>
  </si>
  <si>
    <t xml:space="preserve">WSS-M1A367-A48 HR420XF 50G50G </t>
  </si>
  <si>
    <t xml:space="preserve">RMSWL68431601       </t>
  </si>
  <si>
    <t>68431601SC</t>
  </si>
  <si>
    <t>.061/.065 X    7.795 X COIL</t>
  </si>
  <si>
    <t>BT1CC SIDE SILL PLATE LH</t>
  </si>
  <si>
    <t>85686517</t>
  </si>
  <si>
    <t>BT1CC 60% COVER REFINE RST</t>
  </si>
  <si>
    <t>224</t>
  </si>
  <si>
    <t xml:space="preserve">39077                         </t>
  </si>
  <si>
    <t>85639241</t>
  </si>
  <si>
    <t>195, 195B</t>
  </si>
  <si>
    <t>84489307</t>
  </si>
  <si>
    <t>T1XX DC EXT BRKT LH</t>
  </si>
  <si>
    <t>84489307 BATTLE CREEK</t>
  </si>
  <si>
    <t>KB3B-21291A34-AD</t>
  </si>
  <si>
    <t xml:space="preserve">6434                          </t>
  </si>
  <si>
    <t xml:space="preserve">PCP14E072EF         </t>
  </si>
  <si>
    <t>N1WB-14E072-EF</t>
  </si>
  <si>
    <t>P703 AMBIENT LIGHT RH ORANGE</t>
  </si>
  <si>
    <t xml:space="preserve">PCPGM85664837       </t>
  </si>
  <si>
    <t>W13157RH103H</t>
  </si>
  <si>
    <t>BT1CC SLIDER RH</t>
  </si>
  <si>
    <t xml:space="preserve">PCPGMBEJ09293       </t>
  </si>
  <si>
    <t>BT1CC GASKET 10MM NV146</t>
  </si>
  <si>
    <t>255050003</t>
  </si>
  <si>
    <t xml:space="preserve">PCSW720534S300      </t>
  </si>
  <si>
    <t>SCREW WELD       X  .  X   .</t>
  </si>
  <si>
    <t xml:space="preserve">RMPADX1056          </t>
  </si>
  <si>
    <t>ADX-1056 103H</t>
  </si>
  <si>
    <t>PP      ADX1056</t>
  </si>
  <si>
    <t>103H  BAKEN BLACK           GM</t>
  </si>
  <si>
    <t xml:space="preserve">RMS26605A40RLA      </t>
  </si>
  <si>
    <t>RM2018-170923-ERMA</t>
  </si>
  <si>
    <t>.069/.073 X   13.75  X COIL</t>
  </si>
  <si>
    <t xml:space="preserve">RMSBRS200B38PIA01   </t>
  </si>
  <si>
    <t>RM2020-188343-ERMA E ROYAL OAK</t>
  </si>
  <si>
    <t>.093/.103 X    8.66  X COIL</t>
  </si>
  <si>
    <t xml:space="preserve">RMSWL68430462/3     </t>
  </si>
  <si>
    <t>68430462SE</t>
  </si>
  <si>
    <t>.053/.057 X   21.437 X COIL</t>
  </si>
  <si>
    <t>68649037AC</t>
  </si>
  <si>
    <t>LB Latch Strap Attach BRKT</t>
  </si>
  <si>
    <t xml:space="preserve">ROW 133B                      </t>
  </si>
  <si>
    <t xml:space="preserve">XFNGXCEL  </t>
  </si>
  <si>
    <t xml:space="preserve">ROW 449 MB2/1000              </t>
  </si>
  <si>
    <t>BRKT RR FLR C/M</t>
  </si>
  <si>
    <t>KB3B 26106A58 A</t>
  </si>
  <si>
    <t xml:space="preserve">ROW27C-W2-MB2                 </t>
  </si>
  <si>
    <t>KB3B-21016C02-AA</t>
  </si>
  <si>
    <t>PNL DH SD EXT</t>
  </si>
  <si>
    <t>KB3B 21016C02 AA</t>
  </si>
  <si>
    <t xml:space="preserve">ROW77-MB2                     </t>
  </si>
  <si>
    <t xml:space="preserve">RMSE16386A          </t>
  </si>
  <si>
    <t>RM2024-212396-ERMA</t>
  </si>
  <si>
    <t>.037/.041 X   15.354 X COIL</t>
  </si>
  <si>
    <t xml:space="preserve">WSS-M1A367-A38 50G50G         </t>
  </si>
  <si>
    <t>BRKT LWR BK PNL CTR REINF</t>
  </si>
  <si>
    <t>KB3B 21403C62 A</t>
  </si>
  <si>
    <t xml:space="preserve">ROW302A-W15-3-MB2             </t>
  </si>
  <si>
    <t xml:space="preserve">RMSLB68648250AA     </t>
  </si>
  <si>
    <t>68648250AA</t>
  </si>
  <si>
    <t>.113/.123 X   15.75  X COIL</t>
  </si>
  <si>
    <t>MS.50002 LAH340Y410T GI60/60 U</t>
  </si>
  <si>
    <t>N1WB 16L560 DC</t>
  </si>
  <si>
    <t xml:space="preserve">PCP14017E           </t>
  </si>
  <si>
    <t>FRONT DOOR LOCK SWITCH RH</t>
  </si>
  <si>
    <t xml:space="preserve">CHONG0100 </t>
  </si>
  <si>
    <t>CHONGQING DAMING AUTOMOBILE EL</t>
  </si>
  <si>
    <t xml:space="preserve">PCS06510817AAWL     </t>
  </si>
  <si>
    <t>06510817AA</t>
  </si>
  <si>
    <t xml:space="preserve">PCSW520752S300      </t>
  </si>
  <si>
    <t xml:space="preserve">PCSW702912S300      </t>
  </si>
  <si>
    <t>W702912-S300</t>
  </si>
  <si>
    <t>BOLT  WELD     M6X16.MMXPIL.8</t>
  </si>
  <si>
    <t>PUR61103B44 A</t>
  </si>
  <si>
    <t>U725 MBR RR CS UPR</t>
  </si>
  <si>
    <t>MB3B 61103B44A-ROYAL OAK</t>
  </si>
  <si>
    <t xml:space="preserve">RMS2640342A         </t>
  </si>
  <si>
    <t>.037/.041 X    5.512 X COIL</t>
  </si>
  <si>
    <t xml:space="preserve">WSS-M1A367-A35   UNCOATED     </t>
  </si>
  <si>
    <t>REINF LWR BK CTR PNL</t>
  </si>
  <si>
    <t>AB39 2540338 A</t>
  </si>
  <si>
    <t xml:space="preserve">ROW261D-W16-1-MB2/5000        </t>
  </si>
  <si>
    <t xml:space="preserve">PCP26403A86APIA03   </t>
  </si>
  <si>
    <t>FDRAB3926403A86A03</t>
  </si>
  <si>
    <t>BACK PANEL FOAM PAD</t>
  </si>
  <si>
    <t xml:space="preserve">PCPGMBEI19005       </t>
  </si>
  <si>
    <t>FOAM STRIP 4MM X 10MM X210MM</t>
  </si>
  <si>
    <t xml:space="preserve">PCSW520750-S300     </t>
  </si>
  <si>
    <t xml:space="preserve">RMPB3WG6 BK00564    </t>
  </si>
  <si>
    <t>PA      ULTRAMID B3WG6 CR</t>
  </si>
  <si>
    <t xml:space="preserve">BASFC0100 </t>
  </si>
  <si>
    <t xml:space="preserve">BASF CORPORATION              </t>
  </si>
  <si>
    <t>665067007</t>
  </si>
  <si>
    <t xml:space="preserve">RMSE27726B          </t>
  </si>
  <si>
    <t>RM2023-208269-ERMA</t>
  </si>
  <si>
    <t>.069/.073 X    6.496 X COIL</t>
  </si>
  <si>
    <t>WSS-M1A367-A38 CR420LA 50G/50G</t>
  </si>
  <si>
    <t>KB3B-8C291-AD</t>
  </si>
  <si>
    <t>SHLD ASY-RAD UPR SGT</t>
  </si>
  <si>
    <t xml:space="preserve">6430                          </t>
  </si>
  <si>
    <t xml:space="preserve">PCP14776C           </t>
  </si>
  <si>
    <t>FRONT DR LOCK SWITCH W/MEMORY</t>
  </si>
  <si>
    <t xml:space="preserve">RMPGMPP1340         </t>
  </si>
  <si>
    <t>PP      LOTTE SUPRAN PP1340</t>
  </si>
  <si>
    <t xml:space="preserve">RMS10718            </t>
  </si>
  <si>
    <t>RM2022-201582-ERMA</t>
  </si>
  <si>
    <t>.077/.081 X   25.827 X COIL</t>
  </si>
  <si>
    <t xml:space="preserve">WSS-M1A367-A35 CR300LA 50G50G </t>
  </si>
  <si>
    <t>P703 SUPT RAD LWR BRKT LH</t>
  </si>
  <si>
    <t xml:space="preserve">ROW 448  MB2/1000             </t>
  </si>
  <si>
    <t>MB3B-202038-AC</t>
  </si>
  <si>
    <t>P703 BRKT FRT BDY PLR TO FLR</t>
  </si>
  <si>
    <t xml:space="preserve">ROW 37                        </t>
  </si>
  <si>
    <t>KB3B-16B145-AC</t>
  </si>
  <si>
    <t>SERVICE-BDY ASY FRT FNDR INR</t>
  </si>
  <si>
    <t>W4-OP110+OP120</t>
  </si>
  <si>
    <t xml:space="preserve">FRD02000  </t>
  </si>
  <si>
    <t xml:space="preserve">PCP14529C           </t>
  </si>
  <si>
    <t>FRONT WINDOW SWITCH RH</t>
  </si>
  <si>
    <t xml:space="preserve">PCPW506923          </t>
  </si>
  <si>
    <t>W506923-S450</t>
  </si>
  <si>
    <t>SCREW ROUND      X  .  X   .</t>
  </si>
  <si>
    <t>ROUND   STEEL   ZINC</t>
  </si>
  <si>
    <t xml:space="preserve">PCSW706493S300      </t>
  </si>
  <si>
    <t>W706493-S300</t>
  </si>
  <si>
    <t xml:space="preserve">RMPGMADX5023        </t>
  </si>
  <si>
    <t xml:space="preserve">RMSBRX200B38ABRL    </t>
  </si>
  <si>
    <t>RM2020-188351-ERMA E ROYAL OAK</t>
  </si>
  <si>
    <t>.093/.103 X   16.06  X COIL</t>
  </si>
  <si>
    <t xml:space="preserve">RMSE106B52          </t>
  </si>
  <si>
    <t>RM2022-201419-ERMA</t>
  </si>
  <si>
    <t>.037/.041 X   47.244 X COIL</t>
  </si>
  <si>
    <t xml:space="preserve">RMSWL68425102/3     </t>
  </si>
  <si>
    <t>68425102SE</t>
  </si>
  <si>
    <t>.077/.081 X   10.905 X COIL</t>
  </si>
  <si>
    <t>PC17626 BA</t>
  </si>
  <si>
    <t>P702 BEV SEAL OTR RH</t>
  </si>
  <si>
    <t>NL34 17626 BA</t>
  </si>
  <si>
    <t xml:space="preserve">773-31946 2500-38788          </t>
  </si>
  <si>
    <t xml:space="preserve">RMPVAL4031-7001     </t>
  </si>
  <si>
    <t>PBT     VALOX 4031-7001(30%GF)</t>
  </si>
  <si>
    <t xml:space="preserve">SABIC0100 </t>
  </si>
  <si>
    <t xml:space="preserve">SABIC INNOVATIVE PLASTICS     </t>
  </si>
  <si>
    <t>665067028</t>
  </si>
  <si>
    <t xml:space="preserve">KG </t>
  </si>
  <si>
    <t xml:space="preserve">RMS19D521 F150      </t>
  </si>
  <si>
    <t>RM2020-190231-ERMA</t>
  </si>
  <si>
    <t>.171/.184 X   48.50  X COIL</t>
  </si>
  <si>
    <t xml:space="preserve">WSS-M1A367-A50 HR550LA P&amp;O NC </t>
  </si>
  <si>
    <t xml:space="preserve">KENWA0110 </t>
  </si>
  <si>
    <t>KENWAL STEEL CORPORATION/IONIA</t>
  </si>
  <si>
    <t xml:space="preserve">RMSWL68426590/1     </t>
  </si>
  <si>
    <t>68426590SE</t>
  </si>
  <si>
    <t>.037/.041 X   14.775 X COIL</t>
  </si>
  <si>
    <t>MB3B-58017B56-B</t>
  </si>
  <si>
    <t>P703 PNL DH SD</t>
  </si>
  <si>
    <t xml:space="preserve">ROW301D MB2/1000              </t>
  </si>
  <si>
    <t xml:space="preserve">PCS068648270AALB    </t>
  </si>
  <si>
    <t>COMPRESSION LIMITER</t>
  </si>
  <si>
    <t xml:space="preserve">RMS2610706RLA       </t>
  </si>
  <si>
    <t>RM2018-170922-ERMA</t>
  </si>
  <si>
    <t>.046/.048 X   17.48  X COIL</t>
  </si>
  <si>
    <t xml:space="preserve">RMSWL68466241       </t>
  </si>
  <si>
    <t>.037/.041 X    3.50  X COIL</t>
  </si>
  <si>
    <t>KB3B 2123943/2623943</t>
  </si>
  <si>
    <t>FRT DR GRAB HANDLE LH</t>
  </si>
  <si>
    <t xml:space="preserve">6452                          </t>
  </si>
  <si>
    <t xml:space="preserve">PCP14017F           </t>
  </si>
  <si>
    <t>FRONT DOOR LOCK SWITCH LH</t>
  </si>
  <si>
    <t xml:space="preserve">PCP14540V           </t>
  </si>
  <si>
    <t>WINDOW SWITCH-HIGH DBL</t>
  </si>
  <si>
    <t xml:space="preserve">PCSA61216AB         </t>
  </si>
  <si>
    <t>REINF SAFETY BELT ANCHOR</t>
  </si>
  <si>
    <t xml:space="preserve">GEDIA0100 </t>
  </si>
  <si>
    <t xml:space="preserve">RMPADX2353          </t>
  </si>
  <si>
    <t>ADX 2353 GXH</t>
  </si>
  <si>
    <t>TPO     ADX 2353</t>
  </si>
  <si>
    <t>GXH GLOBAL BLACK          CHRY</t>
  </si>
  <si>
    <t xml:space="preserve">RMSE410A42RL        </t>
  </si>
  <si>
    <t>RM2022-201426-ERMA</t>
  </si>
  <si>
    <t>.077/.081 X    8.071 X COIL</t>
  </si>
  <si>
    <t xml:space="preserve">RMSWL68426189       </t>
  </si>
  <si>
    <t>68426189SC</t>
  </si>
  <si>
    <t>.057/.061 X   17.716 X COIL</t>
  </si>
  <si>
    <t xml:space="preserve">TAYLO0105 </t>
  </si>
  <si>
    <t xml:space="preserve">FCA RESALE-TAYLOR STEEL/TROY  </t>
  </si>
  <si>
    <t xml:space="preserve">PCPGMBEE95594       </t>
  </si>
  <si>
    <t>INSULATOR PAD-LOWER-LH-REFINE</t>
  </si>
  <si>
    <t xml:space="preserve">PCPW710488          </t>
  </si>
  <si>
    <t>W710488-S303</t>
  </si>
  <si>
    <t xml:space="preserve">ARAYM0105 </t>
  </si>
  <si>
    <t xml:space="preserve">RMS2650291AA        </t>
  </si>
  <si>
    <t>RM2018-171067-ERMA</t>
  </si>
  <si>
    <t>.033/.037 X   43.583 X COIL</t>
  </si>
  <si>
    <t xml:space="preserve">WSS-M1A367-A34  UNCOATED      </t>
  </si>
  <si>
    <t>86808195</t>
  </si>
  <si>
    <t xml:space="preserve">RMS2101530AA        </t>
  </si>
  <si>
    <t>RM2018-171003-ERMA</t>
  </si>
  <si>
    <t>.046/.048 X   24.488 X COIL</t>
  </si>
  <si>
    <t>KB3B-26291A35-AD</t>
  </si>
  <si>
    <t>MLDG ASY BDY SD O/S UPR LH</t>
  </si>
  <si>
    <t xml:space="preserve">RMS21023A41A        </t>
  </si>
  <si>
    <t>.035/.043 X    5.374 X COIL</t>
  </si>
  <si>
    <t xml:space="preserve">WSS-M1A365-A11  UNCOATED      </t>
  </si>
  <si>
    <t xml:space="preserve">MB4/100 ROW 187A              </t>
  </si>
  <si>
    <t>M2DB-X502A74-AD</t>
  </si>
  <si>
    <t>WL DOUBLER 2 ROW SEAT BELT LH</t>
  </si>
  <si>
    <t xml:space="preserve">ROW 27A CC71/10000            </t>
  </si>
  <si>
    <t>MLD17E810GC</t>
  </si>
  <si>
    <t>U725 BUMPERETTES MODULAR</t>
  </si>
  <si>
    <t xml:space="preserve">SB31WIP/50 ROW 164            </t>
  </si>
  <si>
    <t>1-11195-0100-302</t>
  </si>
  <si>
    <t>BT1CC A-PLR NON-GRAINED RH</t>
  </si>
  <si>
    <t xml:space="preserve">RMS17A040           </t>
  </si>
  <si>
    <t>.046/.048 X    7.677 X COIL</t>
  </si>
  <si>
    <t>REINF RF PNL RR SD</t>
  </si>
  <si>
    <t>KB3B 2650844 A</t>
  </si>
  <si>
    <t xml:space="preserve">ROW302C-W15-2-MB2             </t>
  </si>
  <si>
    <t xml:space="preserve">PCPDT06512181AA     </t>
  </si>
  <si>
    <t>06512181AA</t>
  </si>
  <si>
    <t xml:space="preserve">ITWST0100 </t>
  </si>
  <si>
    <t xml:space="preserve">PCPGM11589015       </t>
  </si>
  <si>
    <t>11589015</t>
  </si>
  <si>
    <t xml:space="preserve">ITWSH0100 </t>
  </si>
  <si>
    <t xml:space="preserve">ITW SHAKEPROOF                </t>
  </si>
  <si>
    <t xml:space="preserve">PCP14E073EF         </t>
  </si>
  <si>
    <t>N1WB-14E073-EF</t>
  </si>
  <si>
    <t>P703 AMBIENT LIGHT LH ORANGE</t>
  </si>
  <si>
    <t>KB3B-21291A35-AD</t>
  </si>
  <si>
    <t xml:space="preserve">RMSBR61103B44A      </t>
  </si>
  <si>
    <t>RM2020-189181-ERMA ROYAL OAK</t>
  </si>
  <si>
    <t>.046/.048 X   61.614 X COIL</t>
  </si>
  <si>
    <t>MB3B-10723-AA</t>
  </si>
  <si>
    <t>P703 MOLD IN BRKT</t>
  </si>
  <si>
    <t xml:space="preserve">ROW 100                       </t>
  </si>
  <si>
    <t xml:space="preserve">85636194            </t>
  </si>
  <si>
    <t>85636194</t>
  </si>
  <si>
    <t>BT1CC HEADLINER DOG HOUSE RH</t>
  </si>
  <si>
    <t xml:space="preserve">36817                         </t>
  </si>
  <si>
    <t xml:space="preserve">PCP14E073AF         </t>
  </si>
  <si>
    <t>N1WB-14E073-AF</t>
  </si>
  <si>
    <t>P703 AMBIENT LIGHT LH BLUE</t>
  </si>
  <si>
    <t xml:space="preserve">PCSW720606S437      </t>
  </si>
  <si>
    <t>SOLID RIVET</t>
  </si>
  <si>
    <t xml:space="preserve">PENNA0100 </t>
  </si>
  <si>
    <t xml:space="preserve">PENN AUTOMOTIVE INC           </t>
  </si>
  <si>
    <t>320060002</t>
  </si>
  <si>
    <t xml:space="preserve">PCPGMBEE93712       </t>
  </si>
  <si>
    <t>INSULATOR PAD-LOWER-RH-REFINE</t>
  </si>
  <si>
    <t xml:space="preserve">RMPA3ZHPUV          </t>
  </si>
  <si>
    <t>PA      ULTRAMID A3ZHP</t>
  </si>
  <si>
    <t>8555 UV BLACK               GM</t>
  </si>
  <si>
    <t xml:space="preserve">RMSE43974           </t>
  </si>
  <si>
    <t>RM2022-201565-ERMA</t>
  </si>
  <si>
    <t>.037/.041 X   24.488 X COIL</t>
  </si>
  <si>
    <t>KB3B 2623943</t>
  </si>
  <si>
    <t>FRT DR SUB DBL LH</t>
  </si>
  <si>
    <t xml:space="preserve">6446                          </t>
  </si>
  <si>
    <t xml:space="preserve">RMPZHEACON          </t>
  </si>
  <si>
    <t>10-099760WD5 ZHEA</t>
  </si>
  <si>
    <t>ZHEA EBONY ABS CONCENTRATE</t>
  </si>
  <si>
    <t xml:space="preserve">PCPE23943AR07.H     </t>
  </si>
  <si>
    <t>P703 FRT DR LH DARK SPACE GREY</t>
  </si>
  <si>
    <t>WITH STICH</t>
  </si>
  <si>
    <t xml:space="preserve">ROW 433                       </t>
  </si>
  <si>
    <t xml:space="preserve">RMPATX832N ZHEA     </t>
  </si>
  <si>
    <t>ATX-832N ZHEA</t>
  </si>
  <si>
    <t>TPO     ATX 832N</t>
  </si>
  <si>
    <t>KB3B-26454W66-BA</t>
  </si>
  <si>
    <t>BRKT L/C TR FLR</t>
  </si>
  <si>
    <t>KB3B 26454W66 BA</t>
  </si>
  <si>
    <t xml:space="preserve">ROW91-MB2                     </t>
  </si>
  <si>
    <t>KB3B-8C291-AC</t>
  </si>
  <si>
    <t xml:space="preserve">ROW 1-4                       </t>
  </si>
  <si>
    <t xml:space="preserve">TOOL # 37957                  </t>
  </si>
  <si>
    <t xml:space="preserve">RMSWL68435702       </t>
  </si>
  <si>
    <t>68435702SC</t>
  </si>
  <si>
    <t>.069/.073 X   10.629 X COIL</t>
  </si>
  <si>
    <t xml:space="preserve">PCPE27406AR07.H     </t>
  </si>
  <si>
    <t>P703 RR DR RH DARK SPACE GREY</t>
  </si>
  <si>
    <t xml:space="preserve">PCPGM11561629       </t>
  </si>
  <si>
    <t>135204009</t>
  </si>
  <si>
    <t>NUT   PUSH       X  .  X   .</t>
  </si>
  <si>
    <t>PUSH    PLASTIC PC OIL</t>
  </si>
  <si>
    <t xml:space="preserve">ARAYM0100 </t>
  </si>
  <si>
    <t xml:space="preserve">A RAYMOND TINNERMAN AUTO INC  </t>
  </si>
  <si>
    <t>320042005</t>
  </si>
  <si>
    <t xml:space="preserve">PCSW520703S300      </t>
  </si>
  <si>
    <t xml:space="preserve">PC68443493C00U      </t>
  </si>
  <si>
    <t>PC68443493C00U</t>
  </si>
  <si>
    <t>DT TRX CENTER SUPPORT BRACKET</t>
  </si>
  <si>
    <t xml:space="preserve">27216                         </t>
  </si>
  <si>
    <t xml:space="preserve">ROW 64B MB4/600               </t>
  </si>
  <si>
    <t xml:space="preserve">RMSE280K20-1        </t>
  </si>
  <si>
    <t>RM2022-201424-ERMA</t>
  </si>
  <si>
    <t>.053/.057 X    6.378 X COIL</t>
  </si>
  <si>
    <t>N1WB-E23942-BL1G1C</t>
  </si>
  <si>
    <t>N1WB-E23943-KM1G1C</t>
  </si>
  <si>
    <t xml:space="preserve">PCPGMBEE78518       </t>
  </si>
  <si>
    <t>INSULATOR PAD-UP LEVEL-RH</t>
  </si>
  <si>
    <t xml:space="preserve">RMPDRL1401P YZ9A    </t>
  </si>
  <si>
    <t xml:space="preserve">PCPGM85028082       </t>
  </si>
  <si>
    <t>BT1CC Plate-hdlng trim panel r</t>
  </si>
  <si>
    <t>etainer</t>
  </si>
  <si>
    <t xml:space="preserve">CLIPS0100 </t>
  </si>
  <si>
    <t xml:space="preserve">CLIPS &amp; CLAMPS INDUSTRIES     </t>
  </si>
  <si>
    <t>570999</t>
  </si>
  <si>
    <t>N1WB E41623 AA</t>
  </si>
  <si>
    <t>P703 BRA BK PNL</t>
  </si>
  <si>
    <t xml:space="preserve">ROW 292                       </t>
  </si>
  <si>
    <t xml:space="preserve">PCPE27407AR07.H     </t>
  </si>
  <si>
    <t>P703 RL DR LH DARK SPACE GREY</t>
  </si>
  <si>
    <t xml:space="preserve">MB2/1000 ROW 189A             </t>
  </si>
  <si>
    <t>MIC- BOOMERANG RH</t>
  </si>
  <si>
    <t>RH</t>
  </si>
  <si>
    <t xml:space="preserve">RMPGMADX5361        </t>
  </si>
  <si>
    <t>TPO     ADX5361</t>
  </si>
  <si>
    <t xml:space="preserve">RMSE200B64RL        </t>
  </si>
  <si>
    <t>RM2022-201446-ERMA</t>
  </si>
  <si>
    <t>.061/.065 X   13.386 X COIL</t>
  </si>
  <si>
    <t xml:space="preserve">PCPGMBEE90661       </t>
  </si>
  <si>
    <t>INSULATOR PAD-UPPER-LH-VALUE</t>
  </si>
  <si>
    <t xml:space="preserve">RMS21044C30 P703    </t>
  </si>
  <si>
    <t>.037/.041 X    9.213 X COIL</t>
  </si>
  <si>
    <t xml:space="preserve">WSS-M1A365-A11 CR1 UNCOATED   </t>
  </si>
  <si>
    <t>N1WB-17C790BAOS</t>
  </si>
  <si>
    <t>P703 BRACKET AIRDAM MTG RH</t>
  </si>
  <si>
    <t xml:space="preserve">MB2/500 ROW 101               </t>
  </si>
  <si>
    <t xml:space="preserve">PCPE23943BPIA28     </t>
  </si>
  <si>
    <t>N1WB-E23943-B-PIA-28</t>
  </si>
  <si>
    <t>P703 FOAM PAD 8X8X18MM  THICK</t>
  </si>
  <si>
    <t xml:space="preserve">RMS2102428          </t>
  </si>
  <si>
    <t>RM2022-201316-ERMA</t>
  </si>
  <si>
    <t>.045/.049 X   18.937 X COIL</t>
  </si>
  <si>
    <t xml:space="preserve">WSS-M1A365-A11 CR1 50G50G CL3 </t>
  </si>
  <si>
    <t xml:space="preserve">PCPGMBEI14983       </t>
  </si>
  <si>
    <t>Foam Strip 600mm</t>
  </si>
  <si>
    <t xml:space="preserve">CREAT0105 </t>
  </si>
  <si>
    <t xml:space="preserve">RMSE502P34          </t>
  </si>
  <si>
    <t>RM2022-201463-ERMA</t>
  </si>
  <si>
    <t>.058/.062 X   44.50  X COIL</t>
  </si>
  <si>
    <t>N1WB-17C791BAOS</t>
  </si>
  <si>
    <t>P703 BRACKET AIRDAM MTG LH</t>
  </si>
  <si>
    <t xml:space="preserve">MB2/500 ROW 102               </t>
  </si>
  <si>
    <t xml:space="preserve">PCPE23942AR08.H     </t>
  </si>
  <si>
    <t>P703 FRT DR RH ELECTRIC SPICE</t>
  </si>
  <si>
    <t xml:space="preserve">PCPE23943AR08.H     </t>
  </si>
  <si>
    <t>P703 FRT DR LH ELECTRIC SPICE</t>
  </si>
  <si>
    <t xml:space="preserve">PCPE27406AR08.H     </t>
  </si>
  <si>
    <t>P703 RR DR RH ELECTRIC SPICE</t>
  </si>
  <si>
    <t xml:space="preserve">PCPE27407AR08.H     </t>
  </si>
  <si>
    <t>P703 RL DR LH ELECTRIC SPICE</t>
  </si>
  <si>
    <t xml:space="preserve">PCPGMBEE18225       </t>
  </si>
  <si>
    <t>INSULATOR PAD-UPPER-LH-REFINE</t>
  </si>
  <si>
    <t xml:space="preserve">PCPGMBEE17090       </t>
  </si>
  <si>
    <t>FOAM DONUT</t>
  </si>
  <si>
    <t xml:space="preserve">PCPGM11549027       </t>
  </si>
  <si>
    <t>DYNASEAL CLIP</t>
  </si>
  <si>
    <t xml:space="preserve">N1WB E291A34 MAE    </t>
  </si>
  <si>
    <t>N1WB E291A34 MAE</t>
  </si>
  <si>
    <t xml:space="preserve">34573                         </t>
  </si>
  <si>
    <t>T1WB E28252 AA</t>
  </si>
  <si>
    <t>T1WB E410A36 B</t>
  </si>
  <si>
    <t>T1WB E28253 AA</t>
  </si>
  <si>
    <t>T1WB E410A37 B</t>
  </si>
  <si>
    <t xml:space="preserve">PCPE403A86APIA02    </t>
  </si>
  <si>
    <t>P703 FELT 1MM THICK X40 X12MM</t>
  </si>
  <si>
    <t>TAPE</t>
  </si>
  <si>
    <t xml:space="preserve">PCPGMBEE81744       </t>
  </si>
  <si>
    <t>Foam Strip 95mm</t>
  </si>
  <si>
    <t xml:space="preserve">P0571700            </t>
  </si>
  <si>
    <t>P0571700</t>
  </si>
  <si>
    <t>U725 W SHLD LNK RR SUSP</t>
  </si>
  <si>
    <t>NB3C 5B852 A SHIPTOFORMINGTECH</t>
  </si>
  <si>
    <t xml:space="preserve">ROW 302E/1000/MB2             </t>
  </si>
  <si>
    <t xml:space="preserve">PCPGM11602253       </t>
  </si>
  <si>
    <t>U-CLIP        NATURAL</t>
  </si>
  <si>
    <t>BEE18154</t>
  </si>
  <si>
    <t>BT1CC FRONT SILL PLATE ASY LH</t>
  </si>
  <si>
    <t xml:space="preserve">RMPGM30S91KRP       </t>
  </si>
  <si>
    <t>30S91KRP</t>
  </si>
  <si>
    <t>BACKEN BLACK GM</t>
  </si>
  <si>
    <t xml:space="preserve">PCPE23942AR07.H     </t>
  </si>
  <si>
    <t>P703 FRT DR RH DARK SPACE GREY</t>
  </si>
  <si>
    <t xml:space="preserve">PCPGMBEE90678       </t>
  </si>
  <si>
    <t>INSULATOR PAD-UPPER-RH-VALUE</t>
  </si>
  <si>
    <t xml:space="preserve">PCPGMBEE18239       </t>
  </si>
  <si>
    <t>INSULATOR PAD-UPPER-RH-REFINE</t>
  </si>
  <si>
    <t xml:space="preserve">ASYBEE18158         </t>
  </si>
  <si>
    <t>BEE18158</t>
  </si>
  <si>
    <t>BT1CC FRONT SILL PLATE SEY RH</t>
  </si>
  <si>
    <t xml:space="preserve">PCPGM23188597       </t>
  </si>
  <si>
    <t>SPRING</t>
  </si>
  <si>
    <t xml:space="preserve">RMS21016C02A        </t>
  </si>
  <si>
    <t>.045/.049 X    6.693 X COIL</t>
  </si>
  <si>
    <t>PUR61111C98 A</t>
  </si>
  <si>
    <t>MB3B 61111C98A-ROYAL OAK</t>
  </si>
  <si>
    <t xml:space="preserve">DETROIT ROW 907               </t>
  </si>
  <si>
    <t xml:space="preserve">87868130            </t>
  </si>
  <si>
    <t>87868130</t>
  </si>
  <si>
    <t>BT1CC WT 40% DIVIDER W/SUB</t>
  </si>
  <si>
    <t>221</t>
  </si>
  <si>
    <t xml:space="preserve">38821                         </t>
  </si>
  <si>
    <t xml:space="preserve">GMC03000  </t>
  </si>
  <si>
    <t xml:space="preserve">KB3B 26254A16 AC    </t>
  </si>
  <si>
    <t>KB3B-26254A16-AC</t>
  </si>
  <si>
    <t>MLDG ASY RR DR O/S</t>
  </si>
  <si>
    <t xml:space="preserve">6440                          </t>
  </si>
  <si>
    <t xml:space="preserve">RMPG90A520 GXH      </t>
  </si>
  <si>
    <t>G90 A520 GXH BLACK</t>
  </si>
  <si>
    <t>TPE     MULTIFLEX G90 A520 TDS</t>
  </si>
  <si>
    <t>665067014</t>
  </si>
  <si>
    <t xml:space="preserve">RMS26111B04A        </t>
  </si>
  <si>
    <t>.023/.029 X    4.921 X COIL</t>
  </si>
  <si>
    <t xml:space="preserve">KB3B 28345 AA       </t>
  </si>
  <si>
    <t>KB3B-28345-AA</t>
  </si>
  <si>
    <t>SHLD ASY RR WHL SPLS LH</t>
  </si>
  <si>
    <t xml:space="preserve">6429                          </t>
  </si>
  <si>
    <t xml:space="preserve">KB3B 16L559 AB      </t>
  </si>
  <si>
    <t>KB3B-16L559-AB</t>
  </si>
  <si>
    <t>SHLD RR WHL RR SPLS LH</t>
  </si>
  <si>
    <t xml:space="preserve">KB3B 16D232 AA      </t>
  </si>
  <si>
    <t>KB3B-16D232-AA</t>
  </si>
  <si>
    <t>BRA ASY FRT FNDR TO RAD SUPT</t>
  </si>
  <si>
    <t xml:space="preserve">KB3B 16E215 AC      </t>
  </si>
  <si>
    <t>KB3B-16E215-AC</t>
  </si>
  <si>
    <t>SERVICE-ASY FRT FNDR SUPT INR</t>
  </si>
  <si>
    <t>W4-OP220+OP220B</t>
  </si>
  <si>
    <t xml:space="preserve">PCPGM11588783       </t>
  </si>
  <si>
    <t>30600-165</t>
  </si>
  <si>
    <t>BT1CC METAL CLIP</t>
  </si>
  <si>
    <t xml:space="preserve">KB3B 2102884 AB     </t>
  </si>
  <si>
    <t>KB3Z-2102884-A</t>
  </si>
  <si>
    <t>SERVICE  REINF ASY CWL SD PNL</t>
  </si>
  <si>
    <t>KB3Z 2102884 A</t>
  </si>
  <si>
    <t xml:space="preserve">KB3B 26254A17 AC    </t>
  </si>
  <si>
    <t>KB3B-26254A17-AC</t>
  </si>
  <si>
    <t>MLDG ASY RR DR O/S LH</t>
  </si>
  <si>
    <t xml:space="preserve">MLD2123943SUB00     </t>
  </si>
  <si>
    <t>KB3B 2123943</t>
  </si>
  <si>
    <t>FRT DR SUB RAP LH</t>
  </si>
  <si>
    <t xml:space="preserve">6444                          </t>
  </si>
  <si>
    <t xml:space="preserve">PUR89750 B          </t>
  </si>
  <si>
    <t>PUR89750 B</t>
  </si>
  <si>
    <t>BT1CC Bumper Outer Panel</t>
  </si>
  <si>
    <t xml:space="preserve">KB3C 5R108 AA       </t>
  </si>
  <si>
    <t>KB3C-5R108-AA</t>
  </si>
  <si>
    <t>PLT FRT FR SKD</t>
  </si>
  <si>
    <t xml:space="preserve">ROW 74                        </t>
  </si>
  <si>
    <t>553001</t>
  </si>
  <si>
    <t xml:space="preserve">PCPDIAMAYBOX        </t>
  </si>
  <si>
    <t>DTR 85154947 BOX</t>
  </si>
  <si>
    <t>Headliner Blackplate RST/Refin</t>
  </si>
  <si>
    <t>e</t>
  </si>
  <si>
    <t xml:space="preserve">ACTIO0100 </t>
  </si>
  <si>
    <t xml:space="preserve">ACTION PKG / OPUS PACKAGING   </t>
  </si>
  <si>
    <t xml:space="preserve">RMPTYC1152P YZ9A    </t>
  </si>
  <si>
    <t>LB TYC 1152P YZ9A</t>
  </si>
  <si>
    <t xml:space="preserve">PUR87993 B          </t>
  </si>
  <si>
    <t>PUR87993 B</t>
  </si>
  <si>
    <t>BT1CC Bumper Inner Panel</t>
  </si>
  <si>
    <t xml:space="preserve">PCP26681AA00        </t>
  </si>
  <si>
    <t>KB3B 26681 AAW</t>
  </si>
  <si>
    <t>INSIDE DOOR HANDLE MIC LH</t>
  </si>
  <si>
    <t xml:space="preserve">ITWAU0100 </t>
  </si>
  <si>
    <t xml:space="preserve">ITW AUTOMOTIVE BODY &amp; FUEL    </t>
  </si>
  <si>
    <t xml:space="preserve">KB3B 21410A67 AC    </t>
  </si>
  <si>
    <t>KB3B-21410A67-AC</t>
  </si>
  <si>
    <t>FILL ASY RR CNR PLR LH</t>
  </si>
  <si>
    <t xml:space="preserve">RMP1342P YZ9A       </t>
  </si>
  <si>
    <t xml:space="preserve">RMPGMTRINSEO2100LG  </t>
  </si>
  <si>
    <t>PC/ABS  LG 2100 NATURAL</t>
  </si>
  <si>
    <t>665067016</t>
  </si>
  <si>
    <t xml:space="preserve">RMSBR3D072A         </t>
  </si>
  <si>
    <t>RM2020-189202-ERMA E</t>
  </si>
  <si>
    <t>.077/.081 X   10.709 X COIL</t>
  </si>
  <si>
    <t xml:space="preserve">WSS-M1A365-A11 CR1            </t>
  </si>
  <si>
    <t xml:space="preserve">PCPW720345-S439     </t>
  </si>
  <si>
    <t>W720345-S439</t>
  </si>
  <si>
    <t>NUT   .          X  .  X   .</t>
  </si>
  <si>
    <t xml:space="preserve">ALPHA0105 </t>
  </si>
  <si>
    <t xml:space="preserve">ALPHA STAMPING COMPANY        </t>
  </si>
  <si>
    <t xml:space="preserve">KB3B 16L561 AB      </t>
  </si>
  <si>
    <t>KB3B-16L561-AB</t>
  </si>
  <si>
    <t>SHLD RR WHL FRT SPLS LH</t>
  </si>
  <si>
    <t xml:space="preserve">ROW 81-82                     </t>
  </si>
  <si>
    <t xml:space="preserve">PCPGM11570311       </t>
  </si>
  <si>
    <t>30612-166</t>
  </si>
  <si>
    <t>U-CLIP        CLIP (GOLD)</t>
  </si>
  <si>
    <t xml:space="preserve">RMS6X37PIA1AB       </t>
  </si>
  <si>
    <t>55078211AB</t>
  </si>
  <si>
    <t>.079/.083 X    5.472 X COIL</t>
  </si>
  <si>
    <t>HDGA X           60G60G .</t>
  </si>
  <si>
    <t>MS.50002LAH 340Y 410T GI60/60U</t>
  </si>
  <si>
    <t>MLT</t>
  </si>
  <si>
    <t xml:space="preserve">KB3B 17W996 AB      </t>
  </si>
  <si>
    <t>KB3B-17W996-AB</t>
  </si>
  <si>
    <t>2UPT ASY FRT BMPR ARM</t>
  </si>
  <si>
    <t>ALERT #A13760335</t>
  </si>
  <si>
    <t xml:space="preserve">KB3B 16L558 AB      </t>
  </si>
  <si>
    <t>KB3B-16L558-AB</t>
  </si>
  <si>
    <t>SHLD RR WHL RR SPLS</t>
  </si>
  <si>
    <t xml:space="preserve">ROW 79-80                     </t>
  </si>
  <si>
    <t xml:space="preserve">PCPGM11604755       </t>
  </si>
  <si>
    <t>1009031-165</t>
  </si>
  <si>
    <t xml:space="preserve">RMS2661270RLB       </t>
  </si>
  <si>
    <t>RM2026-223048-ERMA</t>
  </si>
  <si>
    <t>.075/.083 X   15.799 X COIL</t>
  </si>
  <si>
    <t>HDGA X           50G50G MILOIL</t>
  </si>
  <si>
    <t>WSS-M1A367-A50 50G/50G HSLA550</t>
  </si>
  <si>
    <t xml:space="preserve">KB3B 16D233 AA      </t>
  </si>
  <si>
    <t>KB3B-16D233-AA</t>
  </si>
  <si>
    <t>BRA ASY FRT FNDR TO RAD SUPT L</t>
  </si>
  <si>
    <t xml:space="preserve">PCP2623943AR0102    </t>
  </si>
  <si>
    <t>FRT DAR LH EBONY NO-STITCH</t>
  </si>
  <si>
    <t xml:space="preserve">HFILL0100 </t>
  </si>
  <si>
    <t xml:space="preserve">HFI LLC                       </t>
  </si>
  <si>
    <t xml:space="preserve">KB3B 16L557 BA      </t>
  </si>
  <si>
    <t>KB3B-16L557-BA</t>
  </si>
  <si>
    <t>SHLD FRT WHL BMPR SPLS LH</t>
  </si>
  <si>
    <t xml:space="preserve">6442                          </t>
  </si>
  <si>
    <t xml:space="preserve">KB3B 2102223 AC     </t>
  </si>
  <si>
    <t>KB3B-2102223-AC</t>
  </si>
  <si>
    <t>BRL ASY CWL TOP VEN</t>
  </si>
  <si>
    <t xml:space="preserve">ROW 50-53                     </t>
  </si>
  <si>
    <t xml:space="preserve">KB3B 2102348 AD3ZHE </t>
  </si>
  <si>
    <t>KB3B-2102348-AD3ZHE</t>
  </si>
  <si>
    <t>PNL ASY CWL SD TR</t>
  </si>
  <si>
    <t xml:space="preserve">ROW 98-100                    </t>
  </si>
  <si>
    <t xml:space="preserve">KB3B 2129265 AA     </t>
  </si>
  <si>
    <t>KB3B-2129265-AA</t>
  </si>
  <si>
    <t>BRHT BDY SD PNL BRA FRT LH</t>
  </si>
  <si>
    <t xml:space="preserve">KB3B 2628253 AE     </t>
  </si>
  <si>
    <t>KB3B-2628253-AE</t>
  </si>
  <si>
    <t>PLR ASY BDY SD RR</t>
  </si>
  <si>
    <t>I</t>
  </si>
  <si>
    <t xml:space="preserve">MLD2623943MAP00     </t>
  </si>
  <si>
    <t>FRT DR MAP POCKET LH</t>
  </si>
  <si>
    <t xml:space="preserve">6451                          </t>
  </si>
  <si>
    <t xml:space="preserve">KB3B 21020A26 AB    </t>
  </si>
  <si>
    <t>KB3B-21020A26-AB</t>
  </si>
  <si>
    <t>PNL ASY CWL SD OTR</t>
  </si>
  <si>
    <t xml:space="preserve">6439                          </t>
  </si>
  <si>
    <t xml:space="preserve">PCP2123942FS00      </t>
  </si>
  <si>
    <t>EB3B-2123942-A-PIA01</t>
  </si>
  <si>
    <t>FRT/RR DR FOAM STRIP</t>
  </si>
  <si>
    <t xml:space="preserve">MLD2623943BOL00     </t>
  </si>
  <si>
    <t>FRT DR IMPACT BOLSTER LH</t>
  </si>
  <si>
    <t xml:space="preserve">6453                          </t>
  </si>
  <si>
    <t xml:space="preserve">RMPGM13S91JQE       </t>
  </si>
  <si>
    <t>BACKEN BLACK CONCENTRATE</t>
  </si>
  <si>
    <t xml:space="preserve">KB3B 8A297 AJ       </t>
  </si>
  <si>
    <t>KB3B-8A297-AJ</t>
  </si>
  <si>
    <t>SUPT ASY RAD</t>
  </si>
  <si>
    <t>A13611653, A13617702</t>
  </si>
  <si>
    <t xml:space="preserve">KB3B 21020A27 AB    </t>
  </si>
  <si>
    <t>KB3B-21020A27-AB</t>
  </si>
  <si>
    <t>PNL ASY CWL SD OTR LH</t>
  </si>
  <si>
    <t xml:space="preserve">68426550            </t>
  </si>
  <si>
    <t>WL REINF SHOCK MTG RR OTR RT</t>
  </si>
  <si>
    <t xml:space="preserve">CC71/300 ROW 659              </t>
  </si>
  <si>
    <t xml:space="preserve">85070888            </t>
  </si>
  <si>
    <t>85070888</t>
  </si>
  <si>
    <t xml:space="preserve">85636195            </t>
  </si>
  <si>
    <t>85636195</t>
  </si>
  <si>
    <t>BT1CC HEADLINER DOG HOUSE LH</t>
  </si>
  <si>
    <t xml:space="preserve">85652722            </t>
  </si>
  <si>
    <t>85652722</t>
  </si>
  <si>
    <t>BT1CC PRETENSIONER COVER</t>
  </si>
  <si>
    <t xml:space="preserve">39148                         </t>
  </si>
  <si>
    <t>AB39 21226B06 AA3JA6</t>
  </si>
  <si>
    <t>AB39-21226B06-AA3JA6</t>
  </si>
  <si>
    <t>CVR SC HNDL PULLCUP DR I/S</t>
  </si>
  <si>
    <t>AB39 21226B07 AA3JA6</t>
  </si>
  <si>
    <t>AB39-21226B07-AA3JA6</t>
  </si>
  <si>
    <t>CVR SC HNDL PULLCUP DR I/S LH</t>
  </si>
  <si>
    <t xml:space="preserve">ASY17E810B          </t>
  </si>
  <si>
    <t xml:space="preserve">ASY17E811B          </t>
  </si>
  <si>
    <t>N1WB-E23942-TAW/UAW</t>
  </si>
  <si>
    <t>P703 Dark Space Grey Top Roll</t>
  </si>
  <si>
    <t>N1WB-E23900-A-PIA-03</t>
  </si>
  <si>
    <t>N1WB-E23942</t>
  </si>
  <si>
    <t>P703 Hard Top Roll W REINF</t>
  </si>
  <si>
    <t>N1WB-E23900-A-PIA-04</t>
  </si>
  <si>
    <t>Stitch   N1WB-E23900-A-PIA-03</t>
  </si>
  <si>
    <t>N1WB-E23901-A-PIA-03</t>
  </si>
  <si>
    <t>N1WB-E23901-A-PIA-04</t>
  </si>
  <si>
    <t>ASYE23943FSUPERMATTE</t>
  </si>
  <si>
    <t>P703 SUPERMATTE VERTICAL INSRT</t>
  </si>
  <si>
    <t>3 CON TO DOOR LINE</t>
  </si>
  <si>
    <t xml:space="preserve">ROW TBD/CONTAINER TBD         </t>
  </si>
  <si>
    <t xml:space="preserve">ASYHS16094W15       </t>
  </si>
  <si>
    <t>KB3B 2102884 AA</t>
  </si>
  <si>
    <t>HS1-6094-W15 NUT WELD SUB ASS</t>
  </si>
  <si>
    <t>KB3B 16094 A</t>
  </si>
  <si>
    <t xml:space="preserve">ROW87B-W15-1-MB2              </t>
  </si>
  <si>
    <t xml:space="preserve">ASYHS16095W15       </t>
  </si>
  <si>
    <t>KB3B 2102885 AA</t>
  </si>
  <si>
    <t>HS1-6095-W15 NUT WELD SUB ASS</t>
  </si>
  <si>
    <t>KB3B 16095 A</t>
  </si>
  <si>
    <t xml:space="preserve">ROW87C-W15-1-MB2              </t>
  </si>
  <si>
    <t xml:space="preserve">ASYHS1B410W3        </t>
  </si>
  <si>
    <t>KB3B 8A297 AD</t>
  </si>
  <si>
    <t>HS1-B410-W3 NUT WELD SUB ASSY</t>
  </si>
  <si>
    <t>KB3B 8B411 A</t>
  </si>
  <si>
    <t xml:space="preserve">ROW645-W3-MB4                 </t>
  </si>
  <si>
    <t xml:space="preserve">ASYHS1D381W3        </t>
  </si>
  <si>
    <t>HS1-D381-W3 NUT WELD SUB ASSY</t>
  </si>
  <si>
    <t>KB3B 14D381 A</t>
  </si>
  <si>
    <t xml:space="preserve">ROW 165-MB2                   </t>
  </si>
  <si>
    <t xml:space="preserve">ASYHS25A64W2        </t>
  </si>
  <si>
    <t>KB3B 2110020 AE</t>
  </si>
  <si>
    <t>HS2-5A64-W2 NUT WELD SUB ASSY</t>
  </si>
  <si>
    <t>KB3B 21625A64 A</t>
  </si>
  <si>
    <t xml:space="preserve">ROW41-W2-MB4                  </t>
  </si>
  <si>
    <t xml:space="preserve">ASYHS26332W5        </t>
  </si>
  <si>
    <t>KB3B 16E060 AC</t>
  </si>
  <si>
    <t>HS2-6332-W5 NUT WELD SUB ASY</t>
  </si>
  <si>
    <t>KB3B 16332A/W520720</t>
  </si>
  <si>
    <t xml:space="preserve">ROW98-W5-MB4                  </t>
  </si>
  <si>
    <t xml:space="preserve">ASYHS26924W3        </t>
  </si>
  <si>
    <t>HS2-6924-W3 NUT WELD SUB ASSY</t>
  </si>
  <si>
    <t>KB3B 16924 A</t>
  </si>
  <si>
    <t xml:space="preserve">ROW158-W3-MB4                 </t>
  </si>
  <si>
    <t xml:space="preserve">ASYHS28232W3        </t>
  </si>
  <si>
    <t>HS2-8232-W3 NUT WELD SUB ASSY</t>
  </si>
  <si>
    <t>KB3B 8232 AA</t>
  </si>
  <si>
    <t xml:space="preserve">ROW157-W3-MB4                 </t>
  </si>
  <si>
    <t xml:space="preserve">ASYHS2A093W3        </t>
  </si>
  <si>
    <t>HS2-A093-W3 NUT WELD SUB ASSY</t>
  </si>
  <si>
    <t>KB3B 8A093 A</t>
  </si>
  <si>
    <t xml:space="preserve">ROW443-W3-MB4                 </t>
  </si>
  <si>
    <t xml:space="preserve">ASYHS2D240W5        </t>
  </si>
  <si>
    <t>HS2-D240-W5 NUT WELD SUB ASY</t>
  </si>
  <si>
    <t>KB3B 16D240 A/ W520720</t>
  </si>
  <si>
    <t xml:space="preserve">ROW99-W5-MB4                  </t>
  </si>
  <si>
    <t xml:space="preserve">ASYHS34770W16       </t>
  </si>
  <si>
    <t>KB3B 21247A12 AA</t>
  </si>
  <si>
    <t>HS3-4770-W16 NUT WELD SUB ASS</t>
  </si>
  <si>
    <t>KB3B 2124770 A</t>
  </si>
  <si>
    <t xml:space="preserve">ROW 132B-W16-1-MB6            </t>
  </si>
  <si>
    <t xml:space="preserve">ASYHS34771W16       </t>
  </si>
  <si>
    <t>HS3-4771-W16 NUT WELD SUB ASS</t>
  </si>
  <si>
    <t>KB3B 2124771 A</t>
  </si>
  <si>
    <t xml:space="preserve">ROW 145A-W16-1-MB6            </t>
  </si>
  <si>
    <t xml:space="preserve">ASYHS39A30W15       </t>
  </si>
  <si>
    <t>KB3B 21410A66 AC</t>
  </si>
  <si>
    <t>HS3-9A30-W15 NUT WELD SUB ASSY</t>
  </si>
  <si>
    <t>KB3B 21279A30 A</t>
  </si>
  <si>
    <t xml:space="preserve">ROW609/610-W15-1-MB4          </t>
  </si>
  <si>
    <t xml:space="preserve">ASYHS39A31W15       </t>
  </si>
  <si>
    <t>KB3B 21410A67 AC</t>
  </si>
  <si>
    <t>HS3-9A31-W15 NUT WELD SUB ASSy</t>
  </si>
  <si>
    <t>KB3B 21279A31 A</t>
  </si>
  <si>
    <t xml:space="preserve">ROW615/616-W15-1-MB4          </t>
  </si>
  <si>
    <t>T1WB E41212 A</t>
  </si>
  <si>
    <t>T1WB E41213 A</t>
  </si>
  <si>
    <t xml:space="preserve">ASYHS40522W15W18    </t>
  </si>
  <si>
    <t>HS4 0522 W15 NUT WELD SUB ASSY</t>
  </si>
  <si>
    <t>KB3B 2110522A SUB ASSEMBLY</t>
  </si>
  <si>
    <t xml:space="preserve">ROW312-W15/W18-MB4            </t>
  </si>
  <si>
    <t xml:space="preserve">ASYHS44644W6        </t>
  </si>
  <si>
    <t>KB3B 2124300 AG</t>
  </si>
  <si>
    <t>HS4-4644-W6 NUT WELD SUB ASS</t>
  </si>
  <si>
    <t>KB3B 2124644 A</t>
  </si>
  <si>
    <t xml:space="preserve">ROW301B-W6-MB2                </t>
  </si>
  <si>
    <t xml:space="preserve">ASYHS44645W6        </t>
  </si>
  <si>
    <t>HS4-4645-W6 NUT WELD SUB ASY</t>
  </si>
  <si>
    <t xml:space="preserve">ASYHS45A64W15       </t>
  </si>
  <si>
    <t>HS4-5A64-W15 NUT WELD SUB ASSY</t>
  </si>
  <si>
    <t>KB3B 21025A64 AA</t>
  </si>
  <si>
    <t xml:space="preserve">ROW140B -W15-1-MB4            </t>
  </si>
  <si>
    <t xml:space="preserve">ASYHS45A65W15       </t>
  </si>
  <si>
    <t>HS4-5A65-W15 NUT WELD SUB ASS</t>
  </si>
  <si>
    <t>KB3B 21025A65 AA</t>
  </si>
  <si>
    <t xml:space="preserve">ROW141B-W15-1-MB4             </t>
  </si>
  <si>
    <t xml:space="preserve">ASYHS49D58W18       </t>
  </si>
  <si>
    <t>HS4 9D58 W15 NUT WELD SUB ASSY</t>
  </si>
  <si>
    <t>KB3B 21279D58A SUB</t>
  </si>
  <si>
    <t xml:space="preserve">ROW319-W18-MB4                </t>
  </si>
  <si>
    <t xml:space="preserve">ASYHS49D58W22       </t>
  </si>
  <si>
    <t>P1WB-E280A54-AA</t>
  </si>
  <si>
    <t>N1WB E200A24 BA</t>
  </si>
  <si>
    <t xml:space="preserve">ROW357-W22-MB4                </t>
  </si>
  <si>
    <t xml:space="preserve">ASYHS49D59W15W18    </t>
  </si>
  <si>
    <t>KB3B 21280A55 AA</t>
  </si>
  <si>
    <t>HS4 9D59 W15 NUT WELD SUB ASSY</t>
  </si>
  <si>
    <t>KB3B 21279D59A SUB</t>
  </si>
  <si>
    <t xml:space="preserve">ROW331-W18-MB4                </t>
  </si>
  <si>
    <t xml:space="preserve">ASYHS49D59W21       </t>
  </si>
  <si>
    <t>P1WB-E280A55-AA</t>
  </si>
  <si>
    <t>N1WB E200A25 BA</t>
  </si>
  <si>
    <t xml:space="preserve">ROW361-W21-MB4                </t>
  </si>
  <si>
    <t xml:space="preserve">ASYHS4C142W3        </t>
  </si>
  <si>
    <t>HS4-C142-W3 NUT WELD SUB ASSY</t>
  </si>
  <si>
    <t>KB3B 8C142 A</t>
  </si>
  <si>
    <t xml:space="preserve">ROW166-W3-MB2                 </t>
  </si>
  <si>
    <t xml:space="preserve">ASYHS4C143W3        </t>
  </si>
  <si>
    <t>HS4-C143-W3 NUT WELD SUB ASSY</t>
  </si>
  <si>
    <t>KB3B 8C143 A</t>
  </si>
  <si>
    <t xml:space="preserve">ROW167-W3-MB2                 </t>
  </si>
  <si>
    <t xml:space="preserve">ASYHS50W66W18       </t>
  </si>
  <si>
    <t>HS5 0W66 W18 NUT WELD SUB ASSY</t>
  </si>
  <si>
    <t xml:space="preserve">ROW698-W18-MB2                </t>
  </si>
  <si>
    <t xml:space="preserve">ASYHS50W67W18       </t>
  </si>
  <si>
    <t>HS5 0W67 W18 NUT WELD SUB ASSY</t>
  </si>
  <si>
    <t xml:space="preserve">ROW697-W18-MB2                </t>
  </si>
  <si>
    <t xml:space="preserve">ASYHS51A40W16       </t>
  </si>
  <si>
    <t>HS5-1A40-W16 NUT WELD SUB ASS</t>
  </si>
  <si>
    <t>KB3B 21611A40 A</t>
  </si>
  <si>
    <t xml:space="preserve">ROW 104-W16-MB2               </t>
  </si>
  <si>
    <t xml:space="preserve">ASYHS51A41W16       </t>
  </si>
  <si>
    <t>HS5-1A41-W16 NUT WELD SUB ASS</t>
  </si>
  <si>
    <t>KB3B 21611A41 A</t>
  </si>
  <si>
    <t xml:space="preserve">ROW 101-W16-MB2               </t>
  </si>
  <si>
    <t xml:space="preserve">ASYHS51C08W16       </t>
  </si>
  <si>
    <t>HS5-1C08-W16 NUT WELD SUB ASS</t>
  </si>
  <si>
    <t>KB3B 21611C08 A</t>
  </si>
  <si>
    <t xml:space="preserve">ROW103-W16-1-MB2              </t>
  </si>
  <si>
    <t xml:space="preserve">ASYHS54B02W16       </t>
  </si>
  <si>
    <t>HS5 04B02 W16 NUT WELD SUB ASS</t>
  </si>
  <si>
    <t>KB38 21104B02A  SUB ASSY</t>
  </si>
  <si>
    <t xml:space="preserve">ROW 305-W16-MB4               </t>
  </si>
  <si>
    <t xml:space="preserve">ASYHS58226W3        </t>
  </si>
  <si>
    <t>HS5-8226-W3 NUT WELD SUB ASSY</t>
  </si>
  <si>
    <t>KB3B 8226 AA</t>
  </si>
  <si>
    <t xml:space="preserve">ROW 168-MB2                   </t>
  </si>
  <si>
    <t xml:space="preserve">ASYHS58227W3        </t>
  </si>
  <si>
    <t>HS5-8227-W3 NUT WELD SUB ASSY</t>
  </si>
  <si>
    <t>KB3B 8227 A</t>
  </si>
  <si>
    <t xml:space="preserve">ROW 169-MB2                   </t>
  </si>
  <si>
    <t xml:space="preserve">ASYHS60A36W7        </t>
  </si>
  <si>
    <t>HS6-0A36-W6 NUT WELD SUB ASSY</t>
  </si>
  <si>
    <t>KB3B 21410A36 A</t>
  </si>
  <si>
    <t xml:space="preserve">ROW456-W7-MB4                 </t>
  </si>
  <si>
    <t xml:space="preserve">ASYHS61022W16       </t>
  </si>
  <si>
    <t>HS6 1022 W16 NUT WELD SUB ASSY</t>
  </si>
  <si>
    <t>KB3B 2141022A SUB ASSY</t>
  </si>
  <si>
    <t xml:space="preserve">ROW59B-HS6-MB4                </t>
  </si>
  <si>
    <t xml:space="preserve">ASYHS61023W16       </t>
  </si>
  <si>
    <t>HS6 1023 W16 NUT WELD SUB ASSY</t>
  </si>
  <si>
    <t>KB3B 2141023A SUB ASSY</t>
  </si>
  <si>
    <t xml:space="preserve">ROW238E-W18-MB4               </t>
  </si>
  <si>
    <t xml:space="preserve">ASYHS61057W16       </t>
  </si>
  <si>
    <t>HS6 1057 W16 NUT WELD SUB ASSY</t>
  </si>
  <si>
    <t>KB3B 2141057A SUB ASSY</t>
  </si>
  <si>
    <t xml:space="preserve">ROW286-W18-MB2                </t>
  </si>
  <si>
    <t>P703 HS6-1A30-W9 NUT WELD SUB</t>
  </si>
  <si>
    <t>ASSEMBLY</t>
  </si>
  <si>
    <t>P703 HS6-1A31-W8 NUT WELD SUB</t>
  </si>
  <si>
    <t xml:space="preserve">ROW308-W8-MB4                 </t>
  </si>
  <si>
    <t xml:space="preserve">ASYHS65K02W18       </t>
  </si>
  <si>
    <t>KB3B 21280A55 AC</t>
  </si>
  <si>
    <t>HS6 5K02 W18 NUT WELD SUB ASS</t>
  </si>
  <si>
    <t>KB3B 26405K02 A</t>
  </si>
  <si>
    <t xml:space="preserve">ROW310-W18-MB4                </t>
  </si>
  <si>
    <t xml:space="preserve">ASYHS70744W17       </t>
  </si>
  <si>
    <t>KB3B 2110680 AA</t>
  </si>
  <si>
    <t>HS7-0744-W17 NUT WELD SUB ASSY</t>
  </si>
  <si>
    <t>KB3B 2110744 A</t>
  </si>
  <si>
    <t xml:space="preserve">ROW408/9-W17-MB4              </t>
  </si>
  <si>
    <t xml:space="preserve">ASYHS71212W7        </t>
  </si>
  <si>
    <t>HS7-1212-W6 NUT WELD SUB ASSy</t>
  </si>
  <si>
    <t>KB3B 2141212 A</t>
  </si>
  <si>
    <t xml:space="preserve">ROW452-W7-MB4                 </t>
  </si>
  <si>
    <t xml:space="preserve">ASYHS71213W6        </t>
  </si>
  <si>
    <t>KB3B 2124301 AG</t>
  </si>
  <si>
    <t>HS7-1213-W6 NUT WELD SUB ASS</t>
  </si>
  <si>
    <t>KB3B 2141213 A</t>
  </si>
  <si>
    <t xml:space="preserve">ROW453-W6-MB4                 </t>
  </si>
  <si>
    <t xml:space="preserve">ASYHS77042BW2       </t>
  </si>
  <si>
    <t>HS7-7042-W2 NUT WELD SUB ASSY</t>
  </si>
  <si>
    <t>KB3B 17042 A</t>
  </si>
  <si>
    <t xml:space="preserve">ROW279-W2-MB4                 </t>
  </si>
  <si>
    <t xml:space="preserve">ASYHS77A97W14       </t>
  </si>
  <si>
    <t>KB3B 2110693 AD</t>
  </si>
  <si>
    <t>HS7-7A97-W14 NUT WELD SUB ASSY</t>
  </si>
  <si>
    <t>KB3B 21107A97 A</t>
  </si>
  <si>
    <t xml:space="preserve">ROW149B-W14-MB4               </t>
  </si>
  <si>
    <t>P703 HS7-7A97-W14 WELD ASY</t>
  </si>
  <si>
    <t xml:space="preserve">ROW 443-W14                   </t>
  </si>
  <si>
    <t xml:space="preserve">ASYHS80106W2        </t>
  </si>
  <si>
    <t>HS8-0106-W2 NUT WELD SUB ASSY</t>
  </si>
  <si>
    <t>AB39 2160106 A</t>
  </si>
  <si>
    <t xml:space="preserve">ROW397-W2-MB6                 </t>
  </si>
  <si>
    <t xml:space="preserve">ASYHS80107W2        </t>
  </si>
  <si>
    <t>HS8-0107-W2 NUT WELD SUB ASSY</t>
  </si>
  <si>
    <t>AB39 2160107 AA</t>
  </si>
  <si>
    <t xml:space="preserve">ROW396-W2-MB6                 </t>
  </si>
  <si>
    <t xml:space="preserve">ASYHS87A60W11W19    </t>
  </si>
  <si>
    <t>KB3B 2610610 AC</t>
  </si>
  <si>
    <t>HS8-8A60-W11-W19 NUT WELD SUB</t>
  </si>
  <si>
    <t>KB3B 25108A60 A</t>
  </si>
  <si>
    <t xml:space="preserve">ROW411-W11-MB6                </t>
  </si>
  <si>
    <t xml:space="preserve">ASYMS10K60W2        </t>
  </si>
  <si>
    <t>MS1-0K60-W2 MIG WELD SUB ASSY</t>
  </si>
  <si>
    <t>AB39 21000K60 A</t>
  </si>
  <si>
    <t xml:space="preserve">ROW27B-W2-MB2                 </t>
  </si>
  <si>
    <t xml:space="preserve">ASYPW16029W4        </t>
  </si>
  <si>
    <t>KB3B 16E061 AD</t>
  </si>
  <si>
    <t>PW1-6029-W4 NUT WELD SUB  ASY</t>
  </si>
  <si>
    <t>DET16029A</t>
  </si>
  <si>
    <t xml:space="preserve">ROW91-W4-MB2                  </t>
  </si>
  <si>
    <t xml:space="preserve">ASYPW1W996OS        </t>
  </si>
  <si>
    <t>KB3B 17W996 AA</t>
  </si>
  <si>
    <t>SUPT ASY FRT BMPR ARM</t>
  </si>
  <si>
    <t xml:space="preserve">PLASTICS DOCK FOR E-COATING   </t>
  </si>
  <si>
    <t xml:space="preserve">ASYPW1W997OS        </t>
  </si>
  <si>
    <t>KB3B 17W997 AA</t>
  </si>
  <si>
    <t>SUPT ASY FRT BMPR ARM LH</t>
  </si>
  <si>
    <t xml:space="preserve">ASYPW20117W13LV     </t>
  </si>
  <si>
    <t xml:space="preserve">ROW311-W13-MB4 LV             </t>
  </si>
  <si>
    <t xml:space="preserve">ASYPW20C46W16       </t>
  </si>
  <si>
    <t>KB3B 2102018 AA</t>
  </si>
  <si>
    <t>PW2-0C46-W16 STUD WELD SUB ASS</t>
  </si>
  <si>
    <t>KB3B 21020C46 A</t>
  </si>
  <si>
    <t xml:space="preserve">ROM125-MB6-W16                </t>
  </si>
  <si>
    <t xml:space="preserve">ASYPW21A66W5        </t>
  </si>
  <si>
    <t>PW2-1A66-W5 STUD WELD SUB ASY</t>
  </si>
  <si>
    <t>KB3B 21101A66 / W703951</t>
  </si>
  <si>
    <t xml:space="preserve">ROW100-W5-MB4                 </t>
  </si>
  <si>
    <t xml:space="preserve">ASYPW21B94W2        </t>
  </si>
  <si>
    <t>PW2-1B94-W2 NUT WELD SUB ASSY</t>
  </si>
  <si>
    <t>KB3B 26111B40 A</t>
  </si>
  <si>
    <t xml:space="preserve">ROW391-W2-MB2                 </t>
  </si>
  <si>
    <t xml:space="preserve">ASYPW21C84W10       </t>
  </si>
  <si>
    <t>KB3B 21111K48 AD</t>
  </si>
  <si>
    <t>PW2-1C48-W10 NUT WELD SUB ASSY</t>
  </si>
  <si>
    <t>AB39 21101C84 A</t>
  </si>
  <si>
    <t xml:space="preserve">ROW289-W10-MB6                </t>
  </si>
  <si>
    <t xml:space="preserve">ASYPW31K34W10       </t>
  </si>
  <si>
    <t>PW3-1K34-W10 NUT WELD SUB ASS</t>
  </si>
  <si>
    <t>AB39 21111K34 A</t>
  </si>
  <si>
    <t xml:space="preserve">ROW301A-W10-MB2               </t>
  </si>
  <si>
    <t xml:space="preserve">ASYPW31K35W10       </t>
  </si>
  <si>
    <t>PW3-1K35-W10 NUT WELD SUB ASSY</t>
  </si>
  <si>
    <t>AB39 21111K35 A</t>
  </si>
  <si>
    <t xml:space="preserve">ROW300-W10-MB2                </t>
  </si>
  <si>
    <t xml:space="preserve">ASYPW33B48W16       </t>
  </si>
  <si>
    <t>PW3-3B48-W16 NUT WELD SUB ASSY</t>
  </si>
  <si>
    <t>KB3B 26403B48 A</t>
  </si>
  <si>
    <t xml:space="preserve">ROW136B-W16-1-MB6             </t>
  </si>
  <si>
    <t xml:space="preserve">ASYPW3C176W4        </t>
  </si>
  <si>
    <t>PW3-C176-W4 NUT WELD SUB  ASY</t>
  </si>
  <si>
    <t>DET16C176A</t>
  </si>
  <si>
    <t xml:space="preserve">ROW90-W4-MB2                  </t>
  </si>
  <si>
    <t xml:space="preserve">ASYPW50K20TB1R      </t>
  </si>
  <si>
    <t>PW5-0K20-TB1 NUT WELD SUB RH</t>
  </si>
  <si>
    <t>KB3B 21280K20 A</t>
  </si>
  <si>
    <t xml:space="preserve">ROW 86C                       </t>
  </si>
  <si>
    <t xml:space="preserve">ASYPW5C034W3        </t>
  </si>
  <si>
    <t>PW5-C034-W3 STUD WELD SUBASSY</t>
  </si>
  <si>
    <t>KB3B 8B410 A</t>
  </si>
  <si>
    <t xml:space="preserve">ROW170-W3-MB2                 </t>
  </si>
  <si>
    <t xml:space="preserve">ASYPW60777W14       </t>
  </si>
  <si>
    <t>PW6-0777-W14 NUT WELD SUB ASSY</t>
  </si>
  <si>
    <t>KB3B 2110777 A</t>
  </si>
  <si>
    <t xml:space="preserve">ROW148B-W14-MB4               </t>
  </si>
  <si>
    <t xml:space="preserve">ASYPW61216W6W7      </t>
  </si>
  <si>
    <t>PW6-1216-W6 NUT WELD SUB ASS</t>
  </si>
  <si>
    <t>KB3B 2161216 A</t>
  </si>
  <si>
    <t xml:space="preserve">ROW301D-W7-MB2                </t>
  </si>
  <si>
    <t xml:space="preserve">MB4/2500 ROW 104              </t>
  </si>
  <si>
    <t>KB3B 16D600A/EB3B 16C838 A</t>
  </si>
  <si>
    <t xml:space="preserve">ASYTB13488W15       </t>
  </si>
  <si>
    <t>TB1-3488-W15 TAB BEND SUB ASSY</t>
  </si>
  <si>
    <t>KB3B 2143488 A</t>
  </si>
  <si>
    <t xml:space="preserve">ROW 73B                       </t>
  </si>
  <si>
    <t xml:space="preserve">ASYTB13489W15       </t>
  </si>
  <si>
    <t>TB1-3489-W15 TAB BEND SUB ASSY</t>
  </si>
  <si>
    <t>KB3B 2143489 A</t>
  </si>
  <si>
    <t xml:space="preserve">ROW 73C                       </t>
  </si>
  <si>
    <t xml:space="preserve">ROW 272-W16-MB2               </t>
  </si>
  <si>
    <t xml:space="preserve">ASYW150522W18       </t>
  </si>
  <si>
    <t>W15 0522 W18 NUT WELD SUB ASSY</t>
  </si>
  <si>
    <t>ASYHS40522W15 SUB ASSY</t>
  </si>
  <si>
    <t xml:space="preserve">ROW304F-W18-MB4               </t>
  </si>
  <si>
    <t xml:space="preserve">ASYW151040W18       </t>
  </si>
  <si>
    <t>KB3B 21280A54 AE</t>
  </si>
  <si>
    <t>W15 1040 W18 NUT WELD SUB ASSY</t>
  </si>
  <si>
    <t>ASYHS2141040A SUB ASSY</t>
  </si>
  <si>
    <t xml:space="preserve">ROW318-W18-MB4                </t>
  </si>
  <si>
    <t xml:space="preserve">ASYW151041W18       </t>
  </si>
  <si>
    <t>KB3B 21280A55 AE</t>
  </si>
  <si>
    <t>W15 1041 W18 NUT WELD SUB ASSY</t>
  </si>
  <si>
    <t xml:space="preserve">ROW332-W18-MB4                </t>
  </si>
  <si>
    <t xml:space="preserve">ASYW159D59W18       </t>
  </si>
  <si>
    <t>W15 9D592 W18 NUT WELD SUB ASS</t>
  </si>
  <si>
    <t>KB3B 21279D59A  SUB ASSY</t>
  </si>
  <si>
    <t xml:space="preserve">ROW333-W18-MB4                </t>
  </si>
  <si>
    <t>P703 W16 0A24 W22 SUB ASY</t>
  </si>
  <si>
    <t>P1WB E200A24 AA</t>
  </si>
  <si>
    <t xml:space="preserve">ROW353-W22-MB4                </t>
  </si>
  <si>
    <t xml:space="preserve">ASYW161022W18       </t>
  </si>
  <si>
    <t>W16 1022 W18 NUT WELD SUB ASSY</t>
  </si>
  <si>
    <t>21000W66A / 2141056A/2141022A</t>
  </si>
  <si>
    <t xml:space="preserve">ROW334-W18-MB6/40             </t>
  </si>
  <si>
    <t xml:space="preserve">ASYW161023W18       </t>
  </si>
  <si>
    <t>W16 1023 W18 NUT WELD SUB ASSY</t>
  </si>
  <si>
    <t>21000W67A / 2141057A/2141023A</t>
  </si>
  <si>
    <t xml:space="preserve">ROW317-W18-MB6/40             </t>
  </si>
  <si>
    <t xml:space="preserve">BLK16924            </t>
  </si>
  <si>
    <t>GAGE=.047" W=18.81" P=14.016"</t>
  </si>
  <si>
    <t>BLK WT=1.76" BRA HOD LAT SUPT</t>
  </si>
  <si>
    <t xml:space="preserve">WSS-M1A365-A11 50G50G-GI      </t>
  </si>
  <si>
    <t xml:space="preserve">BLK2110130RLA       </t>
  </si>
  <si>
    <t>GAGE=.047" W=13.780" P=60.827"</t>
  </si>
  <si>
    <t>BLK WT=11.13 LB PNL BDY RKR LH</t>
  </si>
  <si>
    <t xml:space="preserve">BLK2141040RLA       </t>
  </si>
  <si>
    <t>GAGE=.039" W=38.78" P=24.409"</t>
  </si>
  <si>
    <t>BLK WT=10.56 LBS P=+0/-.125"</t>
  </si>
  <si>
    <t xml:space="preserve">MSS-M1A367-A38 50G50G-GI      </t>
  </si>
  <si>
    <t xml:space="preserve">C0240301            </t>
  </si>
  <si>
    <t xml:space="preserve">CHINA AGS 16E166 BB </t>
  </si>
  <si>
    <t xml:space="preserve">PBX BOX CHINA 10PC            </t>
  </si>
  <si>
    <t xml:space="preserve">FRD01061  </t>
  </si>
  <si>
    <t xml:space="preserve">CONS-016-0017       </t>
  </si>
  <si>
    <t>BALLUFF BCC0JWZ</t>
  </si>
  <si>
    <t>CORDSET DBL END 5P 2M BCC0JWZ</t>
  </si>
  <si>
    <t>BCCE834-E834-90-334-PS54N2-020</t>
  </si>
  <si>
    <t xml:space="preserve">BIN LOC A 1H                  </t>
  </si>
  <si>
    <t xml:space="preserve">HHBAR0100 </t>
  </si>
  <si>
    <t xml:space="preserve">H H BARNUM                    </t>
  </si>
  <si>
    <t>MRO</t>
  </si>
  <si>
    <t>MRO020202007</t>
  </si>
  <si>
    <t>852</t>
  </si>
  <si>
    <t xml:space="preserve">CONS-016-0040       </t>
  </si>
  <si>
    <t>BALLUFF BCC05M1</t>
  </si>
  <si>
    <t>CORDSET DB END 4/5P 5M BCC05M1</t>
  </si>
  <si>
    <t>BCCM415-M414-3A-304-EX44T2-050</t>
  </si>
  <si>
    <t xml:space="preserve">BIN LOC A 2G                  </t>
  </si>
  <si>
    <t xml:space="preserve">CONS-016-0090       </t>
  </si>
  <si>
    <t>BALLUFF BNI0090</t>
  </si>
  <si>
    <t>MODULE, I/O LINK 24VDC 16PNP</t>
  </si>
  <si>
    <t>BNI0090, BNI IOL-104-S02-R012</t>
  </si>
  <si>
    <t xml:space="preserve">BIN LOC A 2H                  </t>
  </si>
  <si>
    <t xml:space="preserve">CONS-016-0093       </t>
  </si>
  <si>
    <t>BALLUFF BCC06M4</t>
  </si>
  <si>
    <t>CONNECTOR MALE M12 4P BCC06M4</t>
  </si>
  <si>
    <t>BCCM434-0000-2A-000-41X475-000</t>
  </si>
  <si>
    <t>MRO020202004</t>
  </si>
  <si>
    <t xml:space="preserve">CONS-016-0112       </t>
  </si>
  <si>
    <t>BALLUFF BAM0218</t>
  </si>
  <si>
    <t>CUFF CLAMPING 12MM BAM0218</t>
  </si>
  <si>
    <t>BALLUFF BAM MC-XA-027-D12,0-1</t>
  </si>
  <si>
    <t xml:space="preserve">BIN LOC A 1C                  </t>
  </si>
  <si>
    <t xml:space="preserve">CONS-016-1070       </t>
  </si>
  <si>
    <t>BALLUFF BNI007Z</t>
  </si>
  <si>
    <t>MODULE I/O-LINK 8P 24V BNI007Z</t>
  </si>
  <si>
    <t>BALLUFF BNI IOL-302-002-K006</t>
  </si>
  <si>
    <t xml:space="preserve">BIN LOC A 2B                  </t>
  </si>
  <si>
    <t xml:space="preserve">CONS-035-0003       </t>
  </si>
  <si>
    <t>BALLUFF BID000U</t>
  </si>
  <si>
    <t>SENSOR SAFETY BALLUFF BID000U</t>
  </si>
  <si>
    <t>BID R02K-4R300 (P/N 255861)</t>
  </si>
  <si>
    <t xml:space="preserve">BIN LOC A 2D                  </t>
  </si>
  <si>
    <t xml:space="preserve">CONS-035-0008       </t>
  </si>
  <si>
    <t>BALLUFF BID0008</t>
  </si>
  <si>
    <t>SENSOR SAFETY BALLUFF BID0008</t>
  </si>
  <si>
    <t>R02K-4R100-O20ZZ0-EP00,2-S92</t>
  </si>
  <si>
    <t xml:space="preserve">CONS-035-0009       </t>
  </si>
  <si>
    <t>BALLUFF BAM00LE</t>
  </si>
  <si>
    <t>ASSY SENSOR MOUNTING BAM00LE</t>
  </si>
  <si>
    <t>BLOCK, BALLUFF BMF 303-HW-69</t>
  </si>
  <si>
    <t xml:space="preserve">CONS-035-0010       </t>
  </si>
  <si>
    <t>BALLUFF BMF0043</t>
  </si>
  <si>
    <t>SENSOR MAG BALLUFF BMF0043</t>
  </si>
  <si>
    <t>BMF 303K-PS-C-2A-SA2-S49-00,3</t>
  </si>
  <si>
    <t xml:space="preserve">CONS-035-0068       </t>
  </si>
  <si>
    <t>BALLUFF BES0068</t>
  </si>
  <si>
    <t>SENSOR PROX M12 4MM PNP/NO M12</t>
  </si>
  <si>
    <t>BES0068, BES M12MI-PSC40B-S04G</t>
  </si>
  <si>
    <t xml:space="preserve">BIN LOC A 1B                  </t>
  </si>
  <si>
    <t xml:space="preserve">CONS-035-0400       </t>
  </si>
  <si>
    <t>BALLUFF BES00EF</t>
  </si>
  <si>
    <t>SENSOR INDUCTIVE 12MM BES00EF</t>
  </si>
  <si>
    <t>BES M12ME-PSC40B-S04G-003</t>
  </si>
  <si>
    <t>MRO050220007</t>
  </si>
  <si>
    <t xml:space="preserve">DET10764A           </t>
  </si>
  <si>
    <t>TRY BAT LH</t>
  </si>
  <si>
    <t>KB3B 10764 A</t>
  </si>
  <si>
    <t xml:space="preserve">ROW435                        </t>
  </si>
  <si>
    <t xml:space="preserve">DET14D381A          </t>
  </si>
  <si>
    <t>BRKT SNS AIR BAG</t>
  </si>
  <si>
    <t xml:space="preserve">ROW97B-HS1-MB2                </t>
  </si>
  <si>
    <t xml:space="preserve">DET16095A           </t>
  </si>
  <si>
    <t>BRKT FRT FNDR TO CWL</t>
  </si>
  <si>
    <t xml:space="preserve">ROW133B-HS1-MB2               </t>
  </si>
  <si>
    <t xml:space="preserve">DET16333A           </t>
  </si>
  <si>
    <t>EXT FRT FNDR APR LWR FRT LH</t>
  </si>
  <si>
    <t>KB3B 16333A</t>
  </si>
  <si>
    <t xml:space="preserve">ROW436-W4-MB4/2500            </t>
  </si>
  <si>
    <t xml:space="preserve">DET16860A           </t>
  </si>
  <si>
    <t>BRKT HOD LAT SUPT</t>
  </si>
  <si>
    <t>KB3B 16860 A</t>
  </si>
  <si>
    <t xml:space="preserve">ROW62B-W3-MB4                 </t>
  </si>
  <si>
    <t xml:space="preserve">DET16A126A          </t>
  </si>
  <si>
    <t>GST FRT FNDR APR &amp; RAD SUPT</t>
  </si>
  <si>
    <t>KB3B 16A126A</t>
  </si>
  <si>
    <t xml:space="preserve">ROW96-W5-MB2                  </t>
  </si>
  <si>
    <t xml:space="preserve">DET16A127A          </t>
  </si>
  <si>
    <t>KB3B 16A127A</t>
  </si>
  <si>
    <t xml:space="preserve">ROW89-W4-MB2                  </t>
  </si>
  <si>
    <t xml:space="preserve">DET16C116A          </t>
  </si>
  <si>
    <t>GST FRT FNDR APR RAD SD</t>
  </si>
  <si>
    <t>KB3B 166C116A</t>
  </si>
  <si>
    <t xml:space="preserve">ROW450-W5-MB4                 </t>
  </si>
  <si>
    <t xml:space="preserve">DET16C117A          </t>
  </si>
  <si>
    <t>GST FRT FNDR APR RAD SD SUPT</t>
  </si>
  <si>
    <t>KB3B 166C117A</t>
  </si>
  <si>
    <t xml:space="preserve">ROW451-W4-MB4                 </t>
  </si>
  <si>
    <t xml:space="preserve">DET16C175A          </t>
  </si>
  <si>
    <t>KB3B 16D233 AA</t>
  </si>
  <si>
    <t>BRKT FRT FNDR MTNG LWR LH</t>
  </si>
  <si>
    <t>KB3B 16C175 A</t>
  </si>
  <si>
    <t xml:space="preserve">ROW182B-HS1-MB2               </t>
  </si>
  <si>
    <t xml:space="preserve">DET16C176A          </t>
  </si>
  <si>
    <t>BRKT TRY BAT</t>
  </si>
  <si>
    <t>KB3B 16C176 A</t>
  </si>
  <si>
    <t xml:space="preserve">ROW287-PW3-MB2                </t>
  </si>
  <si>
    <t xml:space="preserve">DET16C177A          </t>
  </si>
  <si>
    <t>BRKT FRT FNDR MTNG UPR LH</t>
  </si>
  <si>
    <t>KB3B 16C177 A</t>
  </si>
  <si>
    <t xml:space="preserve">ROW438-W4-MB2                 </t>
  </si>
  <si>
    <t xml:space="preserve">DET16D240A          </t>
  </si>
  <si>
    <t>REINF FRT FNDR SUPT INR</t>
  </si>
  <si>
    <t>KB3B 16D240A</t>
  </si>
  <si>
    <t xml:space="preserve">ROW313-HS2-MB4                </t>
  </si>
  <si>
    <t xml:space="preserve">DET16D241A          </t>
  </si>
  <si>
    <t>KB3B 16D241A</t>
  </si>
  <si>
    <t xml:space="preserve">ROW454-W4-MB4                 </t>
  </si>
  <si>
    <t>REINF HOD LFT</t>
  </si>
  <si>
    <t>KB3B 16D600A</t>
  </si>
  <si>
    <t xml:space="preserve">ROW95-SR1-MB2                 </t>
  </si>
  <si>
    <t>REINF HOD LFT LH</t>
  </si>
  <si>
    <t>KB3B 16D601A</t>
  </si>
  <si>
    <t xml:space="preserve">ROW88-W4-MB2                  </t>
  </si>
  <si>
    <t xml:space="preserve">DET16E106A          </t>
  </si>
  <si>
    <t>PNL FRT FNDR INR TO RAD SUPT</t>
  </si>
  <si>
    <t>KB3B 16E106 A</t>
  </si>
  <si>
    <t xml:space="preserve">ROW29-W3-MB4                  </t>
  </si>
  <si>
    <t xml:space="preserve">DET16E107A          </t>
  </si>
  <si>
    <t>PNL FRT FNDR INR TO RAD SUT LH</t>
  </si>
  <si>
    <t>KB3B 16E107 A</t>
  </si>
  <si>
    <t xml:space="preserve">ROW28-W3-MB4                  </t>
  </si>
  <si>
    <t xml:space="preserve">DET16E208A          </t>
  </si>
  <si>
    <t>BDY FRT FNDR INR LWR</t>
  </si>
  <si>
    <t>KB3B 16E208A</t>
  </si>
  <si>
    <t xml:space="preserve">ROW 5-W5-MB6                  </t>
  </si>
  <si>
    <t xml:space="preserve">DET16E209A          </t>
  </si>
  <si>
    <t>KB3B 16E209A</t>
  </si>
  <si>
    <t xml:space="preserve">ROW 6-W4-MB6                  </t>
  </si>
  <si>
    <t xml:space="preserve">DET16K006A          </t>
  </si>
  <si>
    <t>BDY FRT FNDR INR</t>
  </si>
  <si>
    <t>KB3B 16K006A</t>
  </si>
  <si>
    <t xml:space="preserve">ROW 7-W5-MB4                  </t>
  </si>
  <si>
    <t xml:space="preserve">DET16K007A          </t>
  </si>
  <si>
    <t>KB3B 16K007A</t>
  </si>
  <si>
    <t xml:space="preserve">ROW 8-W4-MB4                  </t>
  </si>
  <si>
    <t xml:space="preserve">DET17W996APIA01     </t>
  </si>
  <si>
    <t>UPR BMPR SUPPORT BRKT</t>
  </si>
  <si>
    <t>KB3B 17W996 A PIA 01</t>
  </si>
  <si>
    <t xml:space="preserve">ROW147B-PW1-MB4               </t>
  </si>
  <si>
    <t xml:space="preserve">DET21000K60A        </t>
  </si>
  <si>
    <t>REINF BDY RR MTNG</t>
  </si>
  <si>
    <t xml:space="preserve">ROW82A/82B-MIGSUB1-MB2        </t>
  </si>
  <si>
    <t xml:space="preserve">DET2100340A         </t>
  </si>
  <si>
    <t>BRKT BDY FRT MTNG</t>
  </si>
  <si>
    <t>KB3B 2100340A</t>
  </si>
  <si>
    <t xml:space="preserve">ROW52A-W5-MB4                 </t>
  </si>
  <si>
    <t xml:space="preserve">DET2100341A         </t>
  </si>
  <si>
    <t>BRKT BDY FRT MTNG LH</t>
  </si>
  <si>
    <t>KB3B 2100341A</t>
  </si>
  <si>
    <t xml:space="preserve">ROW439-W4-MB4                 </t>
  </si>
  <si>
    <t xml:space="preserve">DET2100374A         </t>
  </si>
  <si>
    <t>KB3B 21286E70 AB</t>
  </si>
  <si>
    <t>EXT BDY FRT PNL UPR</t>
  </si>
  <si>
    <t>KB3B 2100374 A</t>
  </si>
  <si>
    <t xml:space="preserve">ROHS180A-HS6-MB4              </t>
  </si>
  <si>
    <t xml:space="preserve">DET2100375A         </t>
  </si>
  <si>
    <t>KB3B 21286E71 AA</t>
  </si>
  <si>
    <t>KB3B 2100375 A</t>
  </si>
  <si>
    <t xml:space="preserve">ROHS179A-HS6-MB4              </t>
  </si>
  <si>
    <t>BRKT BRK PDL SUPT</t>
  </si>
  <si>
    <t>KB3B 2101530 AA</t>
  </si>
  <si>
    <t xml:space="preserve">ROW444-PW3-MB4                </t>
  </si>
  <si>
    <t xml:space="preserve">DET2102013A         </t>
  </si>
  <si>
    <t>GST CWL SD UPR REINF TO FRT</t>
  </si>
  <si>
    <t>KB3B 2102013A</t>
  </si>
  <si>
    <t xml:space="preserve">ROW97A-W5-MB2                 </t>
  </si>
  <si>
    <t xml:space="preserve">DET2102014A         </t>
  </si>
  <si>
    <t>KB3B 2102014A</t>
  </si>
  <si>
    <t xml:space="preserve">ROW94-W4-MB2                  </t>
  </si>
  <si>
    <t xml:space="preserve">DET2102220MB        </t>
  </si>
  <si>
    <t>MB3B-2102220-AD</t>
  </si>
  <si>
    <t>MB3B 2102220 AD</t>
  </si>
  <si>
    <t xml:space="preserve">DET21022A06A        </t>
  </si>
  <si>
    <t>REINF CWL TOP INR PNL</t>
  </si>
  <si>
    <t>KB3B 21022A06A</t>
  </si>
  <si>
    <t xml:space="preserve">ROW56A-W5-MB4                 </t>
  </si>
  <si>
    <t xml:space="preserve">DET21022A07A        </t>
  </si>
  <si>
    <t>REINF CWL TOP INR PNL LH</t>
  </si>
  <si>
    <t>KB3B 21022A07A</t>
  </si>
  <si>
    <t xml:space="preserve">ROW441-W4-MB4                 </t>
  </si>
  <si>
    <t xml:space="preserve">DET21025A62A        </t>
  </si>
  <si>
    <t>PNL CWL TOP INR RR</t>
  </si>
  <si>
    <t>KB3B 21025A62 A</t>
  </si>
  <si>
    <t xml:space="preserve">ROW419-W1-MB8                 </t>
  </si>
  <si>
    <t xml:space="preserve">DET21025A62MB       </t>
  </si>
  <si>
    <t>MB3B-21021A40-AB</t>
  </si>
  <si>
    <t xml:space="preserve">DET21025A65A        </t>
  </si>
  <si>
    <t>EXT CWL TOP INR PNL</t>
  </si>
  <si>
    <t>KB3B 21025A65 A</t>
  </si>
  <si>
    <t xml:space="preserve">ROW52B-HS4-MB4/400            </t>
  </si>
  <si>
    <t xml:space="preserve">DET21044C30A        </t>
  </si>
  <si>
    <t>BRKT I/PNL TO CWL TOP INR</t>
  </si>
  <si>
    <t>KB3B 21044C30 A</t>
  </si>
  <si>
    <t xml:space="preserve">ROW164-W1-MB2                 </t>
  </si>
  <si>
    <t xml:space="preserve">DET2110032A         </t>
  </si>
  <si>
    <t>BRA FRT FLR REINF</t>
  </si>
  <si>
    <t>KB3B 2110032 A</t>
  </si>
  <si>
    <t xml:space="preserve">ROW415-W19-MB2                </t>
  </si>
  <si>
    <t xml:space="preserve">DET2110117A         </t>
  </si>
  <si>
    <t>KB3B 2110111 AB</t>
  </si>
  <si>
    <t>MBR FLR SD INR LH</t>
  </si>
  <si>
    <t>KB3B 2110117 A</t>
  </si>
  <si>
    <t xml:space="preserve">ROW306-PW2-WB                 </t>
  </si>
  <si>
    <t xml:space="preserve">DET2110130A         </t>
  </si>
  <si>
    <t>KB3B 2110128 AB</t>
  </si>
  <si>
    <t>PNL BDY RKR RH</t>
  </si>
  <si>
    <t>KB3B 2110130 A</t>
  </si>
  <si>
    <t xml:space="preserve">ROW62A-W12-MB4                </t>
  </si>
  <si>
    <t xml:space="preserve">DET2110131A         </t>
  </si>
  <si>
    <t>KB3B 2110129 AB</t>
  </si>
  <si>
    <t>KB3B 2110131 A</t>
  </si>
  <si>
    <t xml:space="preserve">ROW61A-W12-MB8                </t>
  </si>
  <si>
    <t xml:space="preserve">DET21101A67A        </t>
  </si>
  <si>
    <t>GST FRT S/M TO DH MTNG LH</t>
  </si>
  <si>
    <t>KB3B 21101A67 A</t>
  </si>
  <si>
    <t xml:space="preserve">ROW440-W4-MB4                 </t>
  </si>
  <si>
    <t xml:space="preserve">DET2110203A         </t>
  </si>
  <si>
    <t>KB3B 2110693 AF</t>
  </si>
  <si>
    <t>REINF FLR SD FRT MBR</t>
  </si>
  <si>
    <t>KB3B 2110203 A</t>
  </si>
  <si>
    <t xml:space="preserve">ROW152B-W14-MB4               </t>
  </si>
  <si>
    <t xml:space="preserve">DET21104A98A        </t>
  </si>
  <si>
    <t>KB3B 2110110 AB</t>
  </si>
  <si>
    <t>MBR FLR SD CTR</t>
  </si>
  <si>
    <t>KB3B 21104A98 A</t>
  </si>
  <si>
    <t xml:space="preserve">ROW134A-W13-SMF8              </t>
  </si>
  <si>
    <t xml:space="preserve">DET21104A99A        </t>
  </si>
  <si>
    <t>KB3B 21104A99 A</t>
  </si>
  <si>
    <t xml:space="preserve">ROW134B-W13-SMF8              </t>
  </si>
  <si>
    <t xml:space="preserve">DET2110620A         </t>
  </si>
  <si>
    <t>MBR FRT FLR CS CTR INR</t>
  </si>
  <si>
    <t>KB3B 2110620 A</t>
  </si>
  <si>
    <t xml:space="preserve">ROW403/404-W17-MB4            </t>
  </si>
  <si>
    <t xml:space="preserve">DET21106A58A        </t>
  </si>
  <si>
    <t>AB39 21106A58 A</t>
  </si>
  <si>
    <t xml:space="preserve">ROW3B-W2-MB2                  </t>
  </si>
  <si>
    <t xml:space="preserve">DET21106B52A        </t>
  </si>
  <si>
    <t>SL RR FLR CS RR</t>
  </si>
  <si>
    <t>KB3B 21106B52 A</t>
  </si>
  <si>
    <t xml:space="preserve">ROW405-W17-MB6                </t>
  </si>
  <si>
    <t xml:space="preserve">DET2110706A         </t>
  </si>
  <si>
    <t>KB3B 2110706 AA</t>
  </si>
  <si>
    <t xml:space="preserve">ROW37-W2-MB4                  </t>
  </si>
  <si>
    <t xml:space="preserve">DET2110707A         </t>
  </si>
  <si>
    <t>EXT RR FLR CS RR MBR LHR</t>
  </si>
  <si>
    <t>KB3B 2110707 AA</t>
  </si>
  <si>
    <t xml:space="preserve">ROW38-W2-MB4                  </t>
  </si>
  <si>
    <t xml:space="preserve">DET2110766C         </t>
  </si>
  <si>
    <t>KB3B 21106B46 AA</t>
  </si>
  <si>
    <t>MBR CTR FLR CS</t>
  </si>
  <si>
    <t>KB3B 2110766 C</t>
  </si>
  <si>
    <t xml:space="preserve">ROW448-W11-MB4                </t>
  </si>
  <si>
    <t xml:space="preserve">DET2110792A         </t>
  </si>
  <si>
    <t>REINF RR FLR CS RR SL</t>
  </si>
  <si>
    <t>KB3B 2110792 A</t>
  </si>
  <si>
    <t xml:space="preserve">ROW137-W17-MB85               </t>
  </si>
  <si>
    <t xml:space="preserve">DET21107A60A        </t>
  </si>
  <si>
    <t>BRA RR FLR RR C/M</t>
  </si>
  <si>
    <t>KB3B 21107A60 A</t>
  </si>
  <si>
    <t xml:space="preserve">ROW188B-HS8-MB4               </t>
  </si>
  <si>
    <t xml:space="preserve">DET21107K40A        </t>
  </si>
  <si>
    <t>KB3B 21107K40 A</t>
  </si>
  <si>
    <t xml:space="preserve">ROW 50-W2-MB8                 </t>
  </si>
  <si>
    <t xml:space="preserve">DET21108A22A        </t>
  </si>
  <si>
    <t>EXT RR FLR CS INTERM MBR</t>
  </si>
  <si>
    <t>KB3B 21108A22 A</t>
  </si>
  <si>
    <t xml:space="preserve">ROW33-W2-MB4                  </t>
  </si>
  <si>
    <t xml:space="preserve">DET21108A26A        </t>
  </si>
  <si>
    <t>REINF FRT S/M @ FR MTNG</t>
  </si>
  <si>
    <t>KB3B 21108A26A</t>
  </si>
  <si>
    <t xml:space="preserve">ROW58A-W5-MB4                 </t>
  </si>
  <si>
    <t xml:space="preserve">DET21108A27A        </t>
  </si>
  <si>
    <t>REINF FRT S/M @ FR MTNG LH</t>
  </si>
  <si>
    <t>KB3B 21108A27A</t>
  </si>
  <si>
    <t xml:space="preserve">ROW60B-W4-MB4                 </t>
  </si>
  <si>
    <t xml:space="preserve">DET21108A70A        </t>
  </si>
  <si>
    <t>KB3B 21108A70 A</t>
  </si>
  <si>
    <t xml:space="preserve">ROW19-W2-MB6                  </t>
  </si>
  <si>
    <t xml:space="preserve">DET21108A71A        </t>
  </si>
  <si>
    <t>KB3B 21108A71 A</t>
  </si>
  <si>
    <t xml:space="preserve">ROW20-W2-MB6                  </t>
  </si>
  <si>
    <t xml:space="preserve">DET2111150A         </t>
  </si>
  <si>
    <t>KB3B 2111150 AA</t>
  </si>
  <si>
    <t xml:space="preserve">ROW27D-W2-MB4                 </t>
  </si>
  <si>
    <t xml:space="preserve">DET2111151A         </t>
  </si>
  <si>
    <t>KB3B 2111151 AA</t>
  </si>
  <si>
    <t xml:space="preserve">DET21111B94A        </t>
  </si>
  <si>
    <t>AB39 21111B94 A</t>
  </si>
  <si>
    <t xml:space="preserve">ROW2-W2-MB2                   </t>
  </si>
  <si>
    <t xml:space="preserve">DET21111K35A        </t>
  </si>
  <si>
    <t>FILL FLR TNL REINF</t>
  </si>
  <si>
    <t>AB39 2111K35 A</t>
  </si>
  <si>
    <t xml:space="preserve">ROW261D-PW3-MB4               </t>
  </si>
  <si>
    <t xml:space="preserve">DET21111K36A        </t>
  </si>
  <si>
    <t>REINF FLR TNL</t>
  </si>
  <si>
    <t>AB39 21111K36 A</t>
  </si>
  <si>
    <t xml:space="preserve">ROW243A-W10-MB8               </t>
  </si>
  <si>
    <t xml:space="preserve">DET2111218A         </t>
  </si>
  <si>
    <t>KB3B 2111218 AA</t>
  </si>
  <si>
    <t xml:space="preserve">ROW 48-W2-RACK                </t>
  </si>
  <si>
    <t xml:space="preserve">DET2111270A         </t>
  </si>
  <si>
    <t>KB3B 2111270 A</t>
  </si>
  <si>
    <t xml:space="preserve">ROW273B-W10-MB2               </t>
  </si>
  <si>
    <t xml:space="preserve">DET2111271A         </t>
  </si>
  <si>
    <t>REINF FLR TNR</t>
  </si>
  <si>
    <t>KB3B 2111271 A</t>
  </si>
  <si>
    <t xml:space="preserve">ROW172-W10-MB2                </t>
  </si>
  <si>
    <t xml:space="preserve">DET2122078A         </t>
  </si>
  <si>
    <t>REINF DR LK STRKR ANC PLT</t>
  </si>
  <si>
    <t>KB3B 2122078 A</t>
  </si>
  <si>
    <t xml:space="preserve">ROW155-W7-MB2                 </t>
  </si>
  <si>
    <t xml:space="preserve">DET2122079A         </t>
  </si>
  <si>
    <t>KB3B-2124301-AG</t>
  </si>
  <si>
    <t>KB3B 2122079 A</t>
  </si>
  <si>
    <t xml:space="preserve">ROW410-MB2                    </t>
  </si>
  <si>
    <t xml:space="preserve">DET2124644A         </t>
  </si>
  <si>
    <t>REINF RR DR HGE ON BDY</t>
  </si>
  <si>
    <t xml:space="preserve">ROW273A-HS4-MB2               </t>
  </si>
  <si>
    <t xml:space="preserve">DET2124645A         </t>
  </si>
  <si>
    <t>KB3B 2124645 A</t>
  </si>
  <si>
    <t xml:space="preserve">DET21246K43A        </t>
  </si>
  <si>
    <t>REINF BDY SD DR LK STRKR</t>
  </si>
  <si>
    <t>KB3B 21246K43 A</t>
  </si>
  <si>
    <t xml:space="preserve">ROW173B-W7-MB4                </t>
  </si>
  <si>
    <t xml:space="preserve">DET2124770A         </t>
  </si>
  <si>
    <t>REINF RR DR O/S TO I/S PNL</t>
  </si>
  <si>
    <t xml:space="preserve">ROW605-HS3-MB6                </t>
  </si>
  <si>
    <t xml:space="preserve">DET2124771A         </t>
  </si>
  <si>
    <t>KB3B 21247A13 AA</t>
  </si>
  <si>
    <t>REINF RR DR O/S TO I/S PNL LH</t>
  </si>
  <si>
    <t xml:space="preserve">ROW620-HS3-MB6                </t>
  </si>
  <si>
    <t xml:space="preserve">DET2126482A         </t>
  </si>
  <si>
    <t>REINF RR DR LK STRKR ANC PLT</t>
  </si>
  <si>
    <t>KB3B 2216482 A</t>
  </si>
  <si>
    <t xml:space="preserve">ROW42/MB4 4000                </t>
  </si>
  <si>
    <t xml:space="preserve">DET21264B24A        </t>
  </si>
  <si>
    <t>REINF BDY SD RR DR LAT UPR</t>
  </si>
  <si>
    <t>KB3B 21264B24 A</t>
  </si>
  <si>
    <t xml:space="preserve">ROW156-W7-MB2                 </t>
  </si>
  <si>
    <t xml:space="preserve">DET21264B25A        </t>
  </si>
  <si>
    <t>KB3B 21264B25 A</t>
  </si>
  <si>
    <t xml:space="preserve">ROW660-MB2                    </t>
  </si>
  <si>
    <t xml:space="preserve">DET21270A74A        </t>
  </si>
  <si>
    <t>NUT RR DR LK STRKR ANC PLT</t>
  </si>
  <si>
    <t>KB3B 21270A74 A</t>
  </si>
  <si>
    <t xml:space="preserve">ROW27E-PW1-MB2                </t>
  </si>
  <si>
    <t xml:space="preserve">DET21279D59A        </t>
  </si>
  <si>
    <t>REINF ASY P/U BOX T/DWN HK LH</t>
  </si>
  <si>
    <t>KB3B 21279D59A</t>
  </si>
  <si>
    <t xml:space="preserve">ROW68B-HS4-MB4                </t>
  </si>
  <si>
    <t xml:space="preserve">DET21279E12A        </t>
  </si>
  <si>
    <t>SUPT BDY SD PNL TO WHL/HS WR</t>
  </si>
  <si>
    <t>KB3B 21279E12A</t>
  </si>
  <si>
    <t xml:space="preserve">ROW684-W18-MB4                </t>
  </si>
  <si>
    <t xml:space="preserve">DET21280C20A        </t>
  </si>
  <si>
    <t>FILL BDY SD RR CNR PNT RH</t>
  </si>
  <si>
    <t>KB3B 21280C20A</t>
  </si>
  <si>
    <t xml:space="preserve">ROW270-W18-MB2                </t>
  </si>
  <si>
    <t xml:space="preserve">DET21280C21A        </t>
  </si>
  <si>
    <t>FILL BDY SD RR CNR PNT LH</t>
  </si>
  <si>
    <t>KB3B 21280C21A</t>
  </si>
  <si>
    <t xml:space="preserve">DET21280K20A        </t>
  </si>
  <si>
    <t>PLT BDY SD TOP RL ANC</t>
  </si>
  <si>
    <t>JB3B 21280K20 A</t>
  </si>
  <si>
    <t xml:space="preserve">ROW304C-PW5-MB2               </t>
  </si>
  <si>
    <t xml:space="preserve">DET2128566A         </t>
  </si>
  <si>
    <t>BRKT P/U BOX RL CNR FRT</t>
  </si>
  <si>
    <t>KB3B 2128566 A</t>
  </si>
  <si>
    <t xml:space="preserve">ROW449-W11-MB4                </t>
  </si>
  <si>
    <t xml:space="preserve">DET21286A74A        </t>
  </si>
  <si>
    <t>BRKT P/U BOX SD RH</t>
  </si>
  <si>
    <t>KB3B 21286A74A</t>
  </si>
  <si>
    <t xml:space="preserve">ROW81-MB2                     </t>
  </si>
  <si>
    <t xml:space="preserve">DET21286A75A        </t>
  </si>
  <si>
    <t>BRKT P/U BOX SD LH</t>
  </si>
  <si>
    <t>KB3B 21286A75A</t>
  </si>
  <si>
    <t xml:space="preserve">ROW75-MB2                     </t>
  </si>
  <si>
    <t xml:space="preserve">DET21286D46A        </t>
  </si>
  <si>
    <t>PLT LNR P/U BOX FRTPNT RH</t>
  </si>
  <si>
    <t>KB3B 21286D46A</t>
  </si>
  <si>
    <t xml:space="preserve">ROW291-W18-MB2                </t>
  </si>
  <si>
    <t xml:space="preserve">DET21286D46B        </t>
  </si>
  <si>
    <t>PLT LNR P/U BOX FRT RH</t>
  </si>
  <si>
    <t>KB3B 21286D46B</t>
  </si>
  <si>
    <t xml:space="preserve">ROW95-MB2                     </t>
  </si>
  <si>
    <t xml:space="preserve">DET21286D47A        </t>
  </si>
  <si>
    <t>PLT LNR P/U BOX FRTPNT LH</t>
  </si>
  <si>
    <t>KB3B 21286D47A</t>
  </si>
  <si>
    <t xml:space="preserve">ROW290-W18-MB2                </t>
  </si>
  <si>
    <t xml:space="preserve">DET21286D47B        </t>
  </si>
  <si>
    <t>PLT LNR P/U BOX FRT LH</t>
  </si>
  <si>
    <t>KB3B 21286D47B</t>
  </si>
  <si>
    <t xml:space="preserve">ROW88-MB2                     </t>
  </si>
  <si>
    <t xml:space="preserve">DET21286F48A        </t>
  </si>
  <si>
    <t>KB3B 2110610 AC</t>
  </si>
  <si>
    <t>MBR PRTN P/U BOX LWR FRT</t>
  </si>
  <si>
    <t>KB3B 21286F48 A</t>
  </si>
  <si>
    <t xml:space="preserve">ROW57B-W19-MB4                </t>
  </si>
  <si>
    <t xml:space="preserve">DET2140364A         </t>
  </si>
  <si>
    <t>KB3B 21280A54 AF</t>
  </si>
  <si>
    <t>GST RR CNR PLR RH</t>
  </si>
  <si>
    <t xml:space="preserve">ROW688-W18-MB4                </t>
  </si>
  <si>
    <t xml:space="preserve">DET2140365A         </t>
  </si>
  <si>
    <t>GST RR CNR PLR LH</t>
  </si>
  <si>
    <t>KB3B 212365A</t>
  </si>
  <si>
    <t xml:space="preserve">ROW691-W18-MB4                </t>
  </si>
  <si>
    <t xml:space="preserve">DET21403B48A        </t>
  </si>
  <si>
    <t>KB3B 21403E32 AB</t>
  </si>
  <si>
    <t>REINF BK PNL UPR</t>
  </si>
  <si>
    <t>KB3B 21403B48 A</t>
  </si>
  <si>
    <t xml:space="preserve">ROW65B-W15-3-MB6              </t>
  </si>
  <si>
    <t xml:space="preserve">DET21403C96A        </t>
  </si>
  <si>
    <t>MBR BDY RR CS</t>
  </si>
  <si>
    <t>KB3B 21403C96 A</t>
  </si>
  <si>
    <t xml:space="preserve">DET2141022A         </t>
  </si>
  <si>
    <t>PLR ASY RR CNR LWR RH</t>
  </si>
  <si>
    <t>KB3B 2141022A</t>
  </si>
  <si>
    <t xml:space="preserve">ROW150A-HS6-MB4               </t>
  </si>
  <si>
    <t xml:space="preserve">DET2141040A         </t>
  </si>
  <si>
    <t>PLR RR CNR LWR RH</t>
  </si>
  <si>
    <t>KB3B 2141040A</t>
  </si>
  <si>
    <t xml:space="preserve">ROW148A-15-2-MB4              </t>
  </si>
  <si>
    <t>PLR RR CNR LWR LH</t>
  </si>
  <si>
    <t>KB3B 2141041A</t>
  </si>
  <si>
    <t xml:space="preserve">ROW149A-15-2-MB4              </t>
  </si>
  <si>
    <t xml:space="preserve">DET2141056A         </t>
  </si>
  <si>
    <t>REINF RR CNR PNL RH</t>
  </si>
  <si>
    <t>KB3B 2141056A</t>
  </si>
  <si>
    <t xml:space="preserve">ROW296-HS6-MB2                </t>
  </si>
  <si>
    <t xml:space="preserve">DET2141057A         </t>
  </si>
  <si>
    <t>REINF RR CNR PNL LH</t>
  </si>
  <si>
    <t>KB3B 2141057A</t>
  </si>
  <si>
    <t xml:space="preserve">ROW283-W18-MB2                </t>
  </si>
  <si>
    <t xml:space="preserve">DET2141058A         </t>
  </si>
  <si>
    <t>REINF RR CNR OTR PNL LWR RH</t>
  </si>
  <si>
    <t>KB3B 2141058A</t>
  </si>
  <si>
    <t xml:space="preserve">ROW272-W18-MB2                </t>
  </si>
  <si>
    <t xml:space="preserve">DET2141059A         </t>
  </si>
  <si>
    <t>REINF RR CNR OTR PNL LWR LH</t>
  </si>
  <si>
    <t>KB3B 2141059A</t>
  </si>
  <si>
    <t xml:space="preserve">DET21410A22A        </t>
  </si>
  <si>
    <t>KB3B 21410A22 A</t>
  </si>
  <si>
    <t xml:space="preserve">ROW458-MB6                    </t>
  </si>
  <si>
    <t xml:space="preserve">DET21410A23A        </t>
  </si>
  <si>
    <t>KB3B 21410A23 A</t>
  </si>
  <si>
    <t xml:space="preserve">ROW459-MB6                    </t>
  </si>
  <si>
    <t xml:space="preserve">DET21410A76A        </t>
  </si>
  <si>
    <t>REINF RR CNR PLR UPR</t>
  </si>
  <si>
    <t>KB3B 21410A76 A</t>
  </si>
  <si>
    <t xml:space="preserve">ROW83A/83B-W15-1-MB2          </t>
  </si>
  <si>
    <t xml:space="preserve">DET21410A77A        </t>
  </si>
  <si>
    <t>REINF RR CNR PLR UPR LH</t>
  </si>
  <si>
    <t>KB3B 21410A77 A</t>
  </si>
  <si>
    <t xml:space="preserve">ROW84A/84B-W15-1-MB2          </t>
  </si>
  <si>
    <t xml:space="preserve">DET2143488A         </t>
  </si>
  <si>
    <t>PLT TL/GT HE ON BDY ANC</t>
  </si>
  <si>
    <t xml:space="preserve">ROW74-W15-1-MB2               </t>
  </si>
  <si>
    <t xml:space="preserve">DET2143489A         </t>
  </si>
  <si>
    <t>PLT TL/GT HGE ON BDY ANC</t>
  </si>
  <si>
    <t xml:space="preserve">ROW86A-W15-1-MB2              </t>
  </si>
  <si>
    <t xml:space="preserve">DET2150291A         </t>
  </si>
  <si>
    <t>KB3B 21422B64 AB</t>
  </si>
  <si>
    <t>REINF ASY BK WDO HDR</t>
  </si>
  <si>
    <t>KB3B 2150291 A</t>
  </si>
  <si>
    <t xml:space="preserve">DET2150682A         </t>
  </si>
  <si>
    <t>KB3B 2153038 AC</t>
  </si>
  <si>
    <t xml:space="preserve">ROW76-W15-MB2                 </t>
  </si>
  <si>
    <t xml:space="preserve">DET2150683A         </t>
  </si>
  <si>
    <t xml:space="preserve">DET2150844A         </t>
  </si>
  <si>
    <t>KB3B 2153038 AB</t>
  </si>
  <si>
    <t>KB3B 2150844 A</t>
  </si>
  <si>
    <t xml:space="preserve">ROW295-W15-MB2                </t>
  </si>
  <si>
    <t xml:space="preserve">DET2160106A         </t>
  </si>
  <si>
    <t>REINF RR ST BEL ANC TO FLR</t>
  </si>
  <si>
    <t>AB39 2160106 AA</t>
  </si>
  <si>
    <t xml:space="preserve">ROW264-HS8-MB4                </t>
  </si>
  <si>
    <t xml:space="preserve">DET21613E42A        </t>
  </si>
  <si>
    <t>KB3B 21613E42 A</t>
  </si>
  <si>
    <t xml:space="preserve">ROW39-W2-MB4                  </t>
  </si>
  <si>
    <t xml:space="preserve">DET21613G04A        </t>
  </si>
  <si>
    <t>KB3B 21466B00 AB</t>
  </si>
  <si>
    <t>BRKT RR ST BK PNL LWR</t>
  </si>
  <si>
    <t>KB3B 21613G04 A</t>
  </si>
  <si>
    <t xml:space="preserve">ROW163-ROAK-MIGSUB2-SC        </t>
  </si>
  <si>
    <t xml:space="preserve">DET2163914A         </t>
  </si>
  <si>
    <t>BRKT RR ST MTNG</t>
  </si>
  <si>
    <t>AB39 2163914 AA</t>
  </si>
  <si>
    <t xml:space="preserve">ROW3A-W2-MB2                  </t>
  </si>
  <si>
    <t xml:space="preserve">DET25100A42A        </t>
  </si>
  <si>
    <t>BRKT DRT S/M T/DWN</t>
  </si>
  <si>
    <t xml:space="preserve">ROW641-W18-MB2                </t>
  </si>
  <si>
    <t xml:space="preserve">DET25111A58A        </t>
  </si>
  <si>
    <t>GST FLR PAN BDY BLT REINF</t>
  </si>
  <si>
    <t>KB3B 25111A58 A</t>
  </si>
  <si>
    <t xml:space="preserve">ROW416-W19-MB4                </t>
  </si>
  <si>
    <t xml:space="preserve">DET25111A59A        </t>
  </si>
  <si>
    <t>KB3B-2110610-AC</t>
  </si>
  <si>
    <t>KB3B 25111A59 A</t>
  </si>
  <si>
    <t xml:space="preserve">ROW58B-W19-MB4                </t>
  </si>
  <si>
    <t xml:space="preserve">DET2600375A         </t>
  </si>
  <si>
    <t>KB3B 26286E71 AA</t>
  </si>
  <si>
    <t>KB3B 2600375 A</t>
  </si>
  <si>
    <t xml:space="preserve">ROW647-HS6-MB4                </t>
  </si>
  <si>
    <t xml:space="preserve">DET26403B48A        </t>
  </si>
  <si>
    <t xml:space="preserve">ROW460-PW3-MB6                </t>
  </si>
  <si>
    <t xml:space="preserve">DET26405K02A        </t>
  </si>
  <si>
    <t>KB3B 26280A55 AC</t>
  </si>
  <si>
    <t>REINF FU/TNK FILL PIP MTNG</t>
  </si>
  <si>
    <t xml:space="preserve">ROW295-W18-MB6                </t>
  </si>
  <si>
    <t xml:space="preserve">DET26513D21A        </t>
  </si>
  <si>
    <t>KB3B 2651105 AA</t>
  </si>
  <si>
    <t>REINF ASY RF SD RL</t>
  </si>
  <si>
    <t>KB3B 26513D21 A</t>
  </si>
  <si>
    <t xml:space="preserve">ROPW143B-PW4-MB8              </t>
  </si>
  <si>
    <t xml:space="preserve">DET5489A            </t>
  </si>
  <si>
    <t>BRKT ASY TRY BAT</t>
  </si>
  <si>
    <t>KB3B 5489 A</t>
  </si>
  <si>
    <t xml:space="preserve">ROW87-A-W4-MB2                </t>
  </si>
  <si>
    <t xml:space="preserve">DET5B018OS          </t>
  </si>
  <si>
    <t>PLT FR FRT C/M</t>
  </si>
  <si>
    <t xml:space="preserve">ROW-244                       </t>
  </si>
  <si>
    <t xml:space="preserve">DET5R108OS          </t>
  </si>
  <si>
    <t xml:space="preserve">ROW 246-247                   </t>
  </si>
  <si>
    <t xml:space="preserve">DET68419688         </t>
  </si>
  <si>
    <t>WL TRAY BATTERY</t>
  </si>
  <si>
    <t xml:space="preserve">ROW 304  CC71/2000            </t>
  </si>
  <si>
    <t xml:space="preserve">DET68432378         </t>
  </si>
  <si>
    <t>PC.WL68432378</t>
  </si>
  <si>
    <t>WL TRANK STRAP MOUNTING RT</t>
  </si>
  <si>
    <t xml:space="preserve">ROW 280 CC71                  </t>
  </si>
  <si>
    <t xml:space="preserve">DET68432379         </t>
  </si>
  <si>
    <t>PC.WL68432379</t>
  </si>
  <si>
    <t>WL TRANK STRAP MOUNTING LT</t>
  </si>
  <si>
    <t xml:space="preserve">ROW 297 CC71/1200             </t>
  </si>
  <si>
    <t xml:space="preserve">DET68592413         </t>
  </si>
  <si>
    <t>WL BRACKET BATTERY</t>
  </si>
  <si>
    <t xml:space="preserve">ROW 296 CC71/3000             </t>
  </si>
  <si>
    <t xml:space="preserve">DET68612898AB       </t>
  </si>
  <si>
    <t>68612898 AB</t>
  </si>
  <si>
    <t xml:space="preserve">DET68612899AB       </t>
  </si>
  <si>
    <t>68612899 AB</t>
  </si>
  <si>
    <t>68648250 AA</t>
  </si>
  <si>
    <t>LB REINF HATCH LATCH</t>
  </si>
  <si>
    <t xml:space="preserve">ROW 132B                      </t>
  </si>
  <si>
    <t xml:space="preserve">DET6X37PIA1AA       </t>
  </si>
  <si>
    <t>68649037AA</t>
  </si>
  <si>
    <t xml:space="preserve">DET8186A            </t>
  </si>
  <si>
    <t>BRKT RAD GRL PNL END</t>
  </si>
  <si>
    <t>KB3B 8186 AA</t>
  </si>
  <si>
    <t xml:space="preserve">ROW92-W3-MB2                  </t>
  </si>
  <si>
    <t xml:space="preserve">DET8187A            </t>
  </si>
  <si>
    <t>BRKT RAD GRL PNL END LH</t>
  </si>
  <si>
    <t>KB3B 8187 AA</t>
  </si>
  <si>
    <t xml:space="preserve">ROW93-W3-MB2                  </t>
  </si>
  <si>
    <t xml:space="preserve">DET85775609         </t>
  </si>
  <si>
    <t>85775609</t>
  </si>
  <si>
    <t>T1XX 2 LDT FRT MOUNT BRCKT LH</t>
  </si>
  <si>
    <t xml:space="preserve">ROWXXX                        </t>
  </si>
  <si>
    <t xml:space="preserve">XFNGGWS1  </t>
  </si>
  <si>
    <t xml:space="preserve">DET85775610         </t>
  </si>
  <si>
    <t>85775610</t>
  </si>
  <si>
    <t>T1XX 2 LDT FRT MOUNT BRCKT RH</t>
  </si>
  <si>
    <t xml:space="preserve">DET8B054A           </t>
  </si>
  <si>
    <t>GST-RAD SUPT RH</t>
  </si>
  <si>
    <t>KB3B 8B054A</t>
  </si>
  <si>
    <t xml:space="preserve">ROW51A-W5-MB6                 </t>
  </si>
  <si>
    <t xml:space="preserve">DET8B055A           </t>
  </si>
  <si>
    <t>GST-RAD SUPT LH</t>
  </si>
  <si>
    <t>KB3B 8B055A</t>
  </si>
  <si>
    <t xml:space="preserve">ROW437-W4-MB2                 </t>
  </si>
  <si>
    <t xml:space="preserve">DET8B222A           </t>
  </si>
  <si>
    <t>REINF RAD SUPT LWR</t>
  </si>
  <si>
    <t>KB3B 8B222 A</t>
  </si>
  <si>
    <t xml:space="preserve">ROW44-W3-MB8                  </t>
  </si>
  <si>
    <t xml:space="preserve">DET8B236A           </t>
  </si>
  <si>
    <t>REINF ASY FRT FNDR INR BDY</t>
  </si>
  <si>
    <t>KB3B 8B236A</t>
  </si>
  <si>
    <t xml:space="preserve">ROW57A-W5-MB4                 </t>
  </si>
  <si>
    <t xml:space="preserve">DET8B237A           </t>
  </si>
  <si>
    <t>KB3B 8B237A</t>
  </si>
  <si>
    <t xml:space="preserve">ROW442-W4-MB4                 </t>
  </si>
  <si>
    <t xml:space="preserve">DET8B410A           </t>
  </si>
  <si>
    <t>REIF-RD GRL OPG PNL SUP UPR RH</t>
  </si>
  <si>
    <t xml:space="preserve">ROW261B-HS1-MB4               </t>
  </si>
  <si>
    <t xml:space="preserve">DET8B411A           </t>
  </si>
  <si>
    <t>RENF-RD GRL OPG PNL SUP UPR LH</t>
  </si>
  <si>
    <t xml:space="preserve">ROW261C-HS1-MB4               </t>
  </si>
  <si>
    <t xml:space="preserve">DET8B412A           </t>
  </si>
  <si>
    <t>REIN-RD GRL OPG PNL SUP LWR RH</t>
  </si>
  <si>
    <t>KB3B 8B412 A</t>
  </si>
  <si>
    <t xml:space="preserve">ROW32-W3-MB6                  </t>
  </si>
  <si>
    <t xml:space="preserve">DET8B413A           </t>
  </si>
  <si>
    <t>REIF-RD GRL OPG PNL SUP LWR LH</t>
  </si>
  <si>
    <t>KB3B 8B413 A</t>
  </si>
  <si>
    <t xml:space="preserve">ROW31-W3-MB6                  </t>
  </si>
  <si>
    <t xml:space="preserve">DET8C034A           </t>
  </si>
  <si>
    <t>BRKT RAD GRL OPG PNL OTR</t>
  </si>
  <si>
    <t>KB3B 8C034 A</t>
  </si>
  <si>
    <t xml:space="preserve">ROW297-PW5-MB2                </t>
  </si>
  <si>
    <t xml:space="preserve">DET8C347A           </t>
  </si>
  <si>
    <t>REINF-RAD SUPT UPR CTR</t>
  </si>
  <si>
    <t>KB3B 8C347 A</t>
  </si>
  <si>
    <t xml:space="preserve">ROW30-W3-MB4                  </t>
  </si>
  <si>
    <t>N1WB-E280A54-BA</t>
  </si>
  <si>
    <t>P703 REINF FLR SD RR INR MBR</t>
  </si>
  <si>
    <t xml:space="preserve">ROW 72A MB4/500               </t>
  </si>
  <si>
    <t xml:space="preserve">DETE107A60AB        </t>
  </si>
  <si>
    <t>P703 DOUBLER BRACKET RH</t>
  </si>
  <si>
    <t xml:space="preserve">ROW 291  MB2/500              </t>
  </si>
  <si>
    <t xml:space="preserve">DETE107A61AB        </t>
  </si>
  <si>
    <t>P703 DOUBLER BRACKET lH</t>
  </si>
  <si>
    <t xml:space="preserve">ROW 290 MB2/500               </t>
  </si>
  <si>
    <t>P703 BRKT BDY SD STE RR LH</t>
  </si>
  <si>
    <t>N1WB E200L77A</t>
  </si>
  <si>
    <t xml:space="preserve">ROW147B-HS4-MB4               </t>
  </si>
  <si>
    <t>P703 PNL BDY LK PLR</t>
  </si>
  <si>
    <t xml:space="preserve">DETE28562A          </t>
  </si>
  <si>
    <t>P703 RL P/U BOX O/S</t>
  </si>
  <si>
    <t xml:space="preserve">DETE28563A          </t>
  </si>
  <si>
    <t>P703 REINF FU/TNK FILL PIP</t>
  </si>
  <si>
    <t>MTNG</t>
  </si>
  <si>
    <t xml:space="preserve">ROW 264                       </t>
  </si>
  <si>
    <t>N1WB E28252 AC</t>
  </si>
  <si>
    <t>N1WB E28253 AC</t>
  </si>
  <si>
    <t>T1WB E41212 AA</t>
  </si>
  <si>
    <t>P703 BRKT LFT/GT HGE LH</t>
  </si>
  <si>
    <t xml:space="preserve">ROW41-PW1-MB4                 </t>
  </si>
  <si>
    <t>N1WB-E40631-AD</t>
  </si>
  <si>
    <t xml:space="preserve">ROW 403 MB4/400               </t>
  </si>
  <si>
    <t xml:space="preserve">DETFC00ACA56922     </t>
  </si>
  <si>
    <t>FC00ACA56922</t>
  </si>
  <si>
    <t>DT EV FRUNK UPPER SUPPORT</t>
  </si>
  <si>
    <t xml:space="preserve">XVENPW1   </t>
  </si>
  <si>
    <t xml:space="preserve">DETJ266A58          </t>
  </si>
  <si>
    <t>N1WB-J266A58-A</t>
  </si>
  <si>
    <t>P703 BRKT RR DR I/S PL HNDL</t>
  </si>
  <si>
    <t xml:space="preserve">ROW 450 MB2/500               </t>
  </si>
  <si>
    <t xml:space="preserve">DETJ50291           </t>
  </si>
  <si>
    <t>N1WB J422B64 AA</t>
  </si>
  <si>
    <t>P703 REINF ASY BK WDO HDR</t>
  </si>
  <si>
    <t>N1WB J50291 A</t>
  </si>
  <si>
    <t xml:space="preserve">DETPC17210001AB     </t>
  </si>
  <si>
    <t>DETPC17210001AB</t>
  </si>
  <si>
    <t>P702F BEV H BRKT LH</t>
  </si>
  <si>
    <t>STAMPED AS NL34 17B985 AA</t>
  </si>
  <si>
    <t xml:space="preserve">DOCK  GM5131 BIN              </t>
  </si>
  <si>
    <t xml:space="preserve">DETPC17210002AB     </t>
  </si>
  <si>
    <t>DETPC17210002AB</t>
  </si>
  <si>
    <t>P702F BEV H BRKT RH</t>
  </si>
  <si>
    <t>STAMPED AS NL34 17B984 AA</t>
  </si>
  <si>
    <t xml:space="preserve">DOCK -GM5131 BIN              </t>
  </si>
  <si>
    <t xml:space="preserve">MB4/500 ROW 106               </t>
  </si>
  <si>
    <t xml:space="preserve">DPCBEI82086G00R     </t>
  </si>
  <si>
    <t>DPCBEI82086G00R</t>
  </si>
  <si>
    <t>T1XX RR 5K HTCH STAY BKT RH</t>
  </si>
  <si>
    <t xml:space="preserve">DPCBEI82116G00L     </t>
  </si>
  <si>
    <t>DPCBEI82116G00L</t>
  </si>
  <si>
    <t>T1XX RR 5K HTCH STAY BKT LH</t>
  </si>
  <si>
    <t xml:space="preserve">DT.68741516AA       </t>
  </si>
  <si>
    <t>DT.68741516AA</t>
  </si>
  <si>
    <t>DT EV FRUNK LOWER SUPPORT R/L</t>
  </si>
  <si>
    <t xml:space="preserve">DT.68742642AA       </t>
  </si>
  <si>
    <t>DT.68742642AA</t>
  </si>
  <si>
    <t>DT EV LWR SPRT CROSS CAR</t>
  </si>
  <si>
    <t xml:space="preserve">DT.68756922AA       </t>
  </si>
  <si>
    <t>DT.68756922AA</t>
  </si>
  <si>
    <t xml:space="preserve">FC00ACA56922        </t>
  </si>
  <si>
    <t xml:space="preserve">GM85544313-103H     </t>
  </si>
  <si>
    <t>1-11194-0100-001</t>
  </si>
  <si>
    <t xml:space="preserve">GM85544315-103H     </t>
  </si>
  <si>
    <t>1-11195-0100-001</t>
  </si>
  <si>
    <t xml:space="preserve">HB3B 16L556 BA      </t>
  </si>
  <si>
    <t>HB3B-16L556-BA</t>
  </si>
  <si>
    <t>SHLD FRT WHL BMPR SPLS</t>
  </si>
  <si>
    <t xml:space="preserve">HB3B 16L557 BA      </t>
  </si>
  <si>
    <t>HB3B-16L557-BA</t>
  </si>
  <si>
    <t xml:space="preserve">HB3B 2623942 AB3ZHE </t>
  </si>
  <si>
    <t>HB3B-2623942-AB3ZHE</t>
  </si>
  <si>
    <t>PNL ASY FRT DR TR</t>
  </si>
  <si>
    <t>FORTRIS SILVER</t>
  </si>
  <si>
    <t xml:space="preserve">FRD01HRN  </t>
  </si>
  <si>
    <t xml:space="preserve">HB3B 2623943 AB3ZHE </t>
  </si>
  <si>
    <t>HB3B-2623943-AB3ZHE</t>
  </si>
  <si>
    <t>PNL ASY FRT DR TR LH</t>
  </si>
  <si>
    <t xml:space="preserve">KB3B 10732 AC       </t>
  </si>
  <si>
    <t>KB3Z-10732-B</t>
  </si>
  <si>
    <t>SERVICE-SUPPORT BATTERY TRAY</t>
  </si>
  <si>
    <t>W4-DET16C176A+DET5489+DET1076+</t>
  </si>
  <si>
    <t xml:space="preserve">DET16C177                     </t>
  </si>
  <si>
    <t>KB3B-16A598-AA</t>
  </si>
  <si>
    <t>SERVICE-REINF ASY HOD LFT</t>
  </si>
  <si>
    <t>JAYTECH- DET16D600+PCS16C838</t>
  </si>
  <si>
    <t>KB3B-16A599-AA</t>
  </si>
  <si>
    <t>JAYTECH-DET16D601+PCS16C838</t>
  </si>
  <si>
    <t xml:space="preserve">KB3B 16B144 AA      </t>
  </si>
  <si>
    <t>KB3B-16B144-AA</t>
  </si>
  <si>
    <t>W5-OP110+OP120</t>
  </si>
  <si>
    <t>KB3B-16B144-AB</t>
  </si>
  <si>
    <t xml:space="preserve">KB3B 16C117 AA      </t>
  </si>
  <si>
    <t>KB3B-16C117-AA</t>
  </si>
  <si>
    <t>SERVICE-GST FRT FNDR APR RAD</t>
  </si>
  <si>
    <t>DET16C117</t>
  </si>
  <si>
    <t xml:space="preserve">KB3B 16E060 AE      </t>
  </si>
  <si>
    <t>KB3B-16E060-AE</t>
  </si>
  <si>
    <t xml:space="preserve">KB3B 16E060 AF      </t>
  </si>
  <si>
    <t>KB3B-16E060-AF</t>
  </si>
  <si>
    <t xml:space="preserve">KB3B 16E061 AF      </t>
  </si>
  <si>
    <t>KB3B-16E061-AF</t>
  </si>
  <si>
    <t>REINF ASY FRT FNDR INR BDY LH</t>
  </si>
  <si>
    <t xml:space="preserve">KB3B 16E061 AK      </t>
  </si>
  <si>
    <t>KB3B-16E061-AK</t>
  </si>
  <si>
    <t>KB3B-16E214-AC</t>
  </si>
  <si>
    <t>W5-OP220A+OP220B</t>
  </si>
  <si>
    <t xml:space="preserve">KB3B 16L556 AB      </t>
  </si>
  <si>
    <t>KB3B 16L556 AB</t>
  </si>
  <si>
    <t xml:space="preserve">6441                          </t>
  </si>
  <si>
    <t xml:space="preserve">KB3B 16L556 BA      </t>
  </si>
  <si>
    <t>KB3B-16L556-BA</t>
  </si>
  <si>
    <t xml:space="preserve">KB3B 16L557 AB      </t>
  </si>
  <si>
    <t>KB3B 16L557 AB</t>
  </si>
  <si>
    <t xml:space="preserve">KB3B 16L560 AB      </t>
  </si>
  <si>
    <t>KB3B-16L560-AB</t>
  </si>
  <si>
    <t>SHLD RR WHL FRT SPLS</t>
  </si>
  <si>
    <t xml:space="preserve">ROW 83-84                     </t>
  </si>
  <si>
    <t xml:space="preserve">KB3B 17A386 AD      </t>
  </si>
  <si>
    <t>KB3B-17A386-AD</t>
  </si>
  <si>
    <t>CTNR LIC PLT HDW</t>
  </si>
  <si>
    <t xml:space="preserve">KB3B 17W997 AB      </t>
  </si>
  <si>
    <t>KB3B-17W997-AB</t>
  </si>
  <si>
    <t xml:space="preserve">KB3B 2100170 AA     </t>
  </si>
  <si>
    <t>KB3B-2100170-AA</t>
  </si>
  <si>
    <t>REINF ASY BDY FRT CNR PNL</t>
  </si>
  <si>
    <t xml:space="preserve">KB3B 21016A22 AA    </t>
  </si>
  <si>
    <t>KB3B-21016A22-AA</t>
  </si>
  <si>
    <t>REINF D/PNL</t>
  </si>
  <si>
    <t xml:space="preserve">KB3B 21016A23 AA    </t>
  </si>
  <si>
    <t>KB3B-21016A23-AA</t>
  </si>
  <si>
    <t>REINF D/PNL LH</t>
  </si>
  <si>
    <t xml:space="preserve">KB3B 21017B56 BA    </t>
  </si>
  <si>
    <t>KB3B-21017B56-BA</t>
  </si>
  <si>
    <t>P375 BRKT ASY PNL DH</t>
  </si>
  <si>
    <t xml:space="preserve">KB3B 2102018 AB     </t>
  </si>
  <si>
    <t>KB3B-2102018-AB</t>
  </si>
  <si>
    <t>PNL ASY CWL TOP INR</t>
  </si>
  <si>
    <t xml:space="preserve">KB3B 21020A99 AA    </t>
  </si>
  <si>
    <t>KB3B-21020A99-AA</t>
  </si>
  <si>
    <t>BRKT CWL TOP PNL LH</t>
  </si>
  <si>
    <t xml:space="preserve">KB3B 21021A40 AB    </t>
  </si>
  <si>
    <t>KB3B-21021A40-AB</t>
  </si>
  <si>
    <t>PNL ASY CWL TOP IN RR</t>
  </si>
  <si>
    <t xml:space="preserve">KB3B 2102222 AC     </t>
  </si>
  <si>
    <t>KB3B-2102222-AC</t>
  </si>
  <si>
    <t>GRL ASY CWL TOP VEN</t>
  </si>
  <si>
    <t xml:space="preserve">ROW 46-49                     </t>
  </si>
  <si>
    <t xml:space="preserve">KB3B 2102222 AD     </t>
  </si>
  <si>
    <t>KB3B-2102222-AD</t>
  </si>
  <si>
    <t xml:space="preserve">KB3B 2102223 AD     </t>
  </si>
  <si>
    <t>KB3B-2102223-AD</t>
  </si>
  <si>
    <t xml:space="preserve">KB3B 2102349 AC3ZHE </t>
  </si>
  <si>
    <t>KB3B-2102349-AC3ZHE</t>
  </si>
  <si>
    <t>PNL ASY CWL SD TR LH</t>
  </si>
  <si>
    <t xml:space="preserve">ROW 95-97                     </t>
  </si>
  <si>
    <t xml:space="preserve">KB3B 2102349 AD3ZHE </t>
  </si>
  <si>
    <t>KB3B-2102349-AD3ZHE</t>
  </si>
  <si>
    <t xml:space="preserve">KB3B 2102429 AA     </t>
  </si>
  <si>
    <t>KB3B-2102429-AA</t>
  </si>
  <si>
    <t>BRA CWL TOP OTR PNL</t>
  </si>
  <si>
    <t xml:space="preserve">KB3B 2102884 AA     </t>
  </si>
  <si>
    <t>KB3B-2102884-AA</t>
  </si>
  <si>
    <t>REINF ASY CWL SD PNL</t>
  </si>
  <si>
    <t xml:space="preserve">KB3B 2102885 AA     </t>
  </si>
  <si>
    <t>KB3B-2102885-AA</t>
  </si>
  <si>
    <t>REINF ASY CWL SD PNL LH</t>
  </si>
  <si>
    <t>KB3Z-2102885-A</t>
  </si>
  <si>
    <t>SERVICE REINF ASY CWL SD PNL</t>
  </si>
  <si>
    <t>KB3Z 2102885 A</t>
  </si>
  <si>
    <t xml:space="preserve">KB3B 2103512 AD31TB </t>
  </si>
  <si>
    <t>KB3B-2103512-AD31TB</t>
  </si>
  <si>
    <t>MLDG ASY W/SHLD GARN SD</t>
  </si>
  <si>
    <t xml:space="preserve">ROW 54-55                     </t>
  </si>
  <si>
    <t xml:space="preserve">KB3B 2103512 BD31TB </t>
  </si>
  <si>
    <t>KB3B-2103512-BD31TB</t>
  </si>
  <si>
    <t xml:space="preserve">ROW 23                        </t>
  </si>
  <si>
    <t xml:space="preserve">KB3B 2103513 AD31TB </t>
  </si>
  <si>
    <t>KB3B-2103513-AD31TB</t>
  </si>
  <si>
    <t>MLDG ASY W/SHLD GARN SD LH</t>
  </si>
  <si>
    <t xml:space="preserve">ROW 56-57                     </t>
  </si>
  <si>
    <t>KB3B-2103513-BD31TB</t>
  </si>
  <si>
    <t xml:space="preserve">ROW 24                        </t>
  </si>
  <si>
    <t xml:space="preserve">KB3B 2110020 AG     </t>
  </si>
  <si>
    <t>KB3B-2110020-AG</t>
  </si>
  <si>
    <t>FLR ASY RR</t>
  </si>
  <si>
    <t>A13779819</t>
  </si>
  <si>
    <t xml:space="preserve">KB3B 2110110 AB     </t>
  </si>
  <si>
    <t>KB3B-2110110-AB</t>
  </si>
  <si>
    <t>MBR ASY FLR SD INR FRT</t>
  </si>
  <si>
    <t xml:space="preserve">KB3B 2110111 AB     </t>
  </si>
  <si>
    <t>KB3B-2110111-AB</t>
  </si>
  <si>
    <t>MBR ASY FLR SD INR FRT LH</t>
  </si>
  <si>
    <t xml:space="preserve">KB3B 2110111 AC     </t>
  </si>
  <si>
    <t>KB3B-2110111-AC</t>
  </si>
  <si>
    <t xml:space="preserve">KB3B 2110128 AC     </t>
  </si>
  <si>
    <t>KB3B-2110128-AC</t>
  </si>
  <si>
    <t>PNL ASY BDY RKR</t>
  </si>
  <si>
    <t xml:space="preserve">KB3B 2110129 AB     </t>
  </si>
  <si>
    <t>KB3B-2110129-AB</t>
  </si>
  <si>
    <t>PNL ASY  BDY RKR LH</t>
  </si>
  <si>
    <t xml:space="preserve">KB3B 2110608 AC     </t>
  </si>
  <si>
    <t>KB3B-2110608-AC</t>
  </si>
  <si>
    <t>SL ASY RR FLR CS RR</t>
  </si>
  <si>
    <t xml:space="preserve">SMF11/336                     </t>
  </si>
  <si>
    <t xml:space="preserve">KB3B 2110610 AC     </t>
  </si>
  <si>
    <t>SL ASY RR FLR CS FRT</t>
  </si>
  <si>
    <t xml:space="preserve">KB3B 2110662 AD     </t>
  </si>
  <si>
    <t>KB3B-2110662-AC</t>
  </si>
  <si>
    <t>MBR ASY FRT FLR CS #2</t>
  </si>
  <si>
    <t xml:space="preserve">KB3B 2110663 AD     </t>
  </si>
  <si>
    <t>KB3B-2110663-AC</t>
  </si>
  <si>
    <t xml:space="preserve">KB3B 2110680 AC     </t>
  </si>
  <si>
    <t>KB3B-2110680-AC</t>
  </si>
  <si>
    <t>MBR ASY FRT FLR CS #4</t>
  </si>
  <si>
    <t xml:space="preserve">KB3B 2110692 AG     </t>
  </si>
  <si>
    <t>KB3B-2110692-AG</t>
  </si>
  <si>
    <t>MBR ASY FRT FLR CS</t>
  </si>
  <si>
    <t>ALERT A13638285</t>
  </si>
  <si>
    <t xml:space="preserve">KB3B 2110699 AA     </t>
  </si>
  <si>
    <t>KB3B-2110699-AA</t>
  </si>
  <si>
    <t>MBR ASY FRT FLR CS #3 LH</t>
  </si>
  <si>
    <t xml:space="preserve">KB3B 21106B46 AB    </t>
  </si>
  <si>
    <t>KB3B-21106B46-AB</t>
  </si>
  <si>
    <t>SL ASY RR FLR CS CTR</t>
  </si>
  <si>
    <t xml:space="preserve">KB3B 2110780 AC     </t>
  </si>
  <si>
    <t>KB3B-2110780-AC</t>
  </si>
  <si>
    <t>MBR RR FLR CS RR</t>
  </si>
  <si>
    <t xml:space="preserve">KB3B 21107A22 AA    </t>
  </si>
  <si>
    <t>KB3B-21107A22-AA</t>
  </si>
  <si>
    <t>MBR ASY FRT CS @ DH</t>
  </si>
  <si>
    <t xml:space="preserve">KB3B 2110940 AC     </t>
  </si>
  <si>
    <t>KB3B-2110940-AC</t>
  </si>
  <si>
    <t>SL ASY RR FLR CS #3</t>
  </si>
  <si>
    <t xml:space="preserve">KB3B 21111K48 AD    </t>
  </si>
  <si>
    <t>KB3B-21111K48-AD</t>
  </si>
  <si>
    <t>REINF ASY FLR TNL</t>
  </si>
  <si>
    <t>ALERT A13613760</t>
  </si>
  <si>
    <t xml:space="preserve">KB3B 2111434 AB     </t>
  </si>
  <si>
    <t>KB3B-2111434-AB</t>
  </si>
  <si>
    <t>P375 SHLD RR FLR PAN HT RR</t>
  </si>
  <si>
    <t xml:space="preserve">ROW 198                       </t>
  </si>
  <si>
    <t xml:space="preserve">KB3B 2111442 AB     </t>
  </si>
  <si>
    <t>KB3Z 2111442 A</t>
  </si>
  <si>
    <t>P375 SHLD FRT FLR PAN HT</t>
  </si>
  <si>
    <t xml:space="preserve">ROW 200                       </t>
  </si>
  <si>
    <t xml:space="preserve">KB3B 2113200 AD3ZHE </t>
  </si>
  <si>
    <t>KB3B-2113200-AD3ZHE</t>
  </si>
  <si>
    <t>PLT ASY FRT DR SCF</t>
  </si>
  <si>
    <t xml:space="preserve">KB3B 2113201 AD3ZHE </t>
  </si>
  <si>
    <t>KB3B-2113201-AD3ZHE</t>
  </si>
  <si>
    <t>PLT ASY FRT DR SCF LH</t>
  </si>
  <si>
    <t xml:space="preserve">6515                          </t>
  </si>
  <si>
    <t xml:space="preserve">KB3B 2113244 AB3ZHE </t>
  </si>
  <si>
    <t>KB3B-2113244-AB3ZHE</t>
  </si>
  <si>
    <t>PLT ASY RR DR SCF</t>
  </si>
  <si>
    <t xml:space="preserve">6516                          </t>
  </si>
  <si>
    <t xml:space="preserve">KB3B 2113245 AB3ZHE </t>
  </si>
  <si>
    <t>KB3B-2113245-AB3ZHE</t>
  </si>
  <si>
    <t>PLT ASY RR DR SCF LH</t>
  </si>
  <si>
    <t xml:space="preserve">KB3B 2116B010 AC    </t>
  </si>
  <si>
    <t>KB3B-2116B010-AC</t>
  </si>
  <si>
    <t>REINF ASY FRT FNDR UPR RR</t>
  </si>
  <si>
    <t>KB3B 2116G040 AB3ZHE</t>
  </si>
  <si>
    <t>KB3B-2116G040-AB3ZHE</t>
  </si>
  <si>
    <t xml:space="preserve">6535                          </t>
  </si>
  <si>
    <t>KB3B 2116G041 AB3ZHE</t>
  </si>
  <si>
    <t>KB3B-2116G041-AB3ZHE</t>
  </si>
  <si>
    <t xml:space="preserve">KB3B 2120170 AA     </t>
  </si>
  <si>
    <t>KB3B-2120170-AA</t>
  </si>
  <si>
    <t>REINF DR RR FR</t>
  </si>
  <si>
    <t xml:space="preserve">KB3B 2120171 AA     </t>
  </si>
  <si>
    <t>KB3B-2120171-AA</t>
  </si>
  <si>
    <t xml:space="preserve">KB3B 2122868 AA     </t>
  </si>
  <si>
    <t>KB3B-2122868-AA</t>
  </si>
  <si>
    <t>REINF DR HE ON DR</t>
  </si>
  <si>
    <t xml:space="preserve">KB3B 2122869 AA     </t>
  </si>
  <si>
    <t>KB3B-2122869-AA</t>
  </si>
  <si>
    <t xml:space="preserve">KB3B 2123942 BG3ZHE </t>
  </si>
  <si>
    <t>KB3B-2123942-BG3ZHE</t>
  </si>
  <si>
    <t>ASH BLACK, U/S DAR, NO LED</t>
  </si>
  <si>
    <t xml:space="preserve">STAMPEDE FABRIC, UG IP EXT    </t>
  </si>
  <si>
    <t>KB3B-2123942-CG3ZHE</t>
  </si>
  <si>
    <t>KB3B-2123942-EH3ZHE</t>
  </si>
  <si>
    <t>KB3B-2123942-FG3ZHE</t>
  </si>
  <si>
    <t xml:space="preserve">KB3B 2123943 BG3ZHE </t>
  </si>
  <si>
    <t>KB3B-2123943-BG3ZHE</t>
  </si>
  <si>
    <t>KB3B-2123943-CG3ZHE</t>
  </si>
  <si>
    <t>KB3B-2123943-EH31TC</t>
  </si>
  <si>
    <t>KB3B-2123943-FG3ZHE</t>
  </si>
  <si>
    <t xml:space="preserve">KB3B 2123943 GG3ZHE </t>
  </si>
  <si>
    <t>KB3B-2123943-GG3ZHE</t>
  </si>
  <si>
    <t xml:space="preserve">KB3B 2124301 AL     </t>
  </si>
  <si>
    <t>KB3B-2124301-AL</t>
  </si>
  <si>
    <t>PLR ASY CTR BDY LH</t>
  </si>
  <si>
    <t xml:space="preserve">KB3B 21243C02 AC    </t>
  </si>
  <si>
    <t>KB3B-21243C02-AC</t>
  </si>
  <si>
    <t xml:space="preserve">6521                          </t>
  </si>
  <si>
    <t xml:space="preserve">KB3B 21243C03 AC    </t>
  </si>
  <si>
    <t>KB3B-21243C03-AC</t>
  </si>
  <si>
    <t>KB3B 21245A13 AA3ZHE</t>
  </si>
  <si>
    <t>KB3B-21245A13-AA3ZHE</t>
  </si>
  <si>
    <t>P375 C-PILLAR PLUG</t>
  </si>
  <si>
    <t xml:space="preserve">ST26/200 PCS                  </t>
  </si>
  <si>
    <t xml:space="preserve">KB3B 21247A13 AB    </t>
  </si>
  <si>
    <t>KB3B-21247A13-AB</t>
  </si>
  <si>
    <t>REINF ASY BDY SD DR RR LAT</t>
  </si>
  <si>
    <t>ALERT A13617611</t>
  </si>
  <si>
    <t xml:space="preserve">KB3B 2126880 AA     </t>
  </si>
  <si>
    <t>KB3B-2126880-AA</t>
  </si>
  <si>
    <t>REINF RR DR HE LWR</t>
  </si>
  <si>
    <t xml:space="preserve">KB3B 2126881 AA     </t>
  </si>
  <si>
    <t>KB3B-2126881-AA</t>
  </si>
  <si>
    <t>REINF RR DR HE LWR LH</t>
  </si>
  <si>
    <t xml:space="preserve">KB3B 2127406 AG3ZHE </t>
  </si>
  <si>
    <t>KB3B-2127406-AG3ZHE</t>
  </si>
  <si>
    <t>PNL ASY RR DR TR</t>
  </si>
  <si>
    <t xml:space="preserve">KB3B 2127407 AG3ZHE </t>
  </si>
  <si>
    <t>KB3B-2127407-AF3ZHE</t>
  </si>
  <si>
    <t>PNL ASY RR DR TR LH</t>
  </si>
  <si>
    <t xml:space="preserve">KB3B 21277C02 AA    </t>
  </si>
  <si>
    <t>KB3B-21277C02-AA</t>
  </si>
  <si>
    <t>PLT QTR PNL @ FU/FILL OPG</t>
  </si>
  <si>
    <t xml:space="preserve">KB3B 21280A54 AF    </t>
  </si>
  <si>
    <t>KB3B-21280A54-AF</t>
  </si>
  <si>
    <t>PNL ASY BDY SD INR</t>
  </si>
  <si>
    <t xml:space="preserve">KB3B 21280A55 AF    </t>
  </si>
  <si>
    <t>KB3B-21280A55-AF</t>
  </si>
  <si>
    <t>PNL ASY BDY SD INR LH</t>
  </si>
  <si>
    <t xml:space="preserve">KB3B 21286E70 AB    </t>
  </si>
  <si>
    <t>KB3B-21286E70-AB</t>
  </si>
  <si>
    <t>MBR ASY PRTN P/U BOX FRT UPR</t>
  </si>
  <si>
    <t xml:space="preserve">KB3B 21286E71 AB    </t>
  </si>
  <si>
    <t>KB3B-21286E71-AB</t>
  </si>
  <si>
    <t>MBR ASY PRTN P/U BOX FRT UPR L</t>
  </si>
  <si>
    <t xml:space="preserve">KB3B 2129264 AA     </t>
  </si>
  <si>
    <t>KB3B-2129264-AA</t>
  </si>
  <si>
    <t>BRHT BDY SD PNL BRA FRT</t>
  </si>
  <si>
    <t xml:space="preserve">KB3B 2131002 AB3ZHE </t>
  </si>
  <si>
    <t>KB3B-2131002-AB3ZHE</t>
  </si>
  <si>
    <t>PNL ASY QTR TR UPR</t>
  </si>
  <si>
    <t xml:space="preserve">6519                          </t>
  </si>
  <si>
    <t xml:space="preserve">KB3B 2131002 BB3ZHE </t>
  </si>
  <si>
    <t>KB3B-2131002-BB3ZHE</t>
  </si>
  <si>
    <t xml:space="preserve">KB3B 2131003 AB3ZHE </t>
  </si>
  <si>
    <t>KB3B-2131003-AB3ZHE</t>
  </si>
  <si>
    <t>PNL ASY QTR TR UPR LH</t>
  </si>
  <si>
    <t xml:space="preserve">KB3B 2131003 BB3ZHE </t>
  </si>
  <si>
    <t>KB3B-2131003-BB3ZHE</t>
  </si>
  <si>
    <t xml:space="preserve">KB3B 2131006 AE3ZHE </t>
  </si>
  <si>
    <t>KB3B-2131006-AE3ZHE</t>
  </si>
  <si>
    <t>PNL BDY SD RR CNR TR</t>
  </si>
  <si>
    <t xml:space="preserve">ROW 19                        </t>
  </si>
  <si>
    <t xml:space="preserve">KB3B 2131006 AF3ZHE </t>
  </si>
  <si>
    <t>KB3B-2131006-AF3ZHE</t>
  </si>
  <si>
    <t xml:space="preserve">KB3B 2131007 AE3ZHE </t>
  </si>
  <si>
    <t>KB3B-2131007-AE3ZHE</t>
  </si>
  <si>
    <t>PNL BDY SD RR CNR TR LH</t>
  </si>
  <si>
    <t xml:space="preserve">KB3B 2131007 AF3ZHE </t>
  </si>
  <si>
    <t>KB3B-2131007-AF3ZHE</t>
  </si>
  <si>
    <t xml:space="preserve">KB3B 21312A48 AE    </t>
  </si>
  <si>
    <t>KB3B-21312A48-AE</t>
  </si>
  <si>
    <t>BRKT ASY ASST HNDL MTNG</t>
  </si>
  <si>
    <t xml:space="preserve">KB3B 21312A49 AB    </t>
  </si>
  <si>
    <t>KB3B-21312A49-AB</t>
  </si>
  <si>
    <t xml:space="preserve">KB3B 2140338 AA     </t>
  </si>
  <si>
    <t>KB3B-2140338-AA</t>
  </si>
  <si>
    <t>KB3B 21403A86 AB3ZHE</t>
  </si>
  <si>
    <t>KB3B-21403A86-AB3ZHE</t>
  </si>
  <si>
    <t>PNL ASY BK TR UPR</t>
  </si>
  <si>
    <t xml:space="preserve">ROW 26                        </t>
  </si>
  <si>
    <t xml:space="preserve">KB3B 21403E32 AB    </t>
  </si>
  <si>
    <t>KB3B-21403E32-AB</t>
  </si>
  <si>
    <t>REINF ASK BK PNL</t>
  </si>
  <si>
    <t xml:space="preserve">KB3B 21407A00 AB    </t>
  </si>
  <si>
    <t>KB3B-21407A00-AB</t>
  </si>
  <si>
    <t>REINF TL/GT I/S CVR PNL @ BEL</t>
  </si>
  <si>
    <t>KB3B-2141018-AC</t>
  </si>
  <si>
    <t>MLDG LFT/GT O/S</t>
  </si>
  <si>
    <t xml:space="preserve">6436                          </t>
  </si>
  <si>
    <t xml:space="preserve">KB3B 21410A23 AA    </t>
  </si>
  <si>
    <t>KB3B 21410A23 AA</t>
  </si>
  <si>
    <t>P703 GIPRS EXT RR CNR UPR INR</t>
  </si>
  <si>
    <t>PLR</t>
  </si>
  <si>
    <t>PRT</t>
  </si>
  <si>
    <t xml:space="preserve">KB3B 21410A66 AC    </t>
  </si>
  <si>
    <t>KB3B-21410A66-AC</t>
  </si>
  <si>
    <t>FILL ASY RR CNR PLR</t>
  </si>
  <si>
    <t xml:space="preserve">KB3B 21442A68 AB    </t>
  </si>
  <si>
    <t>KB3B-21442A68-AB</t>
  </si>
  <si>
    <t>SHLD ASY P/U BOX</t>
  </si>
  <si>
    <t xml:space="preserve">KB3B 2146140 AC3ZHE </t>
  </si>
  <si>
    <t>KB3B-2146140-AC3ZHE</t>
  </si>
  <si>
    <t>DR ASY STWG CMPT</t>
  </si>
  <si>
    <t xml:space="preserve">6536                          </t>
  </si>
  <si>
    <t xml:space="preserve">KB3B 2146141 AD3ZHE </t>
  </si>
  <si>
    <t>KB3B-2146141-AD3ZHE</t>
  </si>
  <si>
    <t>DR ASY STWG CMPT LH</t>
  </si>
  <si>
    <t xml:space="preserve">KB3B 21466B00 AD    </t>
  </si>
  <si>
    <t>KB3B-21466B00-AD</t>
  </si>
  <si>
    <t>BRKT ASY CHLD ST</t>
  </si>
  <si>
    <t>KB3B 21519C38 AC3ZHE</t>
  </si>
  <si>
    <t>KB3B-21519C38-AC3ZHE</t>
  </si>
  <si>
    <t>CVR ASY RF TR PNL @ RR DR STRK</t>
  </si>
  <si>
    <t xml:space="preserve">6522                          </t>
  </si>
  <si>
    <t>KB3B 21519C39 AC3ZHE</t>
  </si>
  <si>
    <t>KB3B-21519C39-AC3ZHE</t>
  </si>
  <si>
    <t xml:space="preserve">KB3B 2153038 AC     </t>
  </si>
  <si>
    <t>KB3B-2153038-AC</t>
  </si>
  <si>
    <t>BOW ASY F/TOP #1</t>
  </si>
  <si>
    <t xml:space="preserve">KB3B 237W24 AB3ZHE  </t>
  </si>
  <si>
    <t>KB3B-237W24-AB3ZHE</t>
  </si>
  <si>
    <t>CVC SC FRT DR TR PNL</t>
  </si>
  <si>
    <t xml:space="preserve">22666                         </t>
  </si>
  <si>
    <t xml:space="preserve">KB3B 237W25 AB3ZHE  </t>
  </si>
  <si>
    <t>KB3B-237W25-AB3ZHE</t>
  </si>
  <si>
    <t>CVR SC FRT DR TR PNL</t>
  </si>
  <si>
    <t xml:space="preserve">KB3B 2610020 AF     </t>
  </si>
  <si>
    <t>KB3B-2610020-AF</t>
  </si>
  <si>
    <t>ALERT A13613790</t>
  </si>
  <si>
    <t xml:space="preserve">KB3B 2610020 AH     </t>
  </si>
  <si>
    <t>KB3B-2610020-AH</t>
  </si>
  <si>
    <t>P375 FLR ASY RR</t>
  </si>
  <si>
    <t xml:space="preserve">KB3B 2610110 AB     </t>
  </si>
  <si>
    <t>KB3B-2610110-AB</t>
  </si>
  <si>
    <t xml:space="preserve">KB3B 2610110 AC     </t>
  </si>
  <si>
    <t>KB3B-2610110-AC</t>
  </si>
  <si>
    <t xml:space="preserve">KB3B 2610111 AC     </t>
  </si>
  <si>
    <t>KB3B-2610111-AC</t>
  </si>
  <si>
    <t xml:space="preserve">KB3B 2610128 AD     </t>
  </si>
  <si>
    <t>KB3B-2610128-AD</t>
  </si>
  <si>
    <t xml:space="preserve">KB3B 2610128 AE     </t>
  </si>
  <si>
    <t>KB3B-2610128-AE</t>
  </si>
  <si>
    <t xml:space="preserve">KB3B 2610129 AD     </t>
  </si>
  <si>
    <t>KB3B-2610129-AD</t>
  </si>
  <si>
    <t>PNL ASY BDY RKR LH</t>
  </si>
  <si>
    <t xml:space="preserve">KB3B 2610610 AD     </t>
  </si>
  <si>
    <t>KB3B-2610610-AD</t>
  </si>
  <si>
    <t xml:space="preserve">KB3B 2611434 AA     </t>
  </si>
  <si>
    <t>KB3B-2611434-AA</t>
  </si>
  <si>
    <t>SHLD RR FLR PAN HT RR</t>
  </si>
  <si>
    <t xml:space="preserve">ROW 199                       </t>
  </si>
  <si>
    <t xml:space="preserve">KB3B 2613244 AF3ZHE </t>
  </si>
  <si>
    <t>KB3B-2613244-AF3ZHE</t>
  </si>
  <si>
    <t xml:space="preserve">6533                          </t>
  </si>
  <si>
    <t xml:space="preserve">KB3B 2613245 AF3ZHE </t>
  </si>
  <si>
    <t>KB3B-2613245-AF3ZHE</t>
  </si>
  <si>
    <t xml:space="preserve">KB3B 2616G040 AEW   </t>
  </si>
  <si>
    <t>KB3B-2616G040-AEW</t>
  </si>
  <si>
    <t>P703 GIPRS STWG FRT FLR RR</t>
  </si>
  <si>
    <t xml:space="preserve">ROW 64-66                     </t>
  </si>
  <si>
    <t xml:space="preserve">KB3B 2616G041 AEW   </t>
  </si>
  <si>
    <t>KB3B-2616G041-AEW</t>
  </si>
  <si>
    <t>P703 GIPRS STWG FRT FLR RR LH</t>
  </si>
  <si>
    <t xml:space="preserve">ROW 67-69                     </t>
  </si>
  <si>
    <t xml:space="preserve">KB3B 2622642 AC3ZHE </t>
  </si>
  <si>
    <t>KB3B-2622642-AC3ZHE</t>
  </si>
  <si>
    <t>CVR DR I/S HNDL</t>
  </si>
  <si>
    <t xml:space="preserve">6461                          </t>
  </si>
  <si>
    <t xml:space="preserve">KB3B 2622643 AC3ZHE </t>
  </si>
  <si>
    <t>KB3B-2622643-AC3ZHE</t>
  </si>
  <si>
    <t>KB3B-2623942-CG31TC</t>
  </si>
  <si>
    <t>P375 PNL ASY FRT DR TR</t>
  </si>
  <si>
    <t xml:space="preserve">6445                          </t>
  </si>
  <si>
    <t>KB3B-2623942-CG3ZHE</t>
  </si>
  <si>
    <t xml:space="preserve">KB3B 2623942 EH31TC </t>
  </si>
  <si>
    <t>KB3B-2623942-EH31TC</t>
  </si>
  <si>
    <t xml:space="preserve">KB3B 2623942 EH3ZHE </t>
  </si>
  <si>
    <t>KB3B-2623942-EH3ZHE</t>
  </si>
  <si>
    <t>KB3B-2623942-GF3ZHE</t>
  </si>
  <si>
    <t xml:space="preserve">KB3B 2623942 HB3ZHE </t>
  </si>
  <si>
    <t>KB3B-2623942-HB3ZHE</t>
  </si>
  <si>
    <t>KB3B-2623942-JB3ZHE</t>
  </si>
  <si>
    <t>KB3B-2623943-CG31TC</t>
  </si>
  <si>
    <t>P375 PNL ASY FRT DR TR LH</t>
  </si>
  <si>
    <t xml:space="preserve">KB3B 2623943 CG3ZHE </t>
  </si>
  <si>
    <t>KB3B-2623943-CG3ZHE</t>
  </si>
  <si>
    <t xml:space="preserve">KB3B 2623943 EH31TC </t>
  </si>
  <si>
    <t>KB3B-2623943-EH31TC</t>
  </si>
  <si>
    <t>KB3B-2623943-EH3ZHE</t>
  </si>
  <si>
    <t xml:space="preserve">KB3B 2623943 FF3ZHE </t>
  </si>
  <si>
    <t>KB3B-2623943-FF3ZHE</t>
  </si>
  <si>
    <t>KB3B-2623943-HB3ZHE</t>
  </si>
  <si>
    <t>KB3B-2623943-JB3ZHE</t>
  </si>
  <si>
    <t xml:space="preserve">KB3B 2624396 AD31TB </t>
  </si>
  <si>
    <t>KB3B-2624396-AD31TB</t>
  </si>
  <si>
    <t>PNL ASY CTR BDY PLR I/S FIN UP</t>
  </si>
  <si>
    <t xml:space="preserve">6530                          </t>
  </si>
  <si>
    <t xml:space="preserve">KB3B 2624397 AD31TB </t>
  </si>
  <si>
    <t>KB3B-2624397-AD31TB</t>
  </si>
  <si>
    <t>KB3B 26243A52 AD3ZHE</t>
  </si>
  <si>
    <t>KB3B-26243A52-AD3ZHE</t>
  </si>
  <si>
    <t>PNL ASY CTR BDY PLR I/S FIN</t>
  </si>
  <si>
    <t xml:space="preserve">6531                          </t>
  </si>
  <si>
    <t>KB3B 26243A53 AD3ZHE</t>
  </si>
  <si>
    <t>KB3B-26243A53-AD3ZHE</t>
  </si>
  <si>
    <t>PNL ASY CTR BDY PLR I/S FIN LH</t>
  </si>
  <si>
    <t xml:space="preserve">KB3B 2624592 AC3ZHE </t>
  </si>
  <si>
    <t>KB3B-2624592-AC3ZHE</t>
  </si>
  <si>
    <t>CVR CTR BDY PLR CTR</t>
  </si>
  <si>
    <t xml:space="preserve">ROW 58-59                     </t>
  </si>
  <si>
    <t xml:space="preserve">KB3B 2626290 AA     </t>
  </si>
  <si>
    <t>KB3B-2626290-AA</t>
  </si>
  <si>
    <t>REINF RR DR WDO FR</t>
  </si>
  <si>
    <t xml:space="preserve">KB3B 2626291 AA     </t>
  </si>
  <si>
    <t>KB3B-2626291-AA</t>
  </si>
  <si>
    <t>REINF RR DR WDO FR LH</t>
  </si>
  <si>
    <t xml:space="preserve">KB3B 26268A04 AA    </t>
  </si>
  <si>
    <t>KB3B-26268A04-AA</t>
  </si>
  <si>
    <t>REINF ASY RR DR HGE</t>
  </si>
  <si>
    <t xml:space="preserve">KB3B 26268A05 AA    </t>
  </si>
  <si>
    <t>KB3B-26268A05-AA</t>
  </si>
  <si>
    <t xml:space="preserve">KB3B 2627406 CD3ZHE </t>
  </si>
  <si>
    <t>KB3B-2627406-CD3ZHE</t>
  </si>
  <si>
    <t>P375 PNL ASY RR DR TR</t>
  </si>
  <si>
    <t>KB3B-2627406-CE31TC</t>
  </si>
  <si>
    <t xml:space="preserve">KB3B 2627406 DD3ZHE </t>
  </si>
  <si>
    <t>KB3B-2627406-DD3ZHE</t>
  </si>
  <si>
    <t>KB3B-2627406-DE3ZHE</t>
  </si>
  <si>
    <t>KB3B-2627406-FE3ZHE</t>
  </si>
  <si>
    <t xml:space="preserve">KB3B 2627407 CE31TC </t>
  </si>
  <si>
    <t>KB3B-2627407-CE31TC</t>
  </si>
  <si>
    <t>KB3B-2627407-CE3ZHE</t>
  </si>
  <si>
    <t xml:space="preserve">KB3B 2627407 DE3ZHE </t>
  </si>
  <si>
    <t>KB3B-2627407-DE3ZHE</t>
  </si>
  <si>
    <t xml:space="preserve">6450                          </t>
  </si>
  <si>
    <t xml:space="preserve">KB3B 2627407 DG31TC </t>
  </si>
  <si>
    <t>KB3B-2627407-DG31TC</t>
  </si>
  <si>
    <t>P375 PNL ASY RR DR TR LH</t>
  </si>
  <si>
    <t xml:space="preserve">KB3B 2627407 DG3ZHE </t>
  </si>
  <si>
    <t>KB3B-2627407-DG3ZHE</t>
  </si>
  <si>
    <t xml:space="preserve">KB3B 26280A54 AE    </t>
  </si>
  <si>
    <t>KB3B-26280A54-AE</t>
  </si>
  <si>
    <t xml:space="preserve">KB3B 26280A55 AH    </t>
  </si>
  <si>
    <t>KB3B-26280A55-AH</t>
  </si>
  <si>
    <t xml:space="preserve">KB3B 2628252 AE     </t>
  </si>
  <si>
    <t>KB3B-2628252-AE</t>
  </si>
  <si>
    <t>PNL ASY BDY SD RR</t>
  </si>
  <si>
    <t xml:space="preserve">KB3B 26286E70 AA    </t>
  </si>
  <si>
    <t>KB3B-26286E70-AA</t>
  </si>
  <si>
    <t xml:space="preserve">KB3B 26286E71 AA    </t>
  </si>
  <si>
    <t>KB3B-26286E71-AA</t>
  </si>
  <si>
    <t xml:space="preserve">KB3B 2631002 AB3ZHE </t>
  </si>
  <si>
    <t>KB3B-2631002-AB3ZHE</t>
  </si>
  <si>
    <t xml:space="preserve">KB3B 2631002 BC3ZHE </t>
  </si>
  <si>
    <t>KB3B-2631002-BC3ZHE</t>
  </si>
  <si>
    <t xml:space="preserve">6532                          </t>
  </si>
  <si>
    <t xml:space="preserve">KB3B 2631003 AB3ZHE </t>
  </si>
  <si>
    <t>KB3B-2631003-AB3ZHE</t>
  </si>
  <si>
    <t xml:space="preserve">KB3B 2631003 BB3ZHE </t>
  </si>
  <si>
    <t>KB3B-2631003-BB3ZHE</t>
  </si>
  <si>
    <t xml:space="preserve">KB3B 2631003 BC3ZHE </t>
  </si>
  <si>
    <t>KB3B-2631003-BC3ZHE</t>
  </si>
  <si>
    <t xml:space="preserve">KB3B 2631006 AH3ZHE </t>
  </si>
  <si>
    <t>KB3B-2631006-AH3ZHE</t>
  </si>
  <si>
    <t xml:space="preserve">ROW 9-13                      </t>
  </si>
  <si>
    <t xml:space="preserve">KB3B 2631007 AG3ZHE </t>
  </si>
  <si>
    <t>KB3B-2631007-AG3ZHE</t>
  </si>
  <si>
    <t xml:space="preserve">ROW 14-18                     </t>
  </si>
  <si>
    <t xml:space="preserve">KB3B 2631007 AH3ZHE </t>
  </si>
  <si>
    <t>KB3B-2631007-AH3ZHE</t>
  </si>
  <si>
    <t>KB3B-2631056-AE3ZHE</t>
  </si>
  <si>
    <t>CVR BDY SD TR PNL LWR</t>
  </si>
  <si>
    <t>KB3B-2631057-AE3ZHE</t>
  </si>
  <si>
    <t>CVR BDY SD TR PNL LWR LH</t>
  </si>
  <si>
    <t>KB3B 26403A86 AF3ZHE</t>
  </si>
  <si>
    <t>KB3B-26403A86-AF3ZHE</t>
  </si>
  <si>
    <t xml:space="preserve">ROW 30-31                     </t>
  </si>
  <si>
    <t xml:space="preserve">KB3B 26403E32 AD    </t>
  </si>
  <si>
    <t>KB3B-26403E32-AD</t>
  </si>
  <si>
    <t>REINF ASY BK PNL</t>
  </si>
  <si>
    <t>ALERT A13613770</t>
  </si>
  <si>
    <t xml:space="preserve">KB3B 26403E32 AE    </t>
  </si>
  <si>
    <t>KB3B-26403E32-AE</t>
  </si>
  <si>
    <t>KB3B-26454W66-AA</t>
  </si>
  <si>
    <t xml:space="preserve">KB3B 2651104 AA     </t>
  </si>
  <si>
    <t>KB3B-2651104-AA</t>
  </si>
  <si>
    <t>RL ASY RR RF SD INR</t>
  </si>
  <si>
    <t xml:space="preserve">KB3B 2651105 AA     </t>
  </si>
  <si>
    <t>KB3B-2651105-AA</t>
  </si>
  <si>
    <t>RL ASY  RR RF SD INR</t>
  </si>
  <si>
    <t xml:space="preserve">KB3B 28344 AA       </t>
  </si>
  <si>
    <t>KB3B-28344-AA</t>
  </si>
  <si>
    <t>SHLD ASY RR WHL SPLS</t>
  </si>
  <si>
    <t xml:space="preserve">ROW 34-35                     </t>
  </si>
  <si>
    <t xml:space="preserve">KB3B 2L624 AA       </t>
  </si>
  <si>
    <t>KB3B-2L624-AA</t>
  </si>
  <si>
    <t>REINF P/BRK MTNG</t>
  </si>
  <si>
    <t xml:space="preserve">KB3B 5A273 AA       </t>
  </si>
  <si>
    <t>KB3B-5A273-AA</t>
  </si>
  <si>
    <t>SHLD ASY-MFLR HT</t>
  </si>
  <si>
    <t xml:space="preserve">ROW 205                       </t>
  </si>
  <si>
    <t xml:space="preserve">KB3C 5B018 AA       </t>
  </si>
  <si>
    <t>KB3C-5B018-AA</t>
  </si>
  <si>
    <t xml:space="preserve">KB3C 7E063 AA       </t>
  </si>
  <si>
    <t>KB3C-7E063-AA</t>
  </si>
  <si>
    <t>TRNSF CSE SKD</t>
  </si>
  <si>
    <t xml:space="preserve">KB3Z 10732 B        </t>
  </si>
  <si>
    <t>KB3Z 10732 B</t>
  </si>
  <si>
    <t>SUPPORT BATTERY TRAY</t>
  </si>
  <si>
    <t xml:space="preserve">KB3Z 16138 B        </t>
  </si>
  <si>
    <t>KB3Z-16138-B</t>
  </si>
  <si>
    <t xml:space="preserve">KB3Z 16A298 A       </t>
  </si>
  <si>
    <t>REINF ASY HOD LFT</t>
  </si>
  <si>
    <t xml:space="preserve">KB3Z 16A298 B       </t>
  </si>
  <si>
    <t>REINF ASY HOD LFT LH</t>
  </si>
  <si>
    <t xml:space="preserve">KB3Z 16B145 A       </t>
  </si>
  <si>
    <t>KB3Z-16B145-A</t>
  </si>
  <si>
    <t>REINF ASY FRT FNDR SUPT INR LH</t>
  </si>
  <si>
    <t xml:space="preserve">KB3Z 16E214 A       </t>
  </si>
  <si>
    <t>REINF ASY FRT FNDR SUPT INR</t>
  </si>
  <si>
    <t xml:space="preserve">KB3Z 16E215 A       </t>
  </si>
  <si>
    <t>W4-OP220A+OP220B</t>
  </si>
  <si>
    <t xml:space="preserve">KB3Z 16K006 A       </t>
  </si>
  <si>
    <t>BDY ASY FRT FNDR INR</t>
  </si>
  <si>
    <t xml:space="preserve">KB3Z 16K007 A       </t>
  </si>
  <si>
    <t>KB3B-16B145-AB</t>
  </si>
  <si>
    <t>BDY ASY FRT FNDR INR LH</t>
  </si>
  <si>
    <t xml:space="preserve">KB3Z 2103410 A      </t>
  </si>
  <si>
    <t>KB3Z-2103410-A</t>
  </si>
  <si>
    <t>PNL W/SHLD HDR INR</t>
  </si>
  <si>
    <t xml:space="preserve">KB3Z 2113209 AA     </t>
  </si>
  <si>
    <t>KB3Z-2113209-AA</t>
  </si>
  <si>
    <t xml:space="preserve">M2DB 16E166 AF      </t>
  </si>
  <si>
    <t>M2DB-16E166-AF</t>
  </si>
  <si>
    <t>U725 UPPER AGS NO-CAPABLE A</t>
  </si>
  <si>
    <t xml:space="preserve">M2DB 17E810 BAW     </t>
  </si>
  <si>
    <t>M2DB-17E810-BAW</t>
  </si>
  <si>
    <t xml:space="preserve">ST96A/21 ROW                  </t>
  </si>
  <si>
    <t xml:space="preserve">M2DB 17E810 CBW     </t>
  </si>
  <si>
    <t>M2DB-17E810-CBW</t>
  </si>
  <si>
    <t xml:space="preserve">M2DB 17E810 GCW     </t>
  </si>
  <si>
    <t>M2DB-17E810-GCW</t>
  </si>
  <si>
    <t xml:space="preserve">M2DB 17E811 BAW     </t>
  </si>
  <si>
    <t>M2DB-17E811-BAW</t>
  </si>
  <si>
    <t>M2DB-17E811-CA5YZ9</t>
  </si>
  <si>
    <t xml:space="preserve">M2DB 17E811 CBW     </t>
  </si>
  <si>
    <t>M2DB-17E811-CBW</t>
  </si>
  <si>
    <t xml:space="preserve">M2DB 17E811 GCW     </t>
  </si>
  <si>
    <t>M2DB-17E811-GCW</t>
  </si>
  <si>
    <t>U725 BMPR ASY FRT</t>
  </si>
  <si>
    <t xml:space="preserve">ABC0101   </t>
  </si>
  <si>
    <t xml:space="preserve">SMF6/104  ROW 315             </t>
  </si>
  <si>
    <t>U725 BRKT STRUT TL GTT</t>
  </si>
  <si>
    <t xml:space="preserve">ST26/30                       </t>
  </si>
  <si>
    <t xml:space="preserve">M2DB S502D12 AD     </t>
  </si>
  <si>
    <t>M2DB-S502D12-AD</t>
  </si>
  <si>
    <t xml:space="preserve">M2DB X200B39 AB     </t>
  </si>
  <si>
    <t xml:space="preserve">M2DZ 16138 C        </t>
  </si>
  <si>
    <t>M2DZ-16138-C</t>
  </si>
  <si>
    <t>U725 UPPER AGS CPA/NO CPA</t>
  </si>
  <si>
    <t>SERVICE M2DB 16E166 SC NO-SEAL</t>
  </si>
  <si>
    <t xml:space="preserve">M2DZ 17E811 BA      </t>
  </si>
  <si>
    <t xml:space="preserve">M2DZ 17E811 GA      </t>
  </si>
  <si>
    <t>M2DZ 17E811 GA</t>
  </si>
  <si>
    <t xml:space="preserve">BOX FR SILL &amp; HINGE 32 X 13.5 </t>
  </si>
  <si>
    <t xml:space="preserve">MB3B 2102038 AF     </t>
  </si>
  <si>
    <t>MB3B 2102038 AF</t>
  </si>
  <si>
    <t xml:space="preserve">MB3B 21021A40 AD    </t>
  </si>
  <si>
    <t>MB3B-21021A40-AD</t>
  </si>
  <si>
    <t xml:space="preserve">MB3B 2610020 AA04   </t>
  </si>
  <si>
    <t>MB3B 2610020 AA04</t>
  </si>
  <si>
    <t>MB3B 2610020 AC</t>
  </si>
  <si>
    <t xml:space="preserve">ST39/50  ROW 604              </t>
  </si>
  <si>
    <t xml:space="preserve">MB3G 6C038 DC       </t>
  </si>
  <si>
    <t>MB3G-6C038-DC</t>
  </si>
  <si>
    <t>U725 SHLD ENG MT HT</t>
  </si>
  <si>
    <t xml:space="preserve">ST39/120  ROW 662             </t>
  </si>
  <si>
    <t xml:space="preserve">FRD01027  </t>
  </si>
  <si>
    <t>MLD16E166APIA04</t>
  </si>
  <si>
    <t>AGS VANE MEDIUM</t>
  </si>
  <si>
    <t>MLD16E166APIA08</t>
  </si>
  <si>
    <t>AGS VANE SHORT RH</t>
  </si>
  <si>
    <t>MLD16E166APIA09</t>
  </si>
  <si>
    <t>AGS VANE SHORT LH</t>
  </si>
  <si>
    <t>MLD16E166APIA11</t>
  </si>
  <si>
    <t>VANE LINK LH SHORT</t>
  </si>
  <si>
    <t>MLD16E166APIA12</t>
  </si>
  <si>
    <t>VANE LINK RH SHORT</t>
  </si>
  <si>
    <t>NB3V-16E166-ZA</t>
  </si>
  <si>
    <t>U725 WARTHOG REAR SEAL</t>
  </si>
  <si>
    <t xml:space="preserve">MLD16L558AB         </t>
  </si>
  <si>
    <t>KB3B 16L558</t>
  </si>
  <si>
    <t xml:space="preserve">6428                          </t>
  </si>
  <si>
    <t>N1WB-16L558-D</t>
  </si>
  <si>
    <t>P703 RR WHL SPLASH SHLD RR RH</t>
  </si>
  <si>
    <t>N1WB-16L559-D</t>
  </si>
  <si>
    <t>P703 RR WHL SPLASH SHLD RR LH</t>
  </si>
  <si>
    <t xml:space="preserve">MLD16L560AB         </t>
  </si>
  <si>
    <t>KB3B 16L560</t>
  </si>
  <si>
    <t>N1WB-16L560-D</t>
  </si>
  <si>
    <t xml:space="preserve">MLD16L561AB         </t>
  </si>
  <si>
    <t>KB3B 16L561</t>
  </si>
  <si>
    <t>N1WB-16L561-D</t>
  </si>
  <si>
    <t xml:space="preserve">MLD17230600BA       </t>
  </si>
  <si>
    <t>MLD17230600BA</t>
  </si>
  <si>
    <t>P702 BEV SEAL OTR RH (17626)</t>
  </si>
  <si>
    <t xml:space="preserve">ION01002  </t>
  </si>
  <si>
    <t xml:space="preserve">MLD17230601BA       </t>
  </si>
  <si>
    <t>MLD17230601BA</t>
  </si>
  <si>
    <t>P702 BEV SEAL OTR LH  (17627)</t>
  </si>
  <si>
    <t>NL34 17627 BA</t>
  </si>
  <si>
    <t>KB3B 17A386</t>
  </si>
  <si>
    <t>N1WB-17C790-G</t>
  </si>
  <si>
    <t>P703 REDBACK SUPPORT RH</t>
  </si>
  <si>
    <t>N1WB-17C791-G</t>
  </si>
  <si>
    <t>P703 REDBACK SUPPORT LH</t>
  </si>
  <si>
    <t>N1WB-17D550-CAW</t>
  </si>
  <si>
    <t>P703 RAIN SENSOR TOP COVER</t>
  </si>
  <si>
    <t>N1WB-17D568-CAW</t>
  </si>
  <si>
    <t>P703 RAIN SENSOR BOTTOM</t>
  </si>
  <si>
    <t>N1WB 17D698 AAW</t>
  </si>
  <si>
    <t>P703 MIRROR SAIL RH</t>
  </si>
  <si>
    <t>N1WB 17D699 AAW</t>
  </si>
  <si>
    <t>P703 MIRROR SAIL LH</t>
  </si>
  <si>
    <t>MLD17E810BA</t>
  </si>
  <si>
    <t>U725 BUMPERETTE</t>
  </si>
  <si>
    <t xml:space="preserve">SB31WIP/50 ROW 166            </t>
  </si>
  <si>
    <t xml:space="preserve">MLD2102349AC        </t>
  </si>
  <si>
    <t>KB3B 2102349</t>
  </si>
  <si>
    <t xml:space="preserve">MLD2113200AC        </t>
  </si>
  <si>
    <t>KB3B 2113200</t>
  </si>
  <si>
    <t xml:space="preserve">MLD2113201AC        </t>
  </si>
  <si>
    <t>KB3B 2113201</t>
  </si>
  <si>
    <t xml:space="preserve">MLD2123942SUB00     </t>
  </si>
  <si>
    <t>KB3B 2123942</t>
  </si>
  <si>
    <t>FRT DR SUB RAP RH</t>
  </si>
  <si>
    <t xml:space="preserve">6443                          </t>
  </si>
  <si>
    <t xml:space="preserve">MLD2127406INR00     </t>
  </si>
  <si>
    <t>KB3B 2127406</t>
  </si>
  <si>
    <t>RR DR INR POCKET RAP RH</t>
  </si>
  <si>
    <t xml:space="preserve">72                            </t>
  </si>
  <si>
    <t xml:space="preserve">MLD2127406PC00      </t>
  </si>
  <si>
    <t>RR DR RAP PULL CUP RH</t>
  </si>
  <si>
    <t xml:space="preserve">6456 6459                     </t>
  </si>
  <si>
    <t xml:space="preserve">MLD2127406SUB00     </t>
  </si>
  <si>
    <t>KB3B 2127406 AF3ZHE</t>
  </si>
  <si>
    <t>RR DR SUB RAP RH</t>
  </si>
  <si>
    <t xml:space="preserve">6447                          </t>
  </si>
  <si>
    <t xml:space="preserve">MLD2127407INR00     </t>
  </si>
  <si>
    <t>KB3B 2127407</t>
  </si>
  <si>
    <t>RR DR INR POCKET RAP LH</t>
  </si>
  <si>
    <t xml:space="preserve">73                            </t>
  </si>
  <si>
    <t xml:space="preserve">MLD2127407PC00      </t>
  </si>
  <si>
    <t>RR DR RAP PULL CUP LH</t>
  </si>
  <si>
    <t xml:space="preserve">6459                          </t>
  </si>
  <si>
    <t xml:space="preserve">MLD2127407SUB00     </t>
  </si>
  <si>
    <t>KB3B 2127407 AF3ZHE</t>
  </si>
  <si>
    <t>RR DR SUB RAP LH</t>
  </si>
  <si>
    <t xml:space="preserve">6448                          </t>
  </si>
  <si>
    <t xml:space="preserve">MLD2131003AB        </t>
  </si>
  <si>
    <t>KB3B 2131003</t>
  </si>
  <si>
    <t xml:space="preserve">ROW 22                        </t>
  </si>
  <si>
    <t xml:space="preserve">MLD21519C39APIA02   </t>
  </si>
  <si>
    <t>KB3B 21519C39</t>
  </si>
  <si>
    <t>STRIKER COVER PLATE LH</t>
  </si>
  <si>
    <t>21745</t>
  </si>
  <si>
    <t xml:space="preserve">ROW 88                        </t>
  </si>
  <si>
    <t xml:space="preserve">MLD2613244AC        </t>
  </si>
  <si>
    <t>KB3B 2613244</t>
  </si>
  <si>
    <t xml:space="preserve">MLD2613245AC        </t>
  </si>
  <si>
    <t>KB3B 2613245</t>
  </si>
  <si>
    <t>KB3B 2616G040</t>
  </si>
  <si>
    <t>KB3B 2616G041</t>
  </si>
  <si>
    <t xml:space="preserve">MLD2623942BOL00     </t>
  </si>
  <si>
    <t>KB3B 2123942/2623942</t>
  </si>
  <si>
    <t>FRT DR IMPACT BOLSTER RH</t>
  </si>
  <si>
    <t xml:space="preserve">MLD2623942GH00      </t>
  </si>
  <si>
    <t>FRT DR GRAB HANDLE RH</t>
  </si>
  <si>
    <t xml:space="preserve">MLD2623942MAP00     </t>
  </si>
  <si>
    <t>FRT DR MAP POCKET RH</t>
  </si>
  <si>
    <t xml:space="preserve">MLD2623942SUB00     </t>
  </si>
  <si>
    <t>KB3B 2623942</t>
  </si>
  <si>
    <t>FRT DR SUB DBL RH</t>
  </si>
  <si>
    <t xml:space="preserve">MLD2624396APIA02    </t>
  </si>
  <si>
    <t>KB3B 2624396</t>
  </si>
  <si>
    <t>B PILLAR UPR SUPPORT PLATE RH</t>
  </si>
  <si>
    <t xml:space="preserve">ROW 75                        </t>
  </si>
  <si>
    <t xml:space="preserve">MLD2624397APIA02    </t>
  </si>
  <si>
    <t>KB3B 2624397</t>
  </si>
  <si>
    <t>B PILLAR UPR SUPPORT PLATE LH</t>
  </si>
  <si>
    <t xml:space="preserve">ROW 76                        </t>
  </si>
  <si>
    <t xml:space="preserve">MLD2627406GH00      </t>
  </si>
  <si>
    <t>KB3B 2627406</t>
  </si>
  <si>
    <t>RR DR GRAB HANDLE RH</t>
  </si>
  <si>
    <t xml:space="preserve">6456                          </t>
  </si>
  <si>
    <t xml:space="preserve">MLD2627406MAP00     </t>
  </si>
  <si>
    <t>RR DR MAP POCKET RH</t>
  </si>
  <si>
    <t xml:space="preserve">ROW 123                       </t>
  </si>
  <si>
    <t xml:space="preserve">MLD2627406SUB00     </t>
  </si>
  <si>
    <t>RR DR SUB DBL RH</t>
  </si>
  <si>
    <t xml:space="preserve">6449                          </t>
  </si>
  <si>
    <t xml:space="preserve">MLD2627407GH00      </t>
  </si>
  <si>
    <t>KB3B 2627407</t>
  </si>
  <si>
    <t>RR DR GRAB HANDLE LH</t>
  </si>
  <si>
    <t xml:space="preserve">MLD2627407MAP00     </t>
  </si>
  <si>
    <t>RR DR MAP POCKET LH</t>
  </si>
  <si>
    <t xml:space="preserve">ROW 122                       </t>
  </si>
  <si>
    <t xml:space="preserve">MLD2627407SUB00     </t>
  </si>
  <si>
    <t>RR DR SUB DBL LH</t>
  </si>
  <si>
    <t xml:space="preserve">MLD2631002AB        </t>
  </si>
  <si>
    <t>KB3B 2631002</t>
  </si>
  <si>
    <t xml:space="preserve">MLD2631003AB        </t>
  </si>
  <si>
    <t>KB3B 2631003</t>
  </si>
  <si>
    <t xml:space="preserve">MLD2631006AD        </t>
  </si>
  <si>
    <t>KB3B 2631006</t>
  </si>
  <si>
    <t xml:space="preserve">MLD2631007AD        </t>
  </si>
  <si>
    <t>KB3B 2631007</t>
  </si>
  <si>
    <t>MLD56030001AB</t>
  </si>
  <si>
    <t>DT MCA CENTER BRACKET SERVICE</t>
  </si>
  <si>
    <t xml:space="preserve">ION01001  </t>
  </si>
  <si>
    <t xml:space="preserve">MLD68443493AA       </t>
  </si>
  <si>
    <t>68443493AA</t>
  </si>
  <si>
    <t>TRX CENTER SUPPORT BRACKET</t>
  </si>
  <si>
    <t>68451020AA</t>
  </si>
  <si>
    <t>SERVICE SUPPORT BRACKET</t>
  </si>
  <si>
    <t xml:space="preserve">6131                          </t>
  </si>
  <si>
    <t>68566341AA</t>
  </si>
  <si>
    <t>BRACKET-CTR RR BEAM</t>
  </si>
  <si>
    <t xml:space="preserve">MLD85154942         </t>
  </si>
  <si>
    <t>85154942</t>
  </si>
  <si>
    <t>BT1CC DOGHOUSE LH</t>
  </si>
  <si>
    <t xml:space="preserve">TOOL # 36817                  </t>
  </si>
  <si>
    <t xml:space="preserve">MLD85154943         </t>
  </si>
  <si>
    <t>85154943</t>
  </si>
  <si>
    <t>BT1CC DOGHOUSE RH</t>
  </si>
  <si>
    <t>N1WB-8C291-CA</t>
  </si>
  <si>
    <t>P703 MODESTY PANEL CENTER</t>
  </si>
  <si>
    <t xml:space="preserve">34166                         </t>
  </si>
  <si>
    <t>85154947</t>
  </si>
  <si>
    <t>BT1CC HEADLINER BACKPLATE RH</t>
  </si>
  <si>
    <t xml:space="preserve">TOOL # 36819                  </t>
  </si>
  <si>
    <t>85131245</t>
  </si>
  <si>
    <t>MIC- C PILLAR LWR LH-SUB</t>
  </si>
  <si>
    <t>85132150</t>
  </si>
  <si>
    <t>BT1CC SILL PLATE GMC LH</t>
  </si>
  <si>
    <t xml:space="preserve">TOOL # 36806                  </t>
  </si>
  <si>
    <t>85132151</t>
  </si>
  <si>
    <t>MIC - FRONT SILL GARNISH RH</t>
  </si>
  <si>
    <t>REFINE</t>
  </si>
  <si>
    <t>85132159</t>
  </si>
  <si>
    <t>BT1CC B-PILLAR UPR SUB LH</t>
  </si>
  <si>
    <t xml:space="preserve">TOOL # 36808                  </t>
  </si>
  <si>
    <t>BT1CC B-PILLAR UPR SUB RH</t>
  </si>
  <si>
    <t>85154946</t>
  </si>
  <si>
    <t>BT1CC HEADLINER BACKPLATE LH</t>
  </si>
  <si>
    <t>BEE86204</t>
  </si>
  <si>
    <t>BT1CC HEADLINER BACK COVER LH</t>
  </si>
  <si>
    <t>85156441</t>
  </si>
  <si>
    <t>MIC - REAR WDO UPR</t>
  </si>
  <si>
    <t>VALUE</t>
  </si>
  <si>
    <t xml:space="preserve">TOOL # 36813                  </t>
  </si>
  <si>
    <t xml:space="preserve">TOOL # 36807                  </t>
  </si>
  <si>
    <t xml:space="preserve">MLDBEI35635         </t>
  </si>
  <si>
    <t>MIC - BUTTON B-PLLR UPR LH</t>
  </si>
  <si>
    <t xml:space="preserve">TOOL # 37958                  </t>
  </si>
  <si>
    <t xml:space="preserve">MLDBEI35638         </t>
  </si>
  <si>
    <t>85132160</t>
  </si>
  <si>
    <t>MIC - BUTTON B-PLLR UPR RH</t>
  </si>
  <si>
    <t>BT1CC 40% DIVIDER FRT PLATE</t>
  </si>
  <si>
    <t xml:space="preserve">MLDBEI41215         </t>
  </si>
  <si>
    <t>W/SUB</t>
  </si>
  <si>
    <t xml:space="preserve">TOOL# 38821                   </t>
  </si>
  <si>
    <t>86533221</t>
  </si>
  <si>
    <t>BT1CC STORAGE BIN W/S RST</t>
  </si>
  <si>
    <t>PRESS 2500</t>
  </si>
  <si>
    <t xml:space="preserve">TOOL # 39070                  </t>
  </si>
  <si>
    <t xml:space="preserve">MLDBEI79107         </t>
  </si>
  <si>
    <t>86533226</t>
  </si>
  <si>
    <t>BT1CC MINI BIN BUCKET</t>
  </si>
  <si>
    <t xml:space="preserve">TOOL # 39080                  </t>
  </si>
  <si>
    <t xml:space="preserve">MLDBEJ06896         </t>
  </si>
  <si>
    <t>BT1CC 40% DIVIDER BACK PLATE</t>
  </si>
  <si>
    <t>BT1CC A-Pillar Base LH -</t>
  </si>
  <si>
    <t>Value/Refine</t>
  </si>
  <si>
    <t xml:space="preserve">TOOL # 39155                  </t>
  </si>
  <si>
    <t>BT1CC A-Pillar Base RH -</t>
  </si>
  <si>
    <t>N1WB-E03512-DAW</t>
  </si>
  <si>
    <t>N1WB-E03513-A-PIA-01</t>
  </si>
  <si>
    <t>P703 A PLR UPR RH SUMMIT GREY</t>
  </si>
  <si>
    <t>N1WB-E03512-A-PIA-01</t>
  </si>
  <si>
    <t>P703 A PLR UPR RH</t>
  </si>
  <si>
    <t>P703 A PLR UPR LH SUMMIT GREY</t>
  </si>
  <si>
    <t>P703 A PLR UPR LH</t>
  </si>
  <si>
    <t xml:space="preserve">MLDE23942APIA30MIC  </t>
  </si>
  <si>
    <t>ST95 DOOR LINE MARKET PLACE</t>
  </si>
  <si>
    <t xml:space="preserve">45606                         </t>
  </si>
  <si>
    <t>N1WB-E23942-A-PIA-32</t>
  </si>
  <si>
    <t xml:space="preserve">MLDE23943-F         </t>
  </si>
  <si>
    <t>N1WB-E23942-F-PIA-02</t>
  </si>
  <si>
    <t>P703 FRT INSERT SUB LH</t>
  </si>
  <si>
    <t xml:space="preserve">34016/BOLSTER                 </t>
  </si>
  <si>
    <t xml:space="preserve">MLDE23943APIA48     </t>
  </si>
  <si>
    <t>N1WB-E23943-A-PIA-48</t>
  </si>
  <si>
    <t>N1WB-E23943-A-PIA-50</t>
  </si>
  <si>
    <t>N1WB-E24396-CAW</t>
  </si>
  <si>
    <t>P703 B PILLAR UPPER RH</t>
  </si>
  <si>
    <t>N1WB-E24396-CA31NB</t>
  </si>
  <si>
    <t>P703 B PLR UPR RH SUMMIT GREY</t>
  </si>
  <si>
    <t>N1WB-E24397-CAW</t>
  </si>
  <si>
    <t>P703 B PILLAR UPPER LH</t>
  </si>
  <si>
    <t>N1WB-E24397-CA31NB</t>
  </si>
  <si>
    <t>P703 B PLR UPR LH SUMMIT GREY</t>
  </si>
  <si>
    <t>N1WB-E243A52-EAW</t>
  </si>
  <si>
    <t>P703 B PILLAR LOWER RH</t>
  </si>
  <si>
    <t>N1WB-E243A53-EAW</t>
  </si>
  <si>
    <t>P703 B PILLAR LOWER LH</t>
  </si>
  <si>
    <t>N1WB E24592 CAW PIA 01</t>
  </si>
  <si>
    <t>N1WB-E27406-RAW/UAW/SAW</t>
  </si>
  <si>
    <t>P703 RR REINFORCEMENT BKT RH</t>
  </si>
  <si>
    <t>N1WB E27407 B PIA 02</t>
  </si>
  <si>
    <t>P703 REAR DBL MAP POCKET LH</t>
  </si>
  <si>
    <t>N1WB-E291A18-PIA-01</t>
  </si>
  <si>
    <t>P703 TAILGATE</t>
  </si>
  <si>
    <t>N1WB-E291A34-AA</t>
  </si>
  <si>
    <t>P703 BOX TOP SUPER CAB DBL RH</t>
  </si>
  <si>
    <t>R1WB-E291A34-AA</t>
  </si>
  <si>
    <t>N1WB-E291A35-AA</t>
  </si>
  <si>
    <t>P703 BOX TOP SUPER CAB DBL LH</t>
  </si>
  <si>
    <t>R1WB-E291A35-AA</t>
  </si>
  <si>
    <t>N1WB-E31002-CAW/DAW</t>
  </si>
  <si>
    <t>P703 C PILLAR UPPER RH/DBL</t>
  </si>
  <si>
    <t>N1WB-E31003-CAW/DAW</t>
  </si>
  <si>
    <t>P703 C PILLAR UPPER LH/DBL</t>
  </si>
  <si>
    <t>N1WB-E31007-EAW</t>
  </si>
  <si>
    <t>P703 C PILLAR LOWER LH/DBL</t>
  </si>
  <si>
    <t xml:space="preserve">32658                         </t>
  </si>
  <si>
    <t>N1WB-E403A86-HAW</t>
  </si>
  <si>
    <t>R1WB E41018 CAW</t>
  </si>
  <si>
    <t>P703 TAILGATE R1WB</t>
  </si>
  <si>
    <t xml:space="preserve">N1WB 14A563 KDW     </t>
  </si>
  <si>
    <t>N1WB 14A563 KDW</t>
  </si>
  <si>
    <t xml:space="preserve">N1WB 14A564 SDW     </t>
  </si>
  <si>
    <t xml:space="preserve">N1WB 14A564 VDW     </t>
  </si>
  <si>
    <t>N1WB 14A564 VDW</t>
  </si>
  <si>
    <t xml:space="preserve">N1WB 14A567 BEW     </t>
  </si>
  <si>
    <t>N1WB 14A567 BEW</t>
  </si>
  <si>
    <t xml:space="preserve">N1WB 14A568 BEW     </t>
  </si>
  <si>
    <t>N1WB 14A568 BEW</t>
  </si>
  <si>
    <t xml:space="preserve">N1WB 16L556 AA      </t>
  </si>
  <si>
    <t>N1WB-16L556-AA</t>
  </si>
  <si>
    <t>P703 SORB COVER RH</t>
  </si>
  <si>
    <t xml:space="preserve">38486                         </t>
  </si>
  <si>
    <t xml:space="preserve">N1WB 16L557 AA      </t>
  </si>
  <si>
    <t>N1WB-16L557-AA</t>
  </si>
  <si>
    <t>P703 SORB COVER LH</t>
  </si>
  <si>
    <t xml:space="preserve">N1WB 16L558 FA      </t>
  </si>
  <si>
    <t>N1WB-16L558-FA</t>
  </si>
  <si>
    <t>P703 REAR SPL SHI RAP RH</t>
  </si>
  <si>
    <t xml:space="preserve">N1WB 16L558 FB      </t>
  </si>
  <si>
    <t>N1WB-16L558-FB</t>
  </si>
  <si>
    <t>N1WB-16L559-DB</t>
  </si>
  <si>
    <t>P703 REAR SPLA SHIELD LH</t>
  </si>
  <si>
    <t>N1WB-16L559-FB</t>
  </si>
  <si>
    <t>P703 REAR SPL SHI RAP LH</t>
  </si>
  <si>
    <t xml:space="preserve">N1WB 16L560 FA      </t>
  </si>
  <si>
    <t>N1WB-16L560-FA</t>
  </si>
  <si>
    <t xml:space="preserve">N1WB 16L560 FB      </t>
  </si>
  <si>
    <t>N1WB-16L560-FC</t>
  </si>
  <si>
    <t>N1WB-16L561-DC</t>
  </si>
  <si>
    <t>N1WB-16L561-FB</t>
  </si>
  <si>
    <t>N1WB-17C790-GA</t>
  </si>
  <si>
    <t>P703 REDBACK SUPT BRKT RH</t>
  </si>
  <si>
    <t xml:space="preserve">N1WB 17D568 EE3JA6  </t>
  </si>
  <si>
    <t>N1WB 17D568 EE3JA6</t>
  </si>
  <si>
    <t xml:space="preserve">N1WB 17D568 EFW     </t>
  </si>
  <si>
    <t>N1WB 17D568 EFW</t>
  </si>
  <si>
    <t>N1WB 17D698 AD3ZHE</t>
  </si>
  <si>
    <t xml:space="preserve">N1WB 17D698 ADW     </t>
  </si>
  <si>
    <t>N1WB 17D698 ADW</t>
  </si>
  <si>
    <t xml:space="preserve">N1WB 17D699 ADW     </t>
  </si>
  <si>
    <t xml:space="preserve">N1WB 8C291 CD       </t>
  </si>
  <si>
    <t>N1WB 8C291 CD.</t>
  </si>
  <si>
    <t>P703 BEAUTY SHIELD</t>
  </si>
  <si>
    <t xml:space="preserve">N1WB 9G924 AA       </t>
  </si>
  <si>
    <t>N1WB-9G924-AA</t>
  </si>
  <si>
    <t>P703 GIPRS CVR SNS CR</t>
  </si>
  <si>
    <t xml:space="preserve">N1WB E03512 DEW     </t>
  </si>
  <si>
    <t>N1WB E03512 DEW</t>
  </si>
  <si>
    <t xml:space="preserve">N1WB E03512 EEW     </t>
  </si>
  <si>
    <t>N1WB E03512 EEW</t>
  </si>
  <si>
    <t>N1WB E03513 DG31NB</t>
  </si>
  <si>
    <t xml:space="preserve">N1WB E03513 DGW     </t>
  </si>
  <si>
    <t>N1WB E03513 DGW</t>
  </si>
  <si>
    <t xml:space="preserve">N1WB E03513 DHW     </t>
  </si>
  <si>
    <t>N1WB E03513 DHW</t>
  </si>
  <si>
    <t>N1WB E03513 EG31NB</t>
  </si>
  <si>
    <t>N1WB E03513 EG3ZHE</t>
  </si>
  <si>
    <t xml:space="preserve">N1WB E03513 EGW     </t>
  </si>
  <si>
    <t>N1WB E03513 EGW</t>
  </si>
  <si>
    <t xml:space="preserve">N1WB E03513 EHW     </t>
  </si>
  <si>
    <t>N1WB E03513 EHW</t>
  </si>
  <si>
    <t>GPIRS</t>
  </si>
  <si>
    <t xml:space="preserve">N1WB E13200 DAW     </t>
  </si>
  <si>
    <t xml:space="preserve">N1WB E13201 DAW     </t>
  </si>
  <si>
    <t xml:space="preserve">N1WB E23942 BJ1G1C  </t>
  </si>
  <si>
    <t>N1WB-E23942-BJ1G1C</t>
  </si>
  <si>
    <t>N1WB-E23942-BJ1G1E</t>
  </si>
  <si>
    <t xml:space="preserve">N1WB E23942 BJ3LU4  </t>
  </si>
  <si>
    <t>N1WB-E23942-BJ3LU4</t>
  </si>
  <si>
    <t xml:space="preserve">N1WB E23942 BKW     </t>
  </si>
  <si>
    <t>N1WB-E23942-BKW</t>
  </si>
  <si>
    <t>N1WB-E23942-BL1G1E</t>
  </si>
  <si>
    <t>N1WB-E23942-BL3LU4</t>
  </si>
  <si>
    <t xml:space="preserve">N1WB E23942 HFW     </t>
  </si>
  <si>
    <t>N1WB-E23942-HFW</t>
  </si>
  <si>
    <t>N1WB-E23942-SE1G1E</t>
  </si>
  <si>
    <t xml:space="preserve">N1WB E23942 SE3LU4  </t>
  </si>
  <si>
    <t>N1WB-E23942-SE3LU4</t>
  </si>
  <si>
    <t xml:space="preserve">N1WB E23942 SFW     </t>
  </si>
  <si>
    <t>N1WB-E23942-SFW</t>
  </si>
  <si>
    <t xml:space="preserve">N1WB E23942 TH1G1C  </t>
  </si>
  <si>
    <t>N1WB-E23942-TH1G1C</t>
  </si>
  <si>
    <t xml:space="preserve">N1WB E23942 TJ1G1C  </t>
  </si>
  <si>
    <t>N1WB-E23942-TJ1G1C</t>
  </si>
  <si>
    <t xml:space="preserve">N1WB E23942 TKW     </t>
  </si>
  <si>
    <t>N1WB-E23942-TKW</t>
  </si>
  <si>
    <t>N1WB-E23942-TL1G1C</t>
  </si>
  <si>
    <t xml:space="preserve">N1WB E23943 KJ1G1E  </t>
  </si>
  <si>
    <t>N1WB-E23943-KJ1G1E</t>
  </si>
  <si>
    <t>N1WB-E23943-KK1G1C</t>
  </si>
  <si>
    <t>N1WB-E23943-KK1G1E</t>
  </si>
  <si>
    <t xml:space="preserve">N1WB E23943 KK3LU4  </t>
  </si>
  <si>
    <t>N1WB-E23943-KK3LU4</t>
  </si>
  <si>
    <t xml:space="preserve">N1WB E23943 KLW     </t>
  </si>
  <si>
    <t>N1WB-E23943-KLW</t>
  </si>
  <si>
    <t>N1WB-E23943-KM1G1E</t>
  </si>
  <si>
    <t>N1WB-E23943-KM3LU4</t>
  </si>
  <si>
    <t xml:space="preserve">N1WB E23943 UFW     </t>
  </si>
  <si>
    <t>N1WB-E23943-UFW</t>
  </si>
  <si>
    <t>N1WB-E23943-VD1G1E</t>
  </si>
  <si>
    <t xml:space="preserve">N1WB E23943 VFW     </t>
  </si>
  <si>
    <t>N1WB-E23943-VFW</t>
  </si>
  <si>
    <t xml:space="preserve">N1WB E23943 YF1G1C  </t>
  </si>
  <si>
    <t>N1WB-E23943-YF1G1C</t>
  </si>
  <si>
    <t>EBONY TERRA SUEDE / S.SMOOTH</t>
  </si>
  <si>
    <t xml:space="preserve">N1WB E23943 YJ1G1C  </t>
  </si>
  <si>
    <t>N1WB-E23943-YJ1G1C</t>
  </si>
  <si>
    <t xml:space="preserve">N1WB E23943 YK1G1C  </t>
  </si>
  <si>
    <t>N1WB-E23943-YK1G1C</t>
  </si>
  <si>
    <t xml:space="preserve">N1WB E23943 YLW     </t>
  </si>
  <si>
    <t>N1WB-E23943-YLW</t>
  </si>
  <si>
    <t>N1WB-E23943-YM1G1C</t>
  </si>
  <si>
    <t xml:space="preserve">N1WB E24396 CAW     </t>
  </si>
  <si>
    <t>P703 GIPRS</t>
  </si>
  <si>
    <t xml:space="preserve">N1WB E24396 CAW-01  </t>
  </si>
  <si>
    <t xml:space="preserve">N1WB E24397 CAW     </t>
  </si>
  <si>
    <t xml:space="preserve">N1WB E24397 CAW-01  </t>
  </si>
  <si>
    <t xml:space="preserve">N1WB E243A52 EDW    </t>
  </si>
  <si>
    <t>N1WB E243A52 EDW</t>
  </si>
  <si>
    <t xml:space="preserve">N1WB E243A53 EDW    </t>
  </si>
  <si>
    <t>N1WB E243A53 EDW</t>
  </si>
  <si>
    <t xml:space="preserve">N1WB E24592 CBW     </t>
  </si>
  <si>
    <t>N1WB-E24592-CBW</t>
  </si>
  <si>
    <t>P703 GIPRS CVR CTR BDY PLR CTR</t>
  </si>
  <si>
    <t xml:space="preserve">N1WB E245A22 AAW    </t>
  </si>
  <si>
    <t>N1WB-E245A22-AAW</t>
  </si>
  <si>
    <t>P703 GIPRS BLZ CTR BDY PLR CTR</t>
  </si>
  <si>
    <t xml:space="preserve">N1WB E245A22 AB3ZHE </t>
  </si>
  <si>
    <t>N1WB E245A22 AB3ZHE</t>
  </si>
  <si>
    <t xml:space="preserve">N1WB E27406 CLW     </t>
  </si>
  <si>
    <t>N1WB-E27406-CLW</t>
  </si>
  <si>
    <t xml:space="preserve">N1WB E27406 RL1G1C  </t>
  </si>
  <si>
    <t>N1WB-E27406-RL1G1C</t>
  </si>
  <si>
    <t>N1WB-E27406-RL1G1E</t>
  </si>
  <si>
    <t xml:space="preserve">N1WB E27406 RL3LU4  </t>
  </si>
  <si>
    <t>N1WB-E27406-RL3LU4</t>
  </si>
  <si>
    <t xml:space="preserve">N1WB E27406 RPW     </t>
  </si>
  <si>
    <t>N1WB-E27406-RPW</t>
  </si>
  <si>
    <t xml:space="preserve">N1WB E27406 SLW     </t>
  </si>
  <si>
    <t>N1WB-E27406-SLW</t>
  </si>
  <si>
    <t xml:space="preserve">N1WB E27406 ULW     </t>
  </si>
  <si>
    <t>N1WB-E27406-ULW</t>
  </si>
  <si>
    <t xml:space="preserve">N1WB E27407 CLW     </t>
  </si>
  <si>
    <t>N1WB-E27407-CLW</t>
  </si>
  <si>
    <t xml:space="preserve">N1WB E27407 RL1G1C  </t>
  </si>
  <si>
    <t>N1WB-E27407-RL1G1C</t>
  </si>
  <si>
    <t xml:space="preserve">N1WB E27407 RL1G1E  </t>
  </si>
  <si>
    <t>N1WB-E27407-RL1G1E</t>
  </si>
  <si>
    <t xml:space="preserve">N1WB E27407 RL3LU4  </t>
  </si>
  <si>
    <t>N1WB-E27407-RL3LU4</t>
  </si>
  <si>
    <t xml:space="preserve">N1WB E27407 RPW     </t>
  </si>
  <si>
    <t>N1WB-E27407-RPW</t>
  </si>
  <si>
    <t xml:space="preserve">N1WB E27407 SLW     </t>
  </si>
  <si>
    <t>N1WB-E27407-SLW</t>
  </si>
  <si>
    <t xml:space="preserve">N1WB E27407 ULW     </t>
  </si>
  <si>
    <t>N1WB-E27407-ULW</t>
  </si>
  <si>
    <t xml:space="preserve">N1WB E280A55 BA     </t>
  </si>
  <si>
    <t>N1WB-E280A55-BA</t>
  </si>
  <si>
    <t>N1WB E291A35 MAE</t>
  </si>
  <si>
    <t>N1WB E31006 EB3ZHE</t>
  </si>
  <si>
    <t>P703 PNL BDY SD RR CNR TR</t>
  </si>
  <si>
    <t xml:space="preserve">N1WB E31006 EBW     </t>
  </si>
  <si>
    <t>N1WB E31007 EB3ZHE</t>
  </si>
  <si>
    <t xml:space="preserve">N1WB E31007 EBW     </t>
  </si>
  <si>
    <t xml:space="preserve">N1WB E312A48 BB01   </t>
  </si>
  <si>
    <t xml:space="preserve">N1WB E403A86 AG3ZHE </t>
  </si>
  <si>
    <t>N1WB E403A86 AG3ZHE</t>
  </si>
  <si>
    <t>A1469183</t>
  </si>
  <si>
    <t xml:space="preserve">N1WB E403A86 AHW    </t>
  </si>
  <si>
    <t>N1WB E403A86 AHW</t>
  </si>
  <si>
    <t xml:space="preserve">N1WB E403A86 HA3    </t>
  </si>
  <si>
    <t>N1WB E403A86 HA3</t>
  </si>
  <si>
    <t>N1WB E403A86 HB3ZHE</t>
  </si>
  <si>
    <t>N1WB-E40630-AE</t>
  </si>
  <si>
    <t>N1WB-E41623-AB</t>
  </si>
  <si>
    <t>P703 BRA ASY BK PNL</t>
  </si>
  <si>
    <t>N1WB-E43858-AB</t>
  </si>
  <si>
    <t>P703 REINF ASY TL/GT HNDL OPG</t>
  </si>
  <si>
    <t xml:space="preserve">ST39/50 DOCK                  </t>
  </si>
  <si>
    <t xml:space="preserve">N1WB E513D20 AA     </t>
  </si>
  <si>
    <t>N1WB-E513D20-AA</t>
  </si>
  <si>
    <t>P703 REINF ASY RF SD RL</t>
  </si>
  <si>
    <t xml:space="preserve">N1WB J422B64 AA     </t>
  </si>
  <si>
    <t xml:space="preserve">NB3V 16E166 ZA      </t>
  </si>
  <si>
    <t>P0630800</t>
  </si>
  <si>
    <t>DT CRUSH CAN RH</t>
  </si>
  <si>
    <t>68371878AC</t>
  </si>
  <si>
    <t xml:space="preserve">P2DB 16E166 AA      </t>
  </si>
  <si>
    <t>P2DB-16E166-AA</t>
  </si>
  <si>
    <t xml:space="preserve">P2DB 16E166 SB      </t>
  </si>
  <si>
    <t>P2DB-16E166-SB</t>
  </si>
  <si>
    <t>U725 UPPER AGS SERVICE A/B</t>
  </si>
  <si>
    <t>SERVICE</t>
  </si>
  <si>
    <t xml:space="preserve">PB3V 16E166 ZB      </t>
  </si>
  <si>
    <t>PB3V 16E166 ZB</t>
  </si>
  <si>
    <t xml:space="preserve">PC PP800 AA         </t>
  </si>
  <si>
    <t>PC PP800 AA</t>
  </si>
  <si>
    <t>LB R D-PLR ASSY RH; 68612900AA</t>
  </si>
  <si>
    <t xml:space="preserve">PC PP800 AB         </t>
  </si>
  <si>
    <t>PC PP800 AB</t>
  </si>
  <si>
    <t>LB R D-PLR ASSY RH; 68612900AB</t>
  </si>
  <si>
    <t xml:space="preserve">PC PP801 AA         </t>
  </si>
  <si>
    <t>PC PP801 AA</t>
  </si>
  <si>
    <t>LB R D-PLR ASSY LH; 68612901AA</t>
  </si>
  <si>
    <t xml:space="preserve">PC PP801 AB         </t>
  </si>
  <si>
    <t>PC PP801 AB</t>
  </si>
  <si>
    <t>LB R D-PLR ASSY LH; 68612901AB</t>
  </si>
  <si>
    <t xml:space="preserve">PC PP802 AA         </t>
  </si>
  <si>
    <t>PC PP802 AA</t>
  </si>
  <si>
    <t>LB HATCH LATCH ASSY 68649037AA</t>
  </si>
  <si>
    <t xml:space="preserve">PC.WL68432378       </t>
  </si>
  <si>
    <t>WL TANK STRAP MOUNTING</t>
  </si>
  <si>
    <t>68432378-CC71/400-TROY</t>
  </si>
  <si>
    <t xml:space="preserve">PC.WL68432379       </t>
  </si>
  <si>
    <t>WL BRKT STRAP MOUNTING</t>
  </si>
  <si>
    <t>68432379-CC71/400-TROY</t>
  </si>
  <si>
    <t xml:space="preserve">PC.WL68592413       </t>
  </si>
  <si>
    <t>PC.WL68592413</t>
  </si>
  <si>
    <t>WL BATTERY BRACKET W/TRAY ASSY</t>
  </si>
  <si>
    <t>68592413</t>
  </si>
  <si>
    <t xml:space="preserve">PC00427A            </t>
  </si>
  <si>
    <t>PC00427A</t>
  </si>
  <si>
    <t>PC17627 BA</t>
  </si>
  <si>
    <t>P702 BEV SEAL OTR LH</t>
  </si>
  <si>
    <t xml:space="preserve">PC221-11-0499       </t>
  </si>
  <si>
    <t>PC221-11-0499</t>
  </si>
  <si>
    <t>HNDL ASY ASST</t>
  </si>
  <si>
    <t xml:space="preserve">ROW 243B/CC71 5500            </t>
  </si>
  <si>
    <t xml:space="preserve">SAL01000  </t>
  </si>
  <si>
    <t xml:space="preserve">PC40793B            </t>
  </si>
  <si>
    <t>PC40793B</t>
  </si>
  <si>
    <t>WL SUPPORT CNT BRKT LT-ROW 912</t>
  </si>
  <si>
    <t>68440793-CC71/100-TROY</t>
  </si>
  <si>
    <t xml:space="preserve">DETROIT ROW 912               </t>
  </si>
  <si>
    <t>PC68451020C00U</t>
  </si>
  <si>
    <t>DT CENTER SUPPORT BRACKET</t>
  </si>
  <si>
    <t xml:space="preserve">PC6UF36GXHAA        </t>
  </si>
  <si>
    <t>PC6UF36GXHAA</t>
  </si>
  <si>
    <t>WS TOW HOOK BOOT BASE RH</t>
  </si>
  <si>
    <t xml:space="preserve">27759                         </t>
  </si>
  <si>
    <t xml:space="preserve">PC6UF37GXHAA        </t>
  </si>
  <si>
    <t>PC6UF37GXHAA</t>
  </si>
  <si>
    <t>WS TOW HOOK BOOT BASE LH</t>
  </si>
  <si>
    <t xml:space="preserve">PC6UH00GXHAA        </t>
  </si>
  <si>
    <t>PC6UH00GXHAA</t>
  </si>
  <si>
    <t>WS TOW HOOK BOOT PREMIUM RH</t>
  </si>
  <si>
    <t xml:space="preserve">27762                         </t>
  </si>
  <si>
    <t xml:space="preserve">PC6UH01GXHAA        </t>
  </si>
  <si>
    <t>PC6UH01GXHAA</t>
  </si>
  <si>
    <t>WS TOW HOOK BOOT PREMIUM LH</t>
  </si>
  <si>
    <t xml:space="preserve">PC7DU62GXHAA        </t>
  </si>
  <si>
    <t>PC7DU62GXHAA</t>
  </si>
  <si>
    <t>WS TOW HOOK BOOT AERO LH</t>
  </si>
  <si>
    <t xml:space="preserve">31462                         </t>
  </si>
  <si>
    <t xml:space="preserve">PC7DU63GXHAA        </t>
  </si>
  <si>
    <t>PC7DU63GXHAA</t>
  </si>
  <si>
    <t>WS TOW HOOK BOOT AERO RH</t>
  </si>
  <si>
    <t xml:space="preserve">PC7DZ32GXHAA        </t>
  </si>
  <si>
    <t>PC7DZ32GXHAA</t>
  </si>
  <si>
    <t xml:space="preserve">32744                         </t>
  </si>
  <si>
    <t xml:space="preserve">PC7DZ33GXHAA        </t>
  </si>
  <si>
    <t>PC7DZ33GXHAA</t>
  </si>
  <si>
    <t xml:space="preserve">PCN2DV15B216AAF00R  </t>
  </si>
  <si>
    <t>PCN2DV15B216AAF00R</t>
  </si>
  <si>
    <t>U725W FOG LAMP COVER RH</t>
  </si>
  <si>
    <t>N2DV 15B216 AA</t>
  </si>
  <si>
    <t xml:space="preserve">33164                         </t>
  </si>
  <si>
    <t xml:space="preserve">XFNGCOV   </t>
  </si>
  <si>
    <t xml:space="preserve">PCN2DV17626AAF00R   </t>
  </si>
  <si>
    <t>PCN2DV17626AAF00R</t>
  </si>
  <si>
    <t>U725W BUMPER FASCIA SEAL RH</t>
  </si>
  <si>
    <t>N2DV 17626 AA</t>
  </si>
  <si>
    <t xml:space="preserve">31918                         </t>
  </si>
  <si>
    <t xml:space="preserve">PCN2DV17627AAF00L   </t>
  </si>
  <si>
    <t>PCN2DV17627AAF00L</t>
  </si>
  <si>
    <t>U725W BUMPER FASCIA SEAL LH</t>
  </si>
  <si>
    <t>N2DV 17627 AA</t>
  </si>
  <si>
    <t xml:space="preserve">PCN2DV17B635ABWF00R </t>
  </si>
  <si>
    <t>PCN2DV17B635ABWF00R</t>
  </si>
  <si>
    <t>U725W BUMPER TIRE SPATS RH</t>
  </si>
  <si>
    <t>N2DV 17B636 AAW</t>
  </si>
  <si>
    <t xml:space="preserve">31919                         </t>
  </si>
  <si>
    <t xml:space="preserve">PCN2DV17B636ABWF00L </t>
  </si>
  <si>
    <t>PCN2DV17B636ABWF00L</t>
  </si>
  <si>
    <t>U725W BUMPER TIRE SPATS LH</t>
  </si>
  <si>
    <t>N2DV 17B635 AAW</t>
  </si>
  <si>
    <t xml:space="preserve">PCP14017AAW00       </t>
  </si>
  <si>
    <t>1AA-SA00587AIMC</t>
  </si>
  <si>
    <t>2-KEY DOOR LOCK SWITCH RH</t>
  </si>
  <si>
    <t xml:space="preserve">ALPSA0100 </t>
  </si>
  <si>
    <t xml:space="preserve">ALPS ALPINE NORTH AMERICA INC </t>
  </si>
  <si>
    <t xml:space="preserve">PCP14017BAW00       </t>
  </si>
  <si>
    <t>1AA-SA00586AIMC</t>
  </si>
  <si>
    <t>2-KEY DOOR LOCK SWITCH LH</t>
  </si>
  <si>
    <t xml:space="preserve">PCP14540K           </t>
  </si>
  <si>
    <t>WINDOW SWITCH-LOW RAP</t>
  </si>
  <si>
    <t xml:space="preserve">PCP14540R           </t>
  </si>
  <si>
    <t>WINDOW SWITCH-MED RAP</t>
  </si>
  <si>
    <t xml:space="preserve">PCP14E072AA00       </t>
  </si>
  <si>
    <t>EB3B-14E072-AA</t>
  </si>
  <si>
    <t>FRT DR AMB LIGHT RH</t>
  </si>
  <si>
    <t xml:space="preserve">FLEXT0105 </t>
  </si>
  <si>
    <t xml:space="preserve">FLEXTRONICS INTERNATIONAL KFT </t>
  </si>
  <si>
    <t xml:space="preserve">PCP14E072ED         </t>
  </si>
  <si>
    <t>N1WB-14E072-ED</t>
  </si>
  <si>
    <t>AMBIENT  LIGHT RH ORANGE</t>
  </si>
  <si>
    <t xml:space="preserve">PCP14E073AA00       </t>
  </si>
  <si>
    <t>EB3B-14E073-AA</t>
  </si>
  <si>
    <t>FRT DR AMB LIGHT LH</t>
  </si>
  <si>
    <t xml:space="preserve">PCP14E073AE         </t>
  </si>
  <si>
    <t>N1WB-14E073-AE</t>
  </si>
  <si>
    <t>Ambient Light LH BLUE</t>
  </si>
  <si>
    <t xml:space="preserve">PCP14E073ED         </t>
  </si>
  <si>
    <t>N1WB-14E073-ED</t>
  </si>
  <si>
    <t>AMBIENT LIGHT LH  ORANGE</t>
  </si>
  <si>
    <t xml:space="preserve">PCP15K859CAW        </t>
  </si>
  <si>
    <t>LU5T-15K859-CAW</t>
  </si>
  <si>
    <t>PAINTED UPA HP SENSOR</t>
  </si>
  <si>
    <t xml:space="preserve">PCP17A386KIT00      </t>
  </si>
  <si>
    <t>LP BRKT SCREW KITS</t>
  </si>
  <si>
    <t xml:space="preserve">GOODW0100 </t>
  </si>
  <si>
    <t>GOODWILL INDUSTRIES OF DETROIT</t>
  </si>
  <si>
    <t xml:space="preserve">PCP17A386RB00       </t>
  </si>
  <si>
    <t>LP BRKT RUBBER BUMPER</t>
  </si>
  <si>
    <t xml:space="preserve">ARMAD0100 </t>
  </si>
  <si>
    <t xml:space="preserve">ARMADA RUBBER MFG CO          </t>
  </si>
  <si>
    <t xml:space="preserve">PCP2102222AD        </t>
  </si>
  <si>
    <t>AB39-2102223-A-PIA-01</t>
  </si>
  <si>
    <t>COWL LEAF SCREEN</t>
  </si>
  <si>
    <t xml:space="preserve">PCP2102222APIA01    </t>
  </si>
  <si>
    <t>COWL VENT RH/LH FOAM STRIP</t>
  </si>
  <si>
    <t xml:space="preserve">PCP2102222APIA02    </t>
  </si>
  <si>
    <t>KB3B-2102222/3-A-PIA-02</t>
  </si>
  <si>
    <t>COWL VENT RH/LH FOAM BLOCK</t>
  </si>
  <si>
    <t xml:space="preserve">PCP2103512ANVH01    </t>
  </si>
  <si>
    <t>EB3B-4103512-A-PIA</t>
  </si>
  <si>
    <t>A PILLAR RH/LH NVH A VERSION</t>
  </si>
  <si>
    <t xml:space="preserve">PCP2103512APIA04    </t>
  </si>
  <si>
    <t>KB3B-2103512-A-PIA-04</t>
  </si>
  <si>
    <t>A PILLAR RH FELT</t>
  </si>
  <si>
    <t xml:space="preserve">PCP2103512BNVH01    </t>
  </si>
  <si>
    <t>EB3B-4103512-B-PIA</t>
  </si>
  <si>
    <t>A PILLAR RH NVH B VERSION</t>
  </si>
  <si>
    <t xml:space="preserve">PCP2103513BNVH01    </t>
  </si>
  <si>
    <t>EB3B-4103513-B-PIA</t>
  </si>
  <si>
    <t>A PILLAR LH NVH B VERSION</t>
  </si>
  <si>
    <t xml:space="preserve">PCP2113244APIA02    </t>
  </si>
  <si>
    <t>AB39-2113244-A-PIA-02</t>
  </si>
  <si>
    <t>P375 RR DR SCUFF PLATE OVAL</t>
  </si>
  <si>
    <t xml:space="preserve">SERVICE                       </t>
  </si>
  <si>
    <t xml:space="preserve">PCP21226B07AA3JA6   </t>
  </si>
  <si>
    <t>KB3B-21226B07-AA3JA6</t>
  </si>
  <si>
    <t>P375 FELT PULL CUP LH</t>
  </si>
  <si>
    <t xml:space="preserve">PCP2123942NVH00     </t>
  </si>
  <si>
    <t>KB3B-2523942-A-PIA01</t>
  </si>
  <si>
    <t>FRT DR NVH RAP RH/LH</t>
  </si>
  <si>
    <t xml:space="preserve">PCP2127406APIA03    </t>
  </si>
  <si>
    <t>KB3B-2127406-A-PIA-03_1</t>
  </si>
  <si>
    <t>RR RAP DOOR LOCATOR SEAL</t>
  </si>
  <si>
    <t xml:space="preserve">PCP2127406BAG00     </t>
  </si>
  <si>
    <t>52"X28" .85 MIL HDPE BAG</t>
  </si>
  <si>
    <t xml:space="preserve">PCP2127406INR00     </t>
  </si>
  <si>
    <t>RR DOOR MAP POCKET RAP RH</t>
  </si>
  <si>
    <t xml:space="preserve">PCP2131002ANVH00    </t>
  </si>
  <si>
    <t>AB39-2131003-A-PIA-03/7</t>
  </si>
  <si>
    <t>C PILLAR UPR RAP NVH A VERSION</t>
  </si>
  <si>
    <t xml:space="preserve">PCP2131002BNVH00    </t>
  </si>
  <si>
    <t>KB3B-2131002-A</t>
  </si>
  <si>
    <t>C PILLAR UPR RAP NVH B VERSION</t>
  </si>
  <si>
    <t xml:space="preserve">PCP21403A86APIA02   </t>
  </si>
  <si>
    <t>KB3B-21403A86-A-PIA-02</t>
  </si>
  <si>
    <t>BACK PANEL FOAM STRIP A VER</t>
  </si>
  <si>
    <t xml:space="preserve">PCP21403A86BPIA02   </t>
  </si>
  <si>
    <t>KB3B-21403A86-B-PIA-02</t>
  </si>
  <si>
    <t>BACK PANEL FOAM STRIP B VER</t>
  </si>
  <si>
    <t xml:space="preserve">PCP2146141PIA01     </t>
  </si>
  <si>
    <t>KB3B-2146141-A-PIA-01</t>
  </si>
  <si>
    <t>STOWAGE BIN LOCKS</t>
  </si>
  <si>
    <t xml:space="preserve">PCP2623942AR0100    </t>
  </si>
  <si>
    <t>FRT DAR RH EBONY NO-STITCH</t>
  </si>
  <si>
    <t xml:space="preserve">PCP2623942AR0102    </t>
  </si>
  <si>
    <t xml:space="preserve">PCP2623942AR0200    </t>
  </si>
  <si>
    <t>FRT DAR RH EBONY W/STITCH</t>
  </si>
  <si>
    <t xml:space="preserve">PCP2623942AR0202    </t>
  </si>
  <si>
    <t xml:space="preserve">PCP2623942AR0302    </t>
  </si>
  <si>
    <t>FRT DAR RH MED-STONE NO-STITCH</t>
  </si>
  <si>
    <t xml:space="preserve">PCP2623942AR0402    </t>
  </si>
  <si>
    <t>FRT DAR RH MED STONE W/STITCH</t>
  </si>
  <si>
    <t xml:space="preserve">PCP2623942AR0501    </t>
  </si>
  <si>
    <t>FRT DAR RH EBONY ORANGE</t>
  </si>
  <si>
    <t xml:space="preserve">PCP2623942IGC0101   </t>
  </si>
  <si>
    <t>FRONT DOOR INSERT STAMPEDE RH</t>
  </si>
  <si>
    <t xml:space="preserve">AFTEC0100 </t>
  </si>
  <si>
    <t xml:space="preserve">AFTECH LLC                    </t>
  </si>
  <si>
    <t>255022</t>
  </si>
  <si>
    <t xml:space="preserve">PCP2623942IGC0202   </t>
  </si>
  <si>
    <t>FRT DR INSERT CARTER MS RH</t>
  </si>
  <si>
    <t xml:space="preserve">PCP2623942IGC0302   </t>
  </si>
  <si>
    <t>FRT DR INSERT EBONY CARTER RH</t>
  </si>
  <si>
    <t xml:space="preserve">PCP2623942IGC04     </t>
  </si>
  <si>
    <t>FRT DR INSERT MS VINYL RH</t>
  </si>
  <si>
    <t xml:space="preserve">PCP2623942IGC05     </t>
  </si>
  <si>
    <t>FRT DR INSERT EBONY VINYL RH</t>
  </si>
  <si>
    <t xml:space="preserve">PCP2623942IP0100    </t>
  </si>
  <si>
    <t>FRT RH IP EXT VAULT GREY</t>
  </si>
  <si>
    <t>FORD P375</t>
  </si>
  <si>
    <t xml:space="preserve">PCP2623942IP0200    </t>
  </si>
  <si>
    <t>FRT RH IP EXT URBAN GREY</t>
  </si>
  <si>
    <t xml:space="preserve">PCP2623942IP0300    </t>
  </si>
  <si>
    <t>FRT RH IP EXT FORTRESS SILVER</t>
  </si>
  <si>
    <t xml:space="preserve">PCP2623942IP0400    </t>
  </si>
  <si>
    <t>FRT RH IP EXT BLACK ALLEY</t>
  </si>
  <si>
    <t xml:space="preserve">PCP2623942NVH00     </t>
  </si>
  <si>
    <t>KB3B-2123942-A-PIA09</t>
  </si>
  <si>
    <t>FRT DR NVH DBL RH/LH</t>
  </si>
  <si>
    <t xml:space="preserve">PCP2623943AR0200    </t>
  </si>
  <si>
    <t>FRT DAR LH EBONY W/STITCH</t>
  </si>
  <si>
    <t xml:space="preserve">PCP2623943AR0202    </t>
  </si>
  <si>
    <t xml:space="preserve">PCP2623943AR0302    </t>
  </si>
  <si>
    <t>FRT DAR LH MED STONE NO-STITCH</t>
  </si>
  <si>
    <t xml:space="preserve">PCP2623943AR0402    </t>
  </si>
  <si>
    <t>FRT DAR LH MED STONE W/STITCH</t>
  </si>
  <si>
    <t xml:space="preserve">PCP2623943AR0501    </t>
  </si>
  <si>
    <t>FRT DAR LH EBONY ORANGE</t>
  </si>
  <si>
    <t xml:space="preserve">PCP2623943IGC0101   </t>
  </si>
  <si>
    <t>FRONT DOOR INSERT STAMPEDE LH</t>
  </si>
  <si>
    <t xml:space="preserve">PCP2623943IGC0202   </t>
  </si>
  <si>
    <t>FRT DR INSERT CARTER MS LH</t>
  </si>
  <si>
    <t xml:space="preserve">PCP2623943IGC0302   </t>
  </si>
  <si>
    <t>FRT DR INSERT EBONY CARTER LH</t>
  </si>
  <si>
    <t xml:space="preserve">PCP2623943IGC04     </t>
  </si>
  <si>
    <t>FRT DR INSERT MS VINYL LH</t>
  </si>
  <si>
    <t xml:space="preserve">PCP2623943IGC05     </t>
  </si>
  <si>
    <t>FRT DR INSERT EBONY VINYL LH</t>
  </si>
  <si>
    <t xml:space="preserve">PCP2623943IP0100    </t>
  </si>
  <si>
    <t>FRT LH IP EXT VAULT GREY</t>
  </si>
  <si>
    <t xml:space="preserve">PCP2623943IP0200    </t>
  </si>
  <si>
    <t>FRT LH IP EXT URBAN GREY</t>
  </si>
  <si>
    <t xml:space="preserve">PCP2623943IP0300    </t>
  </si>
  <si>
    <t>FRT LH IP EXT FORTRESS SILVER</t>
  </si>
  <si>
    <t xml:space="preserve">PCP2623943IP0400    </t>
  </si>
  <si>
    <t>FRT LH IP EXT BLACK ALLEY</t>
  </si>
  <si>
    <t xml:space="preserve">PCP26243A52APIA02   </t>
  </si>
  <si>
    <t>KB3B-26243A52-A-PIA-02/03</t>
  </si>
  <si>
    <t>B PLR TRIM LWR LH/RH AFT</t>
  </si>
  <si>
    <t xml:space="preserve">PCP26243A53APIA02   </t>
  </si>
  <si>
    <t>KB3B-26243A53-A-PIA-02/03</t>
  </si>
  <si>
    <t>B PLR TRIM LWR LH/RH FORE</t>
  </si>
  <si>
    <t xml:space="preserve">PCP26254A16ASY01    </t>
  </si>
  <si>
    <t>SERVICE PT KB3B-26254A16-AC</t>
  </si>
  <si>
    <t>C PILLAR APPLIQUE RH</t>
  </si>
  <si>
    <t xml:space="preserve">PCP26254A17ASY01    </t>
  </si>
  <si>
    <t>SERVICE PT KB3B-26254A17-AC</t>
  </si>
  <si>
    <t>C PILLAR APPLIQUE LH</t>
  </si>
  <si>
    <t xml:space="preserve">PCP2627406AR0103    </t>
  </si>
  <si>
    <t>RR DAR RH EBONY NO-STITCH</t>
  </si>
  <si>
    <t xml:space="preserve">PCP2627406AR0203    </t>
  </si>
  <si>
    <t>RR DAR RH EBONY W/STITCH</t>
  </si>
  <si>
    <t xml:space="preserve">PCP2627406AR0303    </t>
  </si>
  <si>
    <t>RR RH DAR MED STONE NO-STITCH</t>
  </si>
  <si>
    <t xml:space="preserve">PCP2627406AR0403    </t>
  </si>
  <si>
    <t>RR RH DAR MED STONE W/STITCH</t>
  </si>
  <si>
    <t xml:space="preserve">PCP2627406AR0501    </t>
  </si>
  <si>
    <t>RR DAR RH EBONY ORANGE</t>
  </si>
  <si>
    <t xml:space="preserve">PCP2627406ID0101    </t>
  </si>
  <si>
    <t>RR RH IDH BEZ VAULT GREY</t>
  </si>
  <si>
    <t xml:space="preserve">PCP2627406ID0201    </t>
  </si>
  <si>
    <t>RR RH IDH BEZ URBAN GREY</t>
  </si>
  <si>
    <t xml:space="preserve">PCP2627406ID0301    </t>
  </si>
  <si>
    <t>RR RH ID BEX FORTRESS SILVER</t>
  </si>
  <si>
    <t xml:space="preserve">PCP2627406ID0400    </t>
  </si>
  <si>
    <t>RR RH IDH BEZ BLACK ALLEY</t>
  </si>
  <si>
    <t xml:space="preserve">PCP2627406IGC0101   </t>
  </si>
  <si>
    <t>RR DR INSERT STAMPEDE RH</t>
  </si>
  <si>
    <t xml:space="preserve">PCP2627406IGC0202   </t>
  </si>
  <si>
    <t>RR DR INSERT MS CARTER RH</t>
  </si>
  <si>
    <t xml:space="preserve">PCP2627406IGC0302   </t>
  </si>
  <si>
    <t>RR DR INSERT EBONY CARTER RH</t>
  </si>
  <si>
    <t xml:space="preserve">PCP2627406IGC04     </t>
  </si>
  <si>
    <t>RR DR INSERT MS VINYL RH</t>
  </si>
  <si>
    <t xml:space="preserve">PCP2627406IGC05     </t>
  </si>
  <si>
    <t>RR DR INSERT EBONY VINYL RH</t>
  </si>
  <si>
    <t xml:space="preserve">PCP2627406LS00      </t>
  </si>
  <si>
    <t>AB39-2627406-A-PIA09</t>
  </si>
  <si>
    <t>FRT/RR DR LOCATOR SEAL</t>
  </si>
  <si>
    <t xml:space="preserve">PCP2627406NVH01     </t>
  </si>
  <si>
    <t>KB3B-2627406-B-PIA05</t>
  </si>
  <si>
    <t>RR DR NVH DBL RH/LH</t>
  </si>
  <si>
    <t xml:space="preserve">PCP2627406NVH02     </t>
  </si>
  <si>
    <t xml:space="preserve">PCP2627407AR0103    </t>
  </si>
  <si>
    <t>RR DAR LH EBONY NO-STITCH</t>
  </si>
  <si>
    <t xml:space="preserve">PCP2627407AR0203    </t>
  </si>
  <si>
    <t>RR DAR LH EBONY W/STITCH</t>
  </si>
  <si>
    <t xml:space="preserve">PCP2627407AR0303    </t>
  </si>
  <si>
    <t>RR DAR LH MED STONE NO-STITCH</t>
  </si>
  <si>
    <t xml:space="preserve">PCP2627407AR0403    </t>
  </si>
  <si>
    <t>RR DAR LH MED STONE W/STITCH</t>
  </si>
  <si>
    <t xml:space="preserve">PCP2627407AR0501    </t>
  </si>
  <si>
    <t>RR DAR LH EBONY ORANGE</t>
  </si>
  <si>
    <t xml:space="preserve">PCP2627407ID0101    </t>
  </si>
  <si>
    <t>RR LH IDH BEZ VAULT GREY</t>
  </si>
  <si>
    <t xml:space="preserve">PCP2627407ID0201    </t>
  </si>
  <si>
    <t>RR LH IDH BEZ URBAN GREY</t>
  </si>
  <si>
    <t xml:space="preserve">PCP2627407ID0301    </t>
  </si>
  <si>
    <t>RR LH IDH BEZ FORTRESS SILVER</t>
  </si>
  <si>
    <t xml:space="preserve">PCP2627407ID0400    </t>
  </si>
  <si>
    <t>RR LH IDH BEZ BLACK ALLEY</t>
  </si>
  <si>
    <t xml:space="preserve">PCP2627407IGC0101   </t>
  </si>
  <si>
    <t>RR DR INSERT STAMPEDE LH</t>
  </si>
  <si>
    <t xml:space="preserve">PCP2627407IGC0202   </t>
  </si>
  <si>
    <t>RR DR INSERT MS CARTER LH</t>
  </si>
  <si>
    <t xml:space="preserve">PCP2627407IGC0302   </t>
  </si>
  <si>
    <t>RR DR INSERT EBONY CARTER LH</t>
  </si>
  <si>
    <t xml:space="preserve">PCP2627407IGC04     </t>
  </si>
  <si>
    <t>RR DR INSERT MS VINYL LH</t>
  </si>
  <si>
    <t xml:space="preserve">PCP2627407IGC05     </t>
  </si>
  <si>
    <t>RR DR INSERT EBONY VINYL LH</t>
  </si>
  <si>
    <t xml:space="preserve">PCP2631002BNVH00    </t>
  </si>
  <si>
    <t>AB39-2631003-A-PIA-03/7</t>
  </si>
  <si>
    <t>C PILLAR UPR DBL NVH B VERSION</t>
  </si>
  <si>
    <t xml:space="preserve">PCP26680AA00        </t>
  </si>
  <si>
    <t>KB3B 26680 AAW</t>
  </si>
  <si>
    <t>INSIDE DOOR HANDLE MIC RH</t>
  </si>
  <si>
    <t xml:space="preserve">PCP26680BA00        </t>
  </si>
  <si>
    <t>KB3B 26680 BAW</t>
  </si>
  <si>
    <t>INSIDE DOOR HANDLE CHROME 1 RH</t>
  </si>
  <si>
    <t xml:space="preserve">PCP26680CA00        </t>
  </si>
  <si>
    <t>KB3B 26680 CAW</t>
  </si>
  <si>
    <t>INSIDE DOOR HANDLE CHROME 2 RH</t>
  </si>
  <si>
    <t xml:space="preserve">PCP26681BA00        </t>
  </si>
  <si>
    <t>KB3B 26681 BAW</t>
  </si>
  <si>
    <t>INSIDE DOOR HANDLE CHROME 1 LH</t>
  </si>
  <si>
    <t xml:space="preserve">PCP26681CA00        </t>
  </si>
  <si>
    <t>KB3B 26681 CAW</t>
  </si>
  <si>
    <t>INSIDE DOOR HANDLE CHROME 2 LH</t>
  </si>
  <si>
    <t xml:space="preserve">PCP8312ZA           </t>
  </si>
  <si>
    <t xml:space="preserve">PCP8C291AB          </t>
  </si>
  <si>
    <t>KB3B-8C291-AB</t>
  </si>
  <si>
    <t>BEAUTY SHIELD FOAM BLOCK</t>
  </si>
  <si>
    <t xml:space="preserve">PCP9181GLUE         </t>
  </si>
  <si>
    <t>500880</t>
  </si>
  <si>
    <t>IGC GLUE</t>
  </si>
  <si>
    <t xml:space="preserve">SIKA0100  </t>
  </si>
  <si>
    <t xml:space="preserve">SIKA CORPORATION              </t>
  </si>
  <si>
    <t xml:space="preserve">PCPE237W28APIA91    </t>
  </si>
  <si>
    <t>LARIAT</t>
  </si>
  <si>
    <t xml:space="preserve">PCPE237W29APIA91    </t>
  </si>
  <si>
    <t xml:space="preserve">PCPE23900TOP04.H    </t>
  </si>
  <si>
    <t>P703 RH TOP ROLL DARK SPACE GR</t>
  </si>
  <si>
    <t>GREY WITH STITCH</t>
  </si>
  <si>
    <t xml:space="preserve">PCPE23942.1AR02     </t>
  </si>
  <si>
    <t xml:space="preserve">VUMAN0100 </t>
  </si>
  <si>
    <t xml:space="preserve">VU MANUFACTURING              </t>
  </si>
  <si>
    <t xml:space="preserve">PCPE23942.1AR03     </t>
  </si>
  <si>
    <t>P703 FRT DR RH SAND W/STICH</t>
  </si>
  <si>
    <t xml:space="preserve">PCPE23942APIA30A    </t>
  </si>
  <si>
    <t>FRT RH I/P EXTENSION MIC</t>
  </si>
  <si>
    <t xml:space="preserve">VENPL0100 </t>
  </si>
  <si>
    <t xml:space="preserve">VENTRA PLASTICS WINDSOR       </t>
  </si>
  <si>
    <t xml:space="preserve">PCPE23942AR06.H     </t>
  </si>
  <si>
    <t>P703 FRT DR RH SPACE GREY W/S</t>
  </si>
  <si>
    <t xml:space="preserve">PCPE23942IN02.H     </t>
  </si>
  <si>
    <t>INSERT RH SAND SOHO</t>
  </si>
  <si>
    <t xml:space="preserve">PCPE23943.1AR02     </t>
  </si>
  <si>
    <t>P703 FRT DR LH EBONY W/STITCH</t>
  </si>
  <si>
    <t xml:space="preserve">PCPE23943.1AR04     </t>
  </si>
  <si>
    <t>P703 FRT DR LH S.SMOOTH W/STIT</t>
  </si>
  <si>
    <t>CH</t>
  </si>
  <si>
    <t xml:space="preserve">PCPE23943APIA30A    </t>
  </si>
  <si>
    <t>FRT LH I/P EXTENSION MIC</t>
  </si>
  <si>
    <t xml:space="preserve">PCPE23943AR02.H     </t>
  </si>
  <si>
    <t xml:space="preserve">PCPE23943AR06.H     </t>
  </si>
  <si>
    <t>P703 FRT DR LH SPACE GREY W/S</t>
  </si>
  <si>
    <t xml:space="preserve">PCPE23943IN02.H     </t>
  </si>
  <si>
    <t>INSERT LH SAND SOHO</t>
  </si>
  <si>
    <t xml:space="preserve">PCPE23943IN03       </t>
  </si>
  <si>
    <t xml:space="preserve">PCPE26657APIA01     </t>
  </si>
  <si>
    <t>FRT LH GRAB HANDLE SUPPORT</t>
  </si>
  <si>
    <t xml:space="preserve">PCPE266A64APIA01A   </t>
  </si>
  <si>
    <t>RR RH GRAB HANDLE SUPPORT </t>
  </si>
  <si>
    <t xml:space="preserve">PCPE266A65APIA01A   </t>
  </si>
  <si>
    <t>RR LH GRAB HANDLE SUPPORT </t>
  </si>
  <si>
    <t xml:space="preserve">PCPE27406AR06.H     </t>
  </si>
  <si>
    <t>P703 RR DR RH SPACE GREY W/S</t>
  </si>
  <si>
    <t xml:space="preserve">PCPE27406IN01.H     </t>
  </si>
  <si>
    <t>P703 INSERT RH EBONY SOHO</t>
  </si>
  <si>
    <t xml:space="preserve">PCPE27406IN02.H     </t>
  </si>
  <si>
    <t>P703 INSERT RH SAND STONE</t>
  </si>
  <si>
    <t xml:space="preserve">PCPE27406MPIA04     </t>
  </si>
  <si>
    <t>N1WB-E27406/27407-M-PIA-04</t>
  </si>
  <si>
    <t>RearDBLDoorPanelFoamStrip</t>
  </si>
  <si>
    <t>15mmx336mmx3mmthick</t>
  </si>
  <si>
    <t xml:space="preserve">PCPE27407AR06.H     </t>
  </si>
  <si>
    <t>P703 RL DR LH SPACE GREY W/S</t>
  </si>
  <si>
    <t xml:space="preserve">PCPE27407IN01.H     </t>
  </si>
  <si>
    <t>P703 INSERT LH EBONY SOHO</t>
  </si>
  <si>
    <t xml:space="preserve">PCPE27407IN02.H     </t>
  </si>
  <si>
    <t>P703 INSERT LH SAND SOHO</t>
  </si>
  <si>
    <t xml:space="preserve">PCPE403A86APIA08    </t>
  </si>
  <si>
    <t>HIGH DENSITY FOAM</t>
  </si>
  <si>
    <t xml:space="preserve">PCPE487633.01       </t>
  </si>
  <si>
    <t>487633</t>
  </si>
  <si>
    <t>U725 CHINA KIT BOXES AGS</t>
  </si>
  <si>
    <t>KIT</t>
  </si>
  <si>
    <t xml:space="preserve">PCPGM11548035       </t>
  </si>
  <si>
    <t>30259-216</t>
  </si>
  <si>
    <t>BT1CC SKINNY CLIP</t>
  </si>
  <si>
    <t xml:space="preserve">PCPGM11549361       </t>
  </si>
  <si>
    <t>TETHER  BUNGEE</t>
  </si>
  <si>
    <t xml:space="preserve">PCPGM11570498       </t>
  </si>
  <si>
    <t>.       STEEL   .</t>
  </si>
  <si>
    <t xml:space="preserve">PCPGM11611478       </t>
  </si>
  <si>
    <t>22036</t>
  </si>
  <si>
    <t>SCREW W/WSHR     X  .  X   .</t>
  </si>
  <si>
    <t>W/WSHR  STEEL   ZINC</t>
  </si>
  <si>
    <t>320020011</t>
  </si>
  <si>
    <t xml:space="preserve">PCPGM138608003      </t>
  </si>
  <si>
    <t>138608-0-03</t>
  </si>
  <si>
    <t>PUSH    STEEL   ZINC</t>
  </si>
  <si>
    <t xml:space="preserve">PCPGM805086         </t>
  </si>
  <si>
    <t>805086</t>
  </si>
  <si>
    <t>BT1CC COMPRESSION LIMITER</t>
  </si>
  <si>
    <t>M5-M8- 3/16"-5/16"</t>
  </si>
  <si>
    <t xml:space="preserve">EISEN0100 </t>
  </si>
  <si>
    <t xml:space="preserve">EISEN ELECTRIC CORP           </t>
  </si>
  <si>
    <t xml:space="preserve">PCPGM87846867       </t>
  </si>
  <si>
    <t>87846867</t>
  </si>
  <si>
    <t>A PILLAR HANDLE LH</t>
  </si>
  <si>
    <t xml:space="preserve">NYXIN0100 </t>
  </si>
  <si>
    <t xml:space="preserve">NYX INC                       </t>
  </si>
  <si>
    <t xml:space="preserve">PCPGM87846868       </t>
  </si>
  <si>
    <t>87846868</t>
  </si>
  <si>
    <t>A PILLAR HANDLE RH</t>
  </si>
  <si>
    <t xml:space="preserve">PCPGMBEE18162       </t>
  </si>
  <si>
    <t>DENALI METAL INSERT</t>
  </si>
  <si>
    <t xml:space="preserve">ALUTR0100 </t>
  </si>
  <si>
    <t xml:space="preserve">ALUTRIM NORTH AMERICA CORP    </t>
  </si>
  <si>
    <t>570005</t>
  </si>
  <si>
    <t xml:space="preserve">PCPGMBEE81882.01    </t>
  </si>
  <si>
    <t>GM85544313-103H</t>
  </si>
  <si>
    <t xml:space="preserve">PCPGMBEE81884.01    </t>
  </si>
  <si>
    <t>GM85544315-103H</t>
  </si>
  <si>
    <t xml:space="preserve">PCPGMFA-85CMAS      </t>
  </si>
  <si>
    <t>CC10303252P2</t>
  </si>
  <si>
    <t>BT1CC FOAMING AGENT</t>
  </si>
  <si>
    <t xml:space="preserve">COLOR0105 </t>
  </si>
  <si>
    <t xml:space="preserve">COLORMATRIX GROUP INC         </t>
  </si>
  <si>
    <t>180088</t>
  </si>
  <si>
    <t xml:space="preserve">PCPHEARNDOORP703    </t>
  </si>
  <si>
    <t>HEARN DOOR SEQUENCING</t>
  </si>
  <si>
    <t xml:space="preserve">HEARN0100 </t>
  </si>
  <si>
    <t xml:space="preserve">HEARN INDUSTRIAL SERVICES     </t>
  </si>
  <si>
    <t>553077</t>
  </si>
  <si>
    <t xml:space="preserve">PCPJ27406APIA05     </t>
  </si>
  <si>
    <t>Rear RAP Upper NVH pad</t>
  </si>
  <si>
    <t xml:space="preserve">PCPV2DB8312AA       </t>
  </si>
  <si>
    <t>AGS Front Seal-Wildside</t>
  </si>
  <si>
    <t xml:space="preserve">PCPW506943MOD-S303  </t>
  </si>
  <si>
    <t>W506943MOD-S303</t>
  </si>
  <si>
    <t>HEX HD  STEEL   ZINC</t>
  </si>
  <si>
    <t xml:space="preserve">P375 SERVICE                  </t>
  </si>
  <si>
    <t xml:space="preserve">PCPW702412-S300     </t>
  </si>
  <si>
    <t>W702412-S300</t>
  </si>
  <si>
    <t xml:space="preserve">PCPW715281          </t>
  </si>
  <si>
    <t xml:space="preserve">PCPW715645-S442     </t>
  </si>
  <si>
    <t>W715645-S442</t>
  </si>
  <si>
    <t>EDGE CLIP</t>
  </si>
  <si>
    <t xml:space="preserve">PCPW717977S300      </t>
  </si>
  <si>
    <t>48060007-11469A</t>
  </si>
  <si>
    <t>PLASTIC BAKED</t>
  </si>
  <si>
    <t xml:space="preserve">PCPW718890          </t>
  </si>
  <si>
    <t>W718890</t>
  </si>
  <si>
    <t>320035006</t>
  </si>
  <si>
    <t xml:space="preserve">PCS06104982AA       </t>
  </si>
  <si>
    <t xml:space="preserve">PCS06511308AA       </t>
  </si>
  <si>
    <t xml:space="preserve">VAMPC0100 </t>
  </si>
  <si>
    <t xml:space="preserve">VAMP COMPANY                  </t>
  </si>
  <si>
    <t xml:space="preserve">PCS101C38AB         </t>
  </si>
  <si>
    <t>CAGE NUT</t>
  </si>
  <si>
    <t xml:space="preserve">EMHAR0110 </t>
  </si>
  <si>
    <t xml:space="preserve">PCS16C838APIA03     </t>
  </si>
  <si>
    <t>STUD  FLANGE     X  .  X   .</t>
  </si>
  <si>
    <t xml:space="preserve">TURNO0100 </t>
  </si>
  <si>
    <t>TURN-O-MATIC SCREW MACHINE PRO</t>
  </si>
  <si>
    <t xml:space="preserve">PCS2102482AB        </t>
  </si>
  <si>
    <t>SE CWL TOP PNL WTR SHLD</t>
  </si>
  <si>
    <t xml:space="preserve">ROGER0100 </t>
  </si>
  <si>
    <t xml:space="preserve">ROGERS FOAM AUTOMOTIVE CORP   </t>
  </si>
  <si>
    <t xml:space="preserve">PCS21024A42AB       </t>
  </si>
  <si>
    <t>SE ASY CWL TOP PNL WTR SHLD</t>
  </si>
  <si>
    <t xml:space="preserve">PCS2102526AD        </t>
  </si>
  <si>
    <t>P375 REINF FRT BDY PLR</t>
  </si>
  <si>
    <t xml:space="preserve">MIDWA0100 </t>
  </si>
  <si>
    <t xml:space="preserve">PROGRESSIVE STAMPING INC      </t>
  </si>
  <si>
    <t xml:space="preserve">PCS2110142AB        </t>
  </si>
  <si>
    <t xml:space="preserve">PCS2110143AA        </t>
  </si>
  <si>
    <t>REINF BDY RKR PNL</t>
  </si>
  <si>
    <t xml:space="preserve">PCS21243A22AA       </t>
  </si>
  <si>
    <t>BLIND TRUSS</t>
  </si>
  <si>
    <t xml:space="preserve">PCS2128502AA        </t>
  </si>
  <si>
    <t>PNL ASY BDY SD INR RH</t>
  </si>
  <si>
    <t xml:space="preserve">PCS2128503AA        </t>
  </si>
  <si>
    <t xml:space="preserve">PCS21285A06AA       </t>
  </si>
  <si>
    <t>SE BDY SD RR PLR LWR INR</t>
  </si>
  <si>
    <t xml:space="preserve">PCS21407A00AB       </t>
  </si>
  <si>
    <t>REINF TL/GT I/S CVR PNL</t>
  </si>
  <si>
    <t xml:space="preserve">PCS21413A14AC       </t>
  </si>
  <si>
    <t>SE ASY RR CNR PLR OTR LWR RH</t>
  </si>
  <si>
    <t xml:space="preserve">PCS21413A15AC       </t>
  </si>
  <si>
    <t>SE ASY RR CNR PLR OTR LWR LH</t>
  </si>
  <si>
    <t xml:space="preserve">PCS21513D20         </t>
  </si>
  <si>
    <t>RF13D20</t>
  </si>
  <si>
    <t>RL RF SD FRT</t>
  </si>
  <si>
    <t>KB3B 21513D20</t>
  </si>
  <si>
    <t xml:space="preserve">ROW643-MB4                    </t>
  </si>
  <si>
    <t xml:space="preserve">PCS21513D21         </t>
  </si>
  <si>
    <t>RF13D21</t>
  </si>
  <si>
    <t>KB3B 21513D21</t>
  </si>
  <si>
    <t xml:space="preserve">ROW642-MB4                    </t>
  </si>
  <si>
    <t xml:space="preserve">PCS26111A44AB       </t>
  </si>
  <si>
    <t>REINF FRT FLR PAN</t>
  </si>
  <si>
    <t xml:space="preserve">PCS2628502AA        </t>
  </si>
  <si>
    <t>PNL AST BDY SD INR RH</t>
  </si>
  <si>
    <t xml:space="preserve">PCS2628503AA        </t>
  </si>
  <si>
    <t>PNL AST BDY SD INR LH</t>
  </si>
  <si>
    <t xml:space="preserve">PCS466B00AA         </t>
  </si>
  <si>
    <t xml:space="preserve">PCS5804367AA        </t>
  </si>
  <si>
    <t xml:space="preserve">ROW 309                       </t>
  </si>
  <si>
    <t xml:space="preserve">PCSA26480AB         </t>
  </si>
  <si>
    <t xml:space="preserve">PCSA62570AA         </t>
  </si>
  <si>
    <t>PDGS_BRKT FRT SEAT MNTG</t>
  </si>
  <si>
    <t xml:space="preserve">PCSE10610APIA01     </t>
  </si>
  <si>
    <t>P703 CORROSION WELD TAPE</t>
  </si>
  <si>
    <t xml:space="preserve">PCSW500212S437      </t>
  </si>
  <si>
    <t>BOLT  HEX HD     X  .  X   .</t>
  </si>
  <si>
    <t xml:space="preserve">PCSW703335S300      </t>
  </si>
  <si>
    <t>W703335-S300</t>
  </si>
  <si>
    <t xml:space="preserve">PCSW703809S300      </t>
  </si>
  <si>
    <t xml:space="preserve">PCSW705617S300      </t>
  </si>
  <si>
    <t>NUT   RIV-NUT    X  .  X   .</t>
  </si>
  <si>
    <t>RIV-NUT STEEL   .</t>
  </si>
  <si>
    <t xml:space="preserve">ACUME0100 </t>
  </si>
  <si>
    <t xml:space="preserve">ACUMENT GLOBAL TECHNOLOGIES   </t>
  </si>
  <si>
    <t>320042010</t>
  </si>
  <si>
    <t xml:space="preserve">PCSW710910S300      </t>
  </si>
  <si>
    <t xml:space="preserve">PCSW713648S300      </t>
  </si>
  <si>
    <t xml:space="preserve">PCSW715813S300      </t>
  </si>
  <si>
    <t xml:space="preserve">PCSW715958S300      </t>
  </si>
  <si>
    <t xml:space="preserve">PCSW723223-S300     </t>
  </si>
  <si>
    <t>W723223</t>
  </si>
  <si>
    <t xml:space="preserve">P800M14x38.5BoltWeldStud      </t>
  </si>
  <si>
    <t>800</t>
  </si>
  <si>
    <t xml:space="preserve">PCT857756090G00L    </t>
  </si>
  <si>
    <t>PCT857756090G00L</t>
  </si>
  <si>
    <t>T1XX-2 LDT FRT MONSTR BRCKT LH</t>
  </si>
  <si>
    <t xml:space="preserve">XFNGGWST  </t>
  </si>
  <si>
    <t xml:space="preserve">PCT857756100G00R    </t>
  </si>
  <si>
    <t>PCT857756100G00R</t>
  </si>
  <si>
    <t>T1XX-2 LDT FRT MONSTR BRCKT RH</t>
  </si>
  <si>
    <t xml:space="preserve">PROTOTYPE - GM      </t>
  </si>
  <si>
    <t>TYPE DESCRIPTION HERE</t>
  </si>
  <si>
    <t>GM1</t>
  </si>
  <si>
    <t xml:space="preserve">PURS27944 A         </t>
  </si>
  <si>
    <t>PURS27944 A</t>
  </si>
  <si>
    <t>U725 D PILLAR OUTER R-ROW 900</t>
  </si>
  <si>
    <t>M2DB S27944 A-ROYAL OAK</t>
  </si>
  <si>
    <t xml:space="preserve">DETROIT ROW 900               </t>
  </si>
  <si>
    <t xml:space="preserve">PURS27945 A         </t>
  </si>
  <si>
    <t>PURS27945 A</t>
  </si>
  <si>
    <t>U725 D PILLAR OUTER L-ROW 140A</t>
  </si>
  <si>
    <t>M2DB S27945 A-ROYAL OAK</t>
  </si>
  <si>
    <t xml:space="preserve">DETROIT ROW 140A              </t>
  </si>
  <si>
    <t>R68371878-9AA</t>
  </si>
  <si>
    <t>DT CRUSH CAN MATERIAL PART</t>
  </si>
  <si>
    <t>68371878</t>
  </si>
  <si>
    <t xml:space="preserve">XFNGMX    </t>
  </si>
  <si>
    <t xml:space="preserve">REPACK17W997AB      </t>
  </si>
  <si>
    <t>P703 SUPT ASY FRT BMPR ARM LH</t>
  </si>
  <si>
    <t xml:space="preserve">ROW 223                       </t>
  </si>
  <si>
    <t xml:space="preserve">REPACK21020A98AA    </t>
  </si>
  <si>
    <t>KB3B-21020A98-AA</t>
  </si>
  <si>
    <t>BRKT CWL TOP PNL</t>
  </si>
  <si>
    <t>KB3B 21020A98 AA</t>
  </si>
  <si>
    <t xml:space="preserve">ROW314E-MB4                   </t>
  </si>
  <si>
    <t xml:space="preserve">REPACK2102429AA     </t>
  </si>
  <si>
    <t>KB3Bv2102429 AA</t>
  </si>
  <si>
    <t xml:space="preserve">ROW332B-MB2                   </t>
  </si>
  <si>
    <t xml:space="preserve">REPACK21277C02AA    </t>
  </si>
  <si>
    <t>KB3B 21277C02 AA</t>
  </si>
  <si>
    <t xml:space="preserve">ROW339-MB4                    </t>
  </si>
  <si>
    <t xml:space="preserve">REPACK2140338AA     </t>
  </si>
  <si>
    <t>KB3B 2140338 AA</t>
  </si>
  <si>
    <t xml:space="preserve">ROW 93 - MB2                  </t>
  </si>
  <si>
    <t xml:space="preserve">REPACK21466B00AC    </t>
  </si>
  <si>
    <t>KB3B-21466B00-AC</t>
  </si>
  <si>
    <t>KB3B 21466B00 AC</t>
  </si>
  <si>
    <t xml:space="preserve">SEND TO REPACK ROW314G        </t>
  </si>
  <si>
    <t>KB3B 26454W66 AA</t>
  </si>
  <si>
    <t xml:space="preserve">ROW92-MB2                     </t>
  </si>
  <si>
    <t xml:space="preserve">REPACK2L624AA       </t>
  </si>
  <si>
    <t>KB3B 2L624 AA</t>
  </si>
  <si>
    <t xml:space="preserve">ROW341-MB4                    </t>
  </si>
  <si>
    <t xml:space="preserve">REPACK5R108AA       </t>
  </si>
  <si>
    <t>PLT FRT SKD</t>
  </si>
  <si>
    <t xml:space="preserve">ROW 187/188, 203/204          </t>
  </si>
  <si>
    <t xml:space="preserve">REPACK6C038         </t>
  </si>
  <si>
    <t>MB3G-6C038-DA</t>
  </si>
  <si>
    <t xml:space="preserve">ROW 75 MB2/1400               </t>
  </si>
  <si>
    <t xml:space="preserve">REPACK7P026         </t>
  </si>
  <si>
    <t>ST39</t>
  </si>
  <si>
    <t xml:space="preserve">ROW 86A-87A                   </t>
  </si>
  <si>
    <t xml:space="preserve">REPACK84117805      </t>
  </si>
  <si>
    <t>84117805</t>
  </si>
  <si>
    <t xml:space="preserve">REPACKS444A18       </t>
  </si>
  <si>
    <t xml:space="preserve">ROW 86C-87C                   </t>
  </si>
  <si>
    <t xml:space="preserve">RMP7510 UV ZHEA     </t>
  </si>
  <si>
    <t>TPO 7510 UV ZHEA</t>
  </si>
  <si>
    <t>TPO     TPO 7510</t>
  </si>
  <si>
    <t xml:space="preserve">RMPA6221 CUV YZ9A   </t>
  </si>
  <si>
    <t>A6221 CUV YZ9A</t>
  </si>
  <si>
    <t>TPE     MF A 6221 CUVA - TES</t>
  </si>
  <si>
    <t xml:space="preserve">RMPADX50231TB       </t>
  </si>
  <si>
    <t>ADX-5023 1TB</t>
  </si>
  <si>
    <t>KA66045 1TB LIGHT STONE   FORD</t>
  </si>
  <si>
    <t xml:space="preserve">RMPCA387PC JA6A     </t>
  </si>
  <si>
    <t>JA6A    BLACK             FORD</t>
  </si>
  <si>
    <t xml:space="preserve">RMPDX196ZHEA        </t>
  </si>
  <si>
    <t>ZHEA     EBONY BLACK      FORD</t>
  </si>
  <si>
    <t xml:space="preserve">RMPGMPPC3135        </t>
  </si>
  <si>
    <t>PP      PPC 3135</t>
  </si>
  <si>
    <t>BK102 BLACK                 GM</t>
  </si>
  <si>
    <t xml:space="preserve">RMPKW308A BLACK     </t>
  </si>
  <si>
    <t>KW308A BLACK NON UV</t>
  </si>
  <si>
    <t>PP      KW308A</t>
  </si>
  <si>
    <t xml:space="preserve">KWPLA0100 </t>
  </si>
  <si>
    <t xml:space="preserve">KW PLASTICS                   </t>
  </si>
  <si>
    <t xml:space="preserve">RMPPPC4TF1.6        </t>
  </si>
  <si>
    <t>PPC4TF1.6</t>
  </si>
  <si>
    <t>PP      PPC 4TF 1.3</t>
  </si>
  <si>
    <t xml:space="preserve">RMPPPC6TF2 YZ9A     </t>
  </si>
  <si>
    <t>PPC6TF2 UV YZ9A</t>
  </si>
  <si>
    <t>PP      PPC6TF2UV</t>
  </si>
  <si>
    <t xml:space="preserve">RMPPPH2GF3 BLACK    </t>
  </si>
  <si>
    <t>PP      PPH 2GF3</t>
  </si>
  <si>
    <t xml:space="preserve">RMPS0160R           </t>
  </si>
  <si>
    <t>ABS     MP-0160 R</t>
  </si>
  <si>
    <t xml:space="preserve">RMPSG702            </t>
  </si>
  <si>
    <t>SG702</t>
  </si>
  <si>
    <t>TPO     TPO WPB46853</t>
  </si>
  <si>
    <t xml:space="preserve">NEXEO0105 </t>
  </si>
  <si>
    <t xml:space="preserve">NEXEO PLASTICS LLC            </t>
  </si>
  <si>
    <t xml:space="preserve">RMS10723-04         </t>
  </si>
  <si>
    <t>.077/.081 X    5.748 X COIL</t>
  </si>
  <si>
    <t xml:space="preserve">RMS10723D-02        </t>
  </si>
  <si>
    <t>.077/.081 X    5.906 X COIL</t>
  </si>
  <si>
    <t xml:space="preserve">RMS16152RL          </t>
  </si>
  <si>
    <t>RM2022-201305-ERMA</t>
  </si>
  <si>
    <t>.057/.061 X   26.850 X COIL</t>
  </si>
  <si>
    <t xml:space="preserve">WSS-M1A367-A11 CR180 50G50G   </t>
  </si>
  <si>
    <t xml:space="preserve">RMS16A126RLAA       </t>
  </si>
  <si>
    <t>RM2018-170865-ERMA</t>
  </si>
  <si>
    <t>.053/.057 X    9.134 X COIL</t>
  </si>
  <si>
    <t xml:space="preserve">WSS-M1A367-A33   50G50G-G1    </t>
  </si>
  <si>
    <t xml:space="preserve">RMS16D600RLAA       </t>
  </si>
  <si>
    <t>RM2018-170854-ERMA</t>
  </si>
  <si>
    <t>.077/.081 X    7.09  X COIL</t>
  </si>
  <si>
    <t xml:space="preserve">WSS-M1A367-A12   50G50G-GI    </t>
  </si>
  <si>
    <t xml:space="preserve">RMS17B984           </t>
  </si>
  <si>
    <t>RM2022-200496-ERMA</t>
  </si>
  <si>
    <t>.139/.155 X   27.874 X COIL</t>
  </si>
  <si>
    <t>WSS-M1A367-A46  340LA P=11.929</t>
  </si>
  <si>
    <t xml:space="preserve">STEEL0125 </t>
  </si>
  <si>
    <t xml:space="preserve">RMS17C790RL         </t>
  </si>
  <si>
    <t>.037/.041 X   24.00  X COIL</t>
  </si>
  <si>
    <t xml:space="preserve">RMS2102220RL        </t>
  </si>
  <si>
    <t>RM2022-201322-ERMA</t>
  </si>
  <si>
    <t>.029/.033 X   46.063 X COIL</t>
  </si>
  <si>
    <t xml:space="preserve">RMS21022A06 P703    </t>
  </si>
  <si>
    <t>.045/.049 X    7.795 X COIL</t>
  </si>
  <si>
    <t xml:space="preserve">WSS-M365-A12 CR2 50G50G       </t>
  </si>
  <si>
    <t xml:space="preserve">RMS21023A40 P703    </t>
  </si>
  <si>
    <t>RM2022-201321-ERMA</t>
  </si>
  <si>
    <t>.061/.065 X   14.252 X COIL</t>
  </si>
  <si>
    <t xml:space="preserve">WSS-M1A365-A12 CR2 50G50G     </t>
  </si>
  <si>
    <t xml:space="preserve">RMS2102544          </t>
  </si>
  <si>
    <t>RM2022-201324-ERMA</t>
  </si>
  <si>
    <t>.045/.049 X    6.850 X COIL</t>
  </si>
  <si>
    <t xml:space="preserve">RMS21044C30A        </t>
  </si>
  <si>
    <t>.037/.041 X    4.882 X COIL</t>
  </si>
  <si>
    <t xml:space="preserve">RMS2110116RLAA      </t>
  </si>
  <si>
    <t>RM2018-171011-ERMA</t>
  </si>
  <si>
    <t xml:space="preserve">RMS21101A16RLA      </t>
  </si>
  <si>
    <t>RM2019-178695-ERMA</t>
  </si>
  <si>
    <t>.068/.072 X   25.625 X COIL</t>
  </si>
  <si>
    <t>WSS-M1A367-A38 50G50G-G1 HDGAL</t>
  </si>
  <si>
    <t xml:space="preserve">RMS2110782A         </t>
  </si>
  <si>
    <t>RM2018-170897-ERMA</t>
  </si>
  <si>
    <t>.045/.05  X   57.5   X COIL</t>
  </si>
  <si>
    <t xml:space="preserve">RMS21108A26RLAA     </t>
  </si>
  <si>
    <t>RM2018-170862-ERMA</t>
  </si>
  <si>
    <t>.053/.057 X   15.197 X COIL</t>
  </si>
  <si>
    <t xml:space="preserve">WSS-M1A367-A35  60G60G-GI     </t>
  </si>
  <si>
    <t xml:space="preserve">RMS21108A60BPIA0103 </t>
  </si>
  <si>
    <t>RM2018-171190-ERMA</t>
  </si>
  <si>
    <t>.097/.107 X   15.374 X COIL</t>
  </si>
  <si>
    <t xml:space="preserve">WSS-M1A367-A46  50G50G-GI     </t>
  </si>
  <si>
    <t xml:space="preserve">RMS2122868RLAA      </t>
  </si>
  <si>
    <t>RM2018-171072-ERMA</t>
  </si>
  <si>
    <t>.053/.057 X   36.024 X COIL</t>
  </si>
  <si>
    <t xml:space="preserve">WSS-M1A365-A12   50G50G-GI    </t>
  </si>
  <si>
    <t xml:space="preserve">RMS21246K43RLA      </t>
  </si>
  <si>
    <t>RM2018-173206-ERMA</t>
  </si>
  <si>
    <t>.045/.049 X    8.940 X COIL</t>
  </si>
  <si>
    <t xml:space="preserve">RMS2126880RLAA      </t>
  </si>
  <si>
    <t>RM2018-171075-ERMA</t>
  </si>
  <si>
    <t>.045/.049 X   25.393 X COIL</t>
  </si>
  <si>
    <t xml:space="preserve">WSS-M1A365-A12  50G50G GI     </t>
  </si>
  <si>
    <t xml:space="preserve">RMS21280K20AA       </t>
  </si>
  <si>
    <t>RM2018-171030-ERMA</t>
  </si>
  <si>
    <t>.077/.081 X   10.433 X COIL</t>
  </si>
  <si>
    <t xml:space="preserve">RMS21286G50AA       </t>
  </si>
  <si>
    <t>RM2018-171188-ERMA</t>
  </si>
  <si>
    <t>.045/.048 X   60.000 X COIL</t>
  </si>
  <si>
    <t xml:space="preserve">RMS21403C62A        </t>
  </si>
  <si>
    <t>.03 /.032 X    6.929 X COIL</t>
  </si>
  <si>
    <t xml:space="preserve">RMS21625A64A        </t>
  </si>
  <si>
    <t>RM2018-170895-ERMA</t>
  </si>
  <si>
    <t>.038/.04  X   18.897 X COIL</t>
  </si>
  <si>
    <t xml:space="preserve">RMS2540338A         </t>
  </si>
  <si>
    <t>.059/.067 X    8.14  X COIL</t>
  </si>
  <si>
    <t xml:space="preserve">WSS-M1A367-A44  UNCOATED      </t>
  </si>
  <si>
    <t xml:space="preserve">RMS26103B60A        </t>
  </si>
  <si>
    <t>.075/.083 X    5.354 X COIL</t>
  </si>
  <si>
    <t xml:space="preserve">RMS26103B60B        </t>
  </si>
  <si>
    <t>.113/.123 X    5.354 X COIL</t>
  </si>
  <si>
    <t xml:space="preserve">RMS26108A70RLA      </t>
  </si>
  <si>
    <t>RM2018-170921-ERMA</t>
  </si>
  <si>
    <t>.045/.049 X   14.566 X COIL</t>
  </si>
  <si>
    <t xml:space="preserve">RMS2626290RLAA      </t>
  </si>
  <si>
    <t>RM2018-171073-ERMA</t>
  </si>
  <si>
    <t>.038/.04  X   20.86  X COIL</t>
  </si>
  <si>
    <t xml:space="preserve">WSS-M1A365-A12  50G50G-G1     </t>
  </si>
  <si>
    <t xml:space="preserve">RMS26268A04RLAD     </t>
  </si>
  <si>
    <t>RM2018-171078-ERMA</t>
  </si>
  <si>
    <t xml:space="preserve">RMS2641212RLAA      </t>
  </si>
  <si>
    <t>RM2018-170994-ERMA</t>
  </si>
  <si>
    <t>.037/.041 X   40.150 X COIL</t>
  </si>
  <si>
    <t xml:space="preserve">WSS-M1A368-A14  50G50G-GI     </t>
  </si>
  <si>
    <t xml:space="preserve">RMS26454W66A        </t>
  </si>
  <si>
    <t>.027/.029 X    4.251 X COIL</t>
  </si>
  <si>
    <t xml:space="preserve">WSS-M1A365-A11 UNCOATED       </t>
  </si>
  <si>
    <t xml:space="preserve">RMS26454W66B        </t>
  </si>
  <si>
    <t>.027/.029 X    8.031 X COIL</t>
  </si>
  <si>
    <t xml:space="preserve">RMS2650840AA        </t>
  </si>
  <si>
    <t>RM2018-171037-ERMA</t>
  </si>
  <si>
    <t>.026/.029 X   48.819 X COIL</t>
  </si>
  <si>
    <t xml:space="preserve">RMS2650844AA        </t>
  </si>
  <si>
    <t>.027/.029 X    6.690 X COIL</t>
  </si>
  <si>
    <t xml:space="preserve">RMS2662570A         </t>
  </si>
  <si>
    <t>.074/.084 X    5.433 X COIL</t>
  </si>
  <si>
    <t xml:space="preserve">RMS5801612          </t>
  </si>
  <si>
    <t>RM2022-201325-ERMA</t>
  </si>
  <si>
    <t>.053/.057 X    8.110 X COIL</t>
  </si>
  <si>
    <t xml:space="preserve">RMS6X37PIA1AA       </t>
  </si>
  <si>
    <t>55078211AA</t>
  </si>
  <si>
    <t>.038/.04  X    5.472 X COIL</t>
  </si>
  <si>
    <t xml:space="preserve">RMS8186RLAA         </t>
  </si>
  <si>
    <t>RM2018-170881-ERMA</t>
  </si>
  <si>
    <t>.034/.036 X   10.394 X COIL</t>
  </si>
  <si>
    <t xml:space="preserve">WSS-M1A365-A11  50G50G-GI     </t>
  </si>
  <si>
    <t xml:space="preserve">RMS8B236RLAA        </t>
  </si>
  <si>
    <t>RM2018-170859-ERMA</t>
  </si>
  <si>
    <t>.046/.048 X   22.323 X COIL</t>
  </si>
  <si>
    <t xml:space="preserve">WSS-M1A365-A13  50G50G-GI     </t>
  </si>
  <si>
    <t xml:space="preserve">RMS9A762A           </t>
  </si>
  <si>
    <t>.037/.041 X   11.614 X COIL</t>
  </si>
  <si>
    <t xml:space="preserve">RMSBR58016A02A      </t>
  </si>
  <si>
    <t>RM2020-188531-ERMA</t>
  </si>
  <si>
    <t>.038/.040 X   10.24  X COIL</t>
  </si>
  <si>
    <t xml:space="preserve">WSS-M1A365-A13 CR3            </t>
  </si>
  <si>
    <t xml:space="preserve">RMSBR58016B28A      </t>
  </si>
  <si>
    <t>RM2020-188542-ERMA ROYAL OAK</t>
  </si>
  <si>
    <t>.045/.049 X   17.01  X COIL</t>
  </si>
  <si>
    <t xml:space="preserve">WSS-M1A367-A34 CR270LA        </t>
  </si>
  <si>
    <t xml:space="preserve">RMSBR58101B50ARL    </t>
  </si>
  <si>
    <t>RM2020-189099-ERMA ROYAL OAK</t>
  </si>
  <si>
    <t>.053/.057 X   37.953 X COIL</t>
  </si>
  <si>
    <t xml:space="preserve">WORTH0110 </t>
  </si>
  <si>
    <t xml:space="preserve">RMSBR5810780A       </t>
  </si>
  <si>
    <t>RM2020-189174-ERMA ROYAL OAK</t>
  </si>
  <si>
    <t>.029/.033 X   37.402 X COIL</t>
  </si>
  <si>
    <t xml:space="preserve">RMSBR58107A96ARL    </t>
  </si>
  <si>
    <t>RM2020-189248-ERMA ROYAL OAK</t>
  </si>
  <si>
    <t>.077/.081 X   34.646 X COIL</t>
  </si>
  <si>
    <t xml:space="preserve">WSS-M1A367-34 CR270LA 50G50G  </t>
  </si>
  <si>
    <t xml:space="preserve">RMSBR58111K36A      </t>
  </si>
  <si>
    <t>RM2020-189198-ERMA*</t>
  </si>
  <si>
    <t>.029/.034 X   54.134 X COIL</t>
  </si>
  <si>
    <t xml:space="preserve">RMSBR58112A56ARL    </t>
  </si>
  <si>
    <t>RM2020-189175-ERMA ROYAL OAK</t>
  </si>
  <si>
    <t>.061/.065 X   35.906 X COIL</t>
  </si>
  <si>
    <t xml:space="preserve">RMSBR5B852W         </t>
  </si>
  <si>
    <t>.061/.065 X    8.325 X COIL</t>
  </si>
  <si>
    <t xml:space="preserve">RMSBR61111C98ARL    </t>
  </si>
  <si>
    <t>RM2020-189182-ERMA ROYAL OAK</t>
  </si>
  <si>
    <t>.081/.085 X   18.583 X COIL</t>
  </si>
  <si>
    <t>HDGA CQ          70G70G .</t>
  </si>
  <si>
    <t xml:space="preserve">WSS-M1A367-A35 CR300LA 70G70G </t>
  </si>
  <si>
    <t xml:space="preserve">RMSBR6C038D         </t>
  </si>
  <si>
    <t>RM2020-189250-ERMA</t>
  </si>
  <si>
    <t>.038/.040 X    8.74  X COIL</t>
  </si>
  <si>
    <t xml:space="preserve">RMSBRS28126APIA01   </t>
  </si>
  <si>
    <t>RM2020-188539-ERMA E</t>
  </si>
  <si>
    <t>.075/.083 X   11.65  X COIL</t>
  </si>
  <si>
    <t xml:space="preserve">WSS-M1A367-A46 HR340LA P&amp;OIL  </t>
  </si>
  <si>
    <t xml:space="preserve">RMSBRS517C84        </t>
  </si>
  <si>
    <t>RM2021-194958-ERMA</t>
  </si>
  <si>
    <t>.075/.083 X    8.329 X COIL</t>
  </si>
  <si>
    <t xml:space="preserve">WSS-M1A367-A50 50G50G HR550LA </t>
  </si>
  <si>
    <t xml:space="preserve">RMSBRX502A74A       </t>
  </si>
  <si>
    <t>RM2020-189251-ERMA</t>
  </si>
  <si>
    <t>.035/.043 X   35.039 X COIL</t>
  </si>
  <si>
    <t xml:space="preserve">RMSBRX502D12A       </t>
  </si>
  <si>
    <t>RM2021-193935-ERMA</t>
  </si>
  <si>
    <t xml:space="preserve">WSS-M1A367-A22 CR210B2 50G50G </t>
  </si>
  <si>
    <t xml:space="preserve">RMSDT41516          </t>
  </si>
  <si>
    <t>FC00ACE41516</t>
  </si>
  <si>
    <t>.077/.080 X   26.417 X COIL</t>
  </si>
  <si>
    <t xml:space="preserve">MS.50002 CR05 UNCOATED U      </t>
  </si>
  <si>
    <t xml:space="preserve">RMSDT42642          </t>
  </si>
  <si>
    <t>FC00ACE42642</t>
  </si>
  <si>
    <t>.077/.080 X   34.921 X COIL</t>
  </si>
  <si>
    <t xml:space="preserve">RMSDT56922          </t>
  </si>
  <si>
    <t>.077/.080 X   47.52  X COIL</t>
  </si>
  <si>
    <t xml:space="preserve">RMSE104B02          </t>
  </si>
  <si>
    <t>RM2022-201435-ERMA</t>
  </si>
  <si>
    <t>.061/.065 X   14.646 X COIL</t>
  </si>
  <si>
    <t xml:space="preserve">RMSE105A88RL        </t>
  </si>
  <si>
    <t>RM2022-201327-ERMA</t>
  </si>
  <si>
    <t>.029/.033 X   21.063 X COIL</t>
  </si>
  <si>
    <t xml:space="preserve">WSS-M1A368-A15 DP1000 50G50G  </t>
  </si>
  <si>
    <t xml:space="preserve">RMSE190995A         </t>
  </si>
  <si>
    <t>RM2024-212391-ERMA</t>
  </si>
  <si>
    <t>.089/.099 X   16.102 X COIL</t>
  </si>
  <si>
    <t xml:space="preserve">RMSE26290RL         </t>
  </si>
  <si>
    <t>RM2022-201557-ERMA</t>
  </si>
  <si>
    <t>.037/.041 X   21.772 X COIL</t>
  </si>
  <si>
    <t xml:space="preserve">RMSE279E12RL        </t>
  </si>
  <si>
    <t>RM2022-201443-ERMA</t>
  </si>
  <si>
    <t>.061/.065 X    7.756 X COIL</t>
  </si>
  <si>
    <t xml:space="preserve">RMSE312A48-01       </t>
  </si>
  <si>
    <t>RM2023-206246-ERMA</t>
  </si>
  <si>
    <t>.089/.093 X   16.750 X COIL</t>
  </si>
  <si>
    <t xml:space="preserve">WSS-M1A367-A46 HR340LA UNCOAT </t>
  </si>
  <si>
    <t xml:space="preserve">RMSE312A49-01       </t>
  </si>
  <si>
    <t>RM2023-206247-ERMA</t>
  </si>
  <si>
    <t>.065/.069 X   17.618 X COIL</t>
  </si>
  <si>
    <t>WSS-M1A367-A46 HR340LA UNCOATE</t>
  </si>
  <si>
    <t xml:space="preserve">RMSE40396           </t>
  </si>
  <si>
    <t>.057/.061 X    8.976 X COIL</t>
  </si>
  <si>
    <t xml:space="preserve">WSS-M1A365-A13 CR3 50G50G     </t>
  </si>
  <si>
    <t xml:space="preserve">RMSE41022RL         </t>
  </si>
  <si>
    <t>RM2022-201434-ERMA</t>
  </si>
  <si>
    <t>.029/.033 X   55.906 X COIL</t>
  </si>
  <si>
    <t xml:space="preserve">RMSE410A36RLAA      </t>
  </si>
  <si>
    <t>.045/.049 X   17.244 X COIL</t>
  </si>
  <si>
    <t>CR   X           MILOIL</t>
  </si>
  <si>
    <t xml:space="preserve">WSS-M1A367A36U CR340LA        </t>
  </si>
  <si>
    <t xml:space="preserve">RMSGM84117805       </t>
  </si>
  <si>
    <t>.038/.040 X   13.622 X COIL</t>
  </si>
  <si>
    <t xml:space="preserve">GMW2M-ST-S-CR3 HD60G60G       </t>
  </si>
  <si>
    <t xml:space="preserve">TARGE0110 </t>
  </si>
  <si>
    <t xml:space="preserve">GM RESALE-TARGET STEEL INC    </t>
  </si>
  <si>
    <t xml:space="preserve">RMSGM85154949       </t>
  </si>
  <si>
    <t>85154949</t>
  </si>
  <si>
    <t>.019/.020 X    4.724 X COIL</t>
  </si>
  <si>
    <t xml:space="preserve">GMW2M-ST-S-CR2-UNCOATED       </t>
  </si>
  <si>
    <t xml:space="preserve">RMSGM85861637       </t>
  </si>
  <si>
    <t xml:space="preserve">GMW2M-ST-S-CR3HD60G60G        </t>
  </si>
  <si>
    <t xml:space="preserve">RMSGMBEE87993/89750 </t>
  </si>
  <si>
    <t>BEE87993/89750</t>
  </si>
  <si>
    <t>.046/.048 X   62.480 X COIL</t>
  </si>
  <si>
    <t xml:space="preserve">GMW3032M-ST-S-CR340LA-60G60G  </t>
  </si>
  <si>
    <t xml:space="preserve">RMST285775609/10    </t>
  </si>
  <si>
    <t>85775609/10</t>
  </si>
  <si>
    <t>.100/.106 X   65.00  X COIL</t>
  </si>
  <si>
    <t>HDGA X       270 60G60G MILOIL</t>
  </si>
  <si>
    <t>HDGA270LA GMW3032MSTS270LA60GU</t>
  </si>
  <si>
    <t xml:space="preserve">RMSU7592K004BARL    </t>
  </si>
  <si>
    <t>R2FC-2K004/5-BA</t>
  </si>
  <si>
    <t>.034/.036 X   25.197 X COIL</t>
  </si>
  <si>
    <t xml:space="preserve">WSS-M1A367-A35 UNCOATED       </t>
  </si>
  <si>
    <t xml:space="preserve">RMSU7592K316BARL    </t>
  </si>
  <si>
    <t>R2FC-2K316/7-BA</t>
  </si>
  <si>
    <t>.034/.036 X   27.165 X COIL</t>
  </si>
  <si>
    <t xml:space="preserve">RMSWL68424957/8     </t>
  </si>
  <si>
    <t xml:space="preserve">LAC420Y480T CR GI60/60 U      </t>
  </si>
  <si>
    <t xml:space="preserve">RMSWL68426191       </t>
  </si>
  <si>
    <t>.057/.061 X    9.252 X COIL</t>
  </si>
  <si>
    <t xml:space="preserve">RMSWL68507882/3     </t>
  </si>
  <si>
    <t>.047/.051 X    7.402 X COIL</t>
  </si>
  <si>
    <t xml:space="preserve">SB3V 16E166 ZA      </t>
  </si>
  <si>
    <t>SB3V 16E166 ZA</t>
  </si>
  <si>
    <t>STA819333-1</t>
  </si>
  <si>
    <t>U725 FORD PN:M2DB-S109A26-AA</t>
  </si>
  <si>
    <t>STEEL BEAM</t>
  </si>
  <si>
    <t xml:space="preserve">AB270/66  ROW 156             </t>
  </si>
  <si>
    <t xml:space="preserve">ABC0100   </t>
  </si>
  <si>
    <t xml:space="preserve">T1WB 2610020 AA01   </t>
  </si>
  <si>
    <t>T1WB 2610020 AA01</t>
  </si>
  <si>
    <t>T1WB-E23942-CB1HO8</t>
  </si>
  <si>
    <t>T1WB-E23942-CB31Y5</t>
  </si>
  <si>
    <t>EBONY SOHO W/SPACE STITCH</t>
  </si>
  <si>
    <t>T1WB-E23942-EA1G1C</t>
  </si>
  <si>
    <t>T1WB-E23942-FA31Y5</t>
  </si>
  <si>
    <t>P703 DOOR FRT DBL RH EBONY</t>
  </si>
  <si>
    <t>SOHO W/SPACE STITCH NON LUX</t>
  </si>
  <si>
    <t>T1WB-E23943-CB1HO8</t>
  </si>
  <si>
    <t>T1WB-E23943-CB31Y5</t>
  </si>
  <si>
    <t>T1WB-E23943-EA1G1C</t>
  </si>
  <si>
    <t>T1WB-E23943-FA1HO8</t>
  </si>
  <si>
    <t>T1WB-E23943-FA31Y5</t>
  </si>
  <si>
    <t>T1WB E27406 CB1HO8</t>
  </si>
  <si>
    <t>T1WB E27406 CB31Y5</t>
  </si>
  <si>
    <t>T1WB E27407 CB1HO8</t>
  </si>
  <si>
    <t>T1WB E27407 CB31Y5</t>
  </si>
  <si>
    <t xml:space="preserve">T1WB E28252 AA      </t>
  </si>
  <si>
    <t>T1WB E28252 AB</t>
  </si>
  <si>
    <t xml:space="preserve">T1WB E28253 AA      </t>
  </si>
  <si>
    <t>T1WB E28253 AB</t>
  </si>
  <si>
    <t xml:space="preserve">T1WB E50291 AA      </t>
  </si>
  <si>
    <t>T1WB-E50291-AA</t>
  </si>
  <si>
    <t>V2DB-16E166-AB</t>
  </si>
  <si>
    <t>U725 UPPER AGS WILDSIDE</t>
  </si>
  <si>
    <t xml:space="preserve">VEND-016-0030       </t>
  </si>
  <si>
    <t>BALLUFF BCC0AL7</t>
  </si>
  <si>
    <t>Y-SPLITTER 250VDC .30M BCC0AL7</t>
  </si>
  <si>
    <t>BCC M414-M415-M415-U2002-003</t>
  </si>
  <si>
    <t xml:space="preserve">VEND 1                        </t>
  </si>
  <si>
    <t xml:space="preserve">VEND-016-0070       </t>
  </si>
  <si>
    <t>BALLUFF BCC0EUC</t>
  </si>
  <si>
    <t>CORDSET DBL END BLK 2M BCC0EUC</t>
  </si>
  <si>
    <t>BCCW425-W414-3A-304-SW0434-020</t>
  </si>
  <si>
    <t xml:space="preserve">VEND-016-0075       </t>
  </si>
  <si>
    <t>BALLUFF BCC05LU</t>
  </si>
  <si>
    <t>CORDSET DBL END 5P 1M BCC05LU</t>
  </si>
  <si>
    <t>BCCM415-M414-3A-304-EX44T2-010</t>
  </si>
  <si>
    <t xml:space="preserve">VEND-035-0040       </t>
  </si>
  <si>
    <t>BALLUFF BAM00C4</t>
  </si>
  <si>
    <t>MOUNTING CUFF BALLUFF BAM00C4</t>
  </si>
  <si>
    <t>FOR 12MM SENSORS BES 12,0-BS-1</t>
  </si>
  <si>
    <t xml:space="preserve">VEND 1 &amp; 2                    </t>
  </si>
  <si>
    <t xml:space="preserve">VEND-035-2110       </t>
  </si>
  <si>
    <t>BALLUFF BOS01NE</t>
  </si>
  <si>
    <t>SENSOR RETROREFLECTIVE BOS01NE</t>
  </si>
  <si>
    <t>BALLUFF BOS 18M-PA-LR20-S4</t>
  </si>
  <si>
    <t>X-MB3B 10723 B</t>
  </si>
  <si>
    <t>ECOAT 10723-A-PIA04</t>
  </si>
  <si>
    <t xml:space="preserve">MISC0113  </t>
  </si>
  <si>
    <t xml:space="preserve">XN1WB 8C291 CD      </t>
  </si>
  <si>
    <t>XN1WB 8C291 CD</t>
  </si>
  <si>
    <t>P703 BEAUTY SHIELD GPIRS</t>
  </si>
  <si>
    <r>
      <rPr>
        <b/>
        <sz val="14"/>
        <color theme="1"/>
        <rFont val="Arial"/>
        <family val="2"/>
      </rPr>
      <t xml:space="preserve">Ship History for </t>
    </r>
    <r>
      <rPr>
        <b/>
        <sz val="14"/>
        <color theme="1"/>
        <rFont val="Arial"/>
        <family val="2"/>
      </rPr>
      <t>Mar 5, 2026</t>
    </r>
    <r>
      <rPr>
        <b/>
        <sz val="14"/>
        <color theme="1"/>
        <rFont val="Arial"/>
        <family val="2"/>
      </rPr>
      <t xml:space="preserve"> - FDDAT     </t>
    </r>
  </si>
  <si>
    <t>Cust Part#</t>
  </si>
  <si>
    <t>Internal Part#</t>
  </si>
  <si>
    <t>Part Desc</t>
  </si>
  <si>
    <t>ShipTo Cust#</t>
  </si>
  <si>
    <t>ShipTo Customer</t>
  </si>
  <si>
    <t>2026-03-05</t>
  </si>
  <si>
    <t>GMC01030</t>
  </si>
  <si>
    <t>GM FLINT ASSEMBLY</t>
  </si>
  <si>
    <t>GMC01110</t>
  </si>
  <si>
    <t>GM OSHAWA ASSEMBLY</t>
  </si>
  <si>
    <t>XFNGXCEL</t>
  </si>
  <si>
    <t>X-CEL INDUSTRIES</t>
  </si>
  <si>
    <t>FRD01HRN</t>
  </si>
  <si>
    <t>FORD/HEARN INDUSTRIAL SERVICE</t>
  </si>
  <si>
    <t>GMC01010</t>
  </si>
  <si>
    <t>GM FACTORY ZERO</t>
  </si>
  <si>
    <t>MB3B 21016A23 AA</t>
  </si>
  <si>
    <t>FRD01013</t>
  </si>
  <si>
    <t>FORD MOTOR COMPANY       MS0BA</t>
  </si>
  <si>
    <t>XFNGSHB1</t>
  </si>
  <si>
    <t>FLEX N GATE SHELBY LLC</t>
  </si>
  <si>
    <t>FRD01015</t>
  </si>
  <si>
    <t>FORD MOTOR COMPANY       AP02A</t>
  </si>
  <si>
    <t>P1WB E280A54 BB</t>
  </si>
  <si>
    <t>N1WB E106B46 AD</t>
  </si>
  <si>
    <t>FRD01012</t>
  </si>
  <si>
    <t>M2DB 17E811 GC5YZ9</t>
  </si>
  <si>
    <t>N1WB E40781 AC</t>
  </si>
  <si>
    <t>XFNGFT1</t>
  </si>
  <si>
    <t>FLEX-N-GATE FORMING TECH</t>
  </si>
  <si>
    <t>N1WB E10940 CF</t>
  </si>
  <si>
    <t>MGC01001</t>
  </si>
  <si>
    <t>MASTERGUARD</t>
  </si>
  <si>
    <t>MB3B 2610111 DC</t>
  </si>
  <si>
    <t>XFNGXCL1</t>
  </si>
  <si>
    <t>M2DB 17E810 CB5YZ9</t>
  </si>
  <si>
    <t>MB3B 21016A22 AA</t>
  </si>
  <si>
    <t>KB3C 2K004 AA</t>
  </si>
  <si>
    <t xml:space="preserve">U725 D PILLAR INNER L-ROW 909 </t>
  </si>
  <si>
    <t>XFNGRO1</t>
  </si>
  <si>
    <t>FLEX N GATE ROYAL OAK</t>
  </si>
  <si>
    <t xml:space="preserve">U725 D PILLAR INNER R-ROW 908 </t>
  </si>
  <si>
    <t>M2DB S502D12 AE</t>
  </si>
  <si>
    <t>85701330</t>
  </si>
  <si>
    <t xml:space="preserve">DT TRX CENTER SUPPORT BRACKET </t>
  </si>
  <si>
    <t>XFNGCOV1</t>
  </si>
  <si>
    <t>Flex-N-Gate Covington</t>
  </si>
  <si>
    <t>M2DB S502A74 AD</t>
  </si>
  <si>
    <t>N1WB E10129 AB</t>
  </si>
  <si>
    <t>N1WB 16D232 BB</t>
  </si>
  <si>
    <t>MB3C 5B018 AB</t>
  </si>
  <si>
    <t>FRD01030</t>
  </si>
  <si>
    <t>C0240202</t>
  </si>
  <si>
    <t>XFNGBC1</t>
  </si>
  <si>
    <t>FLEX N GATE BATTLE CREEK</t>
  </si>
  <si>
    <t>M2DB 17E810 GC5YZ9</t>
  </si>
  <si>
    <t>P2DB 16E166 BB</t>
  </si>
  <si>
    <t>M2DB 17E811 BA5YZ9</t>
  </si>
  <si>
    <t>MB3B 18A334 AB</t>
  </si>
  <si>
    <t>M2DB S444A18 AA</t>
  </si>
  <si>
    <t>N1WB E20171 AA</t>
  </si>
  <si>
    <t xml:space="preserve">BT1CC B-PILLAR UPPER RH       </t>
  </si>
  <si>
    <t>85701332</t>
  </si>
  <si>
    <t xml:space="preserve">BT1CC A Pillar Garn LH        </t>
  </si>
  <si>
    <t>MB3B 58111K48 CB</t>
  </si>
  <si>
    <t>KB3B 2150840 AC</t>
  </si>
  <si>
    <t>KB3C 2K005 AA</t>
  </si>
  <si>
    <t>P1WB E280A55 BB</t>
  </si>
  <si>
    <t>C0240901</t>
  </si>
  <si>
    <t>N1WB E40630 AE</t>
  </si>
  <si>
    <t>N1WB 8C291 CD</t>
  </si>
  <si>
    <t xml:space="preserve">P703 BEAUTY SHIELD            </t>
  </si>
  <si>
    <t>MB3B 21021A40 AE</t>
  </si>
  <si>
    <t>N1WB E280K96 DA</t>
  </si>
  <si>
    <t>P2DB 16E166 AB</t>
  </si>
  <si>
    <t>N1WB 16D233 BB</t>
  </si>
  <si>
    <t>M2DB S27830 AA</t>
  </si>
  <si>
    <t>MB3B 2610110 DD</t>
  </si>
  <si>
    <t>N1WB E280K97 DA</t>
  </si>
  <si>
    <t>C0240302</t>
  </si>
  <si>
    <t>N1WB E10128 AB</t>
  </si>
  <si>
    <t>M2DB S27831 AA</t>
  </si>
  <si>
    <t>N1WB E20170 AA</t>
  </si>
  <si>
    <t>PN TRIM</t>
  </si>
  <si>
    <t>Inventory Lookup</t>
  </si>
  <si>
    <t xml:space="preserve">   1:{p:"PCPE23942IN01.H-RH",d:"desc"},</t>
  </si>
  <si>
    <t xml:space="preserve">   2:{p:"PCPE27406IN01.H-RH",d:"desc"},</t>
  </si>
  <si>
    <t xml:space="preserve">   3:{p:"PCPE23942IN02.H-RH",d:"desc"},</t>
  </si>
  <si>
    <t xml:space="preserve">   4:{p:"PCPE23942IN03.H-RH",d:"desc"},</t>
  </si>
  <si>
    <t xml:space="preserve">   5:{p:"PCPE27406IN02.H-RH",d:"desc"},</t>
  </si>
  <si>
    <t xml:space="preserve">   6:{p:"PCPE27406IN03.H-RH",d:"desc"},</t>
  </si>
  <si>
    <t xml:space="preserve">   7:{p:"",d:""},</t>
  </si>
  <si>
    <t xml:space="preserve">   8:{p:"",d:""},</t>
  </si>
  <si>
    <t xml:space="preserve">   9:{p:"PCPE27406AR01.H-RH",d:"desc"},</t>
  </si>
  <si>
    <t xml:space="preserve">  10:{p:"PCPE27406AR02.H-RH",d:"desc"},</t>
  </si>
  <si>
    <t xml:space="preserve">  11:{p:"PCPE27406AR05.H-RH",d:"desc"},</t>
  </si>
  <si>
    <t xml:space="preserve">  12:{p:"PCPE27406AR04.H-RH",d:"desc"},</t>
  </si>
  <si>
    <t xml:space="preserve">  13:{p:"PCP14E072AE-RH",d:"desc"},</t>
  </si>
  <si>
    <t xml:space="preserve">  14:{p:"",d:""},</t>
  </si>
  <si>
    <t xml:space="preserve">  15:{p:"PCP14E072AE-RH",d:"desc"},</t>
  </si>
  <si>
    <t xml:space="preserve">  16:{p:"PCP14E072EF-RH",d:"desc"},</t>
  </si>
  <si>
    <t xml:space="preserve">  19:{p:"",d:""},</t>
  </si>
  <si>
    <t xml:space="preserve">  20:{p:"PCPE23942APIA30A",d:"desc"},</t>
  </si>
  <si>
    <t xml:space="preserve">  21:{p:"",d:""},</t>
  </si>
  <si>
    <t xml:space="preserve">  22:{p:"PCPE23942APIA201MY-RH",d:"desc"},</t>
  </si>
  <si>
    <t xml:space="preserve">  23:{p:"",d:""},</t>
  </si>
  <si>
    <t xml:space="preserve">  24:{p:"PCPE23942APIA20JA6-RH",d:"desc"},</t>
  </si>
  <si>
    <t xml:space="preserve">  25:{p:"",d:""},</t>
  </si>
  <si>
    <t xml:space="preserve">  26:{p:"",d:""},</t>
  </si>
  <si>
    <t xml:space="preserve">  27:{p:"",d:""},</t>
  </si>
  <si>
    <t xml:space="preserve">  28:{p:"PCPE23942AR01.H-RH",d:"desc"},</t>
  </si>
  <si>
    <t xml:space="preserve">  29:{p:"PCPE23942AR02.H-RH",d:"desc"},</t>
  </si>
  <si>
    <t xml:space="preserve">  30:{p:"PCPE23942AR04.H-RH",d:"desc"},</t>
  </si>
  <si>
    <t xml:space="preserve">  31:{p:"PCPE23942AR05.H-RH",d:"desc"},</t>
  </si>
  <si>
    <t xml:space="preserve">  32:{p:"PCPE23942AR03.H-RH",d:"desc"},</t>
  </si>
  <si>
    <t xml:space="preserve">  33:{p:"",d:""},</t>
  </si>
  <si>
    <t xml:space="preserve">  34:{p:"",d:""},</t>
  </si>
  <si>
    <t xml:space="preserve">  35:{p:"",d:""},</t>
  </si>
  <si>
    <t xml:space="preserve">  36:{p:"PCPE23900TOP01.H-RH",d:"PARTDESC_RACK_36"},</t>
  </si>
  <si>
    <t xml:space="preserve">  37:{p:"PCPE23900TOP02.H-RH",d:"PARTDESC_RACK_37"},</t>
  </si>
  <si>
    <t xml:space="preserve">  38:{p:"PCPE23900APIA07-RH",d:"PARTDESC_RACK_38"},</t>
  </si>
  <si>
    <t xml:space="preserve">  39:{p:"",d:""}</t>
  </si>
  <si>
    <t xml:space="preserve">  17:{p:"PCPE237W28APIA70",d:"desc"},</t>
  </si>
  <si>
    <t xml:space="preserve">  18:{p:"PCPE237W28APIA91",d:"desc"},</t>
  </si>
  <si>
    <t>",d:""},</t>
  </si>
  <si>
    <t>PCP14E072AF</t>
  </si>
  <si>
    <t>PCP14E072EF</t>
  </si>
  <si>
    <t>PCPE23942APIA30A</t>
  </si>
  <si>
    <t>",d:""}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</si>
</sst>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m\ d\,\ yyyy"/>
    <numFmt numFmtId="165" formatCode="m/d/yy"/>
    <numFmt numFmtId="166" formatCode="#0.#####"/>
    <numFmt numFmtId="167" formatCode="#0"/>
    <numFmt numFmtId="168" formatCode="#,##0.0"/>
    <numFmt numFmtId="169" formatCode="#,##0.#####"/>
    <numFmt numFmtId="170" formatCode="#0.00"/>
  </numFmts>
  <fonts count="15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0"/>
      <color theme="1"/>
      <name val="Tahoma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10"/>
      <color theme="1"/>
      <name val="Arial"/>
      <family val="2"/>
    </font>
    <font>
      <sz val="8"/>
      <color rgb="FF009933"/>
      <name val="Arial"/>
      <family val="2"/>
    </font>
    <font>
      <b/>
      <sz val="8"/>
      <color rgb="FFFF3333"/>
      <name val="Arial"/>
      <family val="2"/>
    </font>
    <font>
      <sz val="8"/>
      <color rgb="FFCC9900"/>
      <name val="Arial"/>
      <family val="2"/>
    </font>
    <font>
      <sz val="8"/>
      <color rgb="FF990000"/>
      <name val="Arial"/>
      <family val="2"/>
    </font>
    <font>
      <sz val="8"/>
      <color rgb="FFFFFFFF"/>
      <name val="Arial"/>
      <family val="2"/>
    </font>
    <font>
      <b/>
      <sz val="8"/>
      <color rgb="FF454545"/>
      <name val="Arial"/>
      <family val="2"/>
    </font>
    <font>
      <b/>
      <sz val="8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E7E5E5"/>
      </patternFill>
    </fill>
    <fill>
      <patternFill patternType="solid">
        <fgColor rgb="FFFFFFFF"/>
      </patternFill>
    </fill>
    <fill>
      <patternFill patternType="solid">
        <fgColor rgb="FF990000"/>
      </patternFill>
    </fill>
    <fill>
      <patternFill patternType="solid">
        <fgColor rgb="FFFFFF00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54">
    <xf numFmtId="0" fontId="0" fillId="0" borderId="0" xfId="0"/>
    <xf numFmtId="0" fontId="5" fillId="3" borderId="1" xfId="2" applyFont="1" applyFill="1" applyBorder="1" applyAlignment="1">
      <alignment horizontal="center" vertical="top"/>
    </xf>
    <xf numFmtId="165" fontId="5" fillId="3" borderId="1" xfId="2" applyNumberFormat="1" applyFont="1" applyFill="1" applyBorder="1" applyAlignment="1">
      <alignment horizontal="center" vertical="top"/>
    </xf>
    <xf numFmtId="0" fontId="6" fillId="0" borderId="2" xfId="2" applyFont="1" applyBorder="1" applyAlignment="1">
      <alignment horizontal="right" vertical="top"/>
    </xf>
    <xf numFmtId="0" fontId="6" fillId="0" borderId="2" xfId="2" applyFont="1" applyBorder="1" applyAlignment="1">
      <alignment horizontal="left" vertical="top"/>
    </xf>
    <xf numFmtId="166" fontId="6" fillId="0" borderId="2" xfId="2" applyNumberFormat="1" applyFont="1" applyBorder="1" applyAlignment="1">
      <alignment horizontal="right" vertical="top"/>
    </xf>
    <xf numFmtId="167" fontId="6" fillId="0" borderId="2" xfId="2" applyNumberFormat="1" applyFont="1" applyBorder="1" applyAlignment="1">
      <alignment horizontal="right" vertical="top"/>
    </xf>
    <xf numFmtId="3" fontId="6" fillId="0" borderId="2" xfId="2" applyNumberFormat="1" applyFont="1" applyBorder="1" applyAlignment="1">
      <alignment horizontal="right" vertical="top"/>
    </xf>
    <xf numFmtId="0" fontId="2" fillId="0" borderId="3" xfId="2" applyBorder="1"/>
    <xf numFmtId="0" fontId="6" fillId="0" borderId="3" xfId="2" applyFont="1" applyBorder="1" applyAlignment="1">
      <alignment horizontal="right" vertical="top"/>
    </xf>
    <xf numFmtId="0" fontId="6" fillId="0" borderId="3" xfId="2" applyFont="1" applyBorder="1" applyAlignment="1">
      <alignment horizontal="left" vertical="top"/>
    </xf>
    <xf numFmtId="166" fontId="6" fillId="0" borderId="3" xfId="2" applyNumberFormat="1" applyFont="1" applyBorder="1" applyAlignment="1">
      <alignment horizontal="right" vertical="top"/>
    </xf>
    <xf numFmtId="167" fontId="6" fillId="0" borderId="3" xfId="2" applyNumberFormat="1" applyFont="1" applyBorder="1" applyAlignment="1">
      <alignment horizontal="right" vertical="top"/>
    </xf>
    <xf numFmtId="3" fontId="6" fillId="0" borderId="3" xfId="2" applyNumberFormat="1" applyFont="1" applyBorder="1" applyAlignment="1">
      <alignment horizontal="right" vertical="top"/>
    </xf>
    <xf numFmtId="0" fontId="3" fillId="0" borderId="0" xfId="2" applyFont="1" applyAlignment="1">
      <alignment horizontal="left" vertical="center"/>
    </xf>
    <xf numFmtId="0" fontId="2" fillId="0" borderId="0" xfId="2"/>
    <xf numFmtId="164" fontId="4" fillId="0" borderId="0" xfId="2" applyNumberFormat="1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0" fontId="5" fillId="3" borderId="1" xfId="2" applyFont="1" applyFill="1" applyBorder="1" applyAlignment="1">
      <alignment horizontal="center" vertical="top"/>
    </xf>
    <xf numFmtId="0" fontId="2" fillId="0" borderId="2" xfId="2" applyBorder="1"/>
    <xf numFmtId="0" fontId="6" fillId="0" borderId="2" xfId="2" applyFont="1" applyBorder="1" applyAlignment="1">
      <alignment horizontal="left" vertical="top"/>
    </xf>
    <xf numFmtId="0" fontId="2" fillId="0" borderId="3" xfId="2" applyBorder="1"/>
    <xf numFmtId="0" fontId="6" fillId="0" borderId="3" xfId="2" applyFont="1" applyBorder="1" applyAlignment="1">
      <alignment horizontal="left" vertical="top"/>
    </xf>
    <xf numFmtId="0" fontId="6" fillId="0" borderId="2" xfId="2" applyFont="1" applyBorder="1" applyAlignment="1">
      <alignment horizontal="center" vertical="top"/>
    </xf>
    <xf numFmtId="3" fontId="6" fillId="0" borderId="2" xfId="2" applyNumberFormat="1" applyFont="1" applyBorder="1" applyAlignment="1">
      <alignment horizontal="center" vertical="top"/>
    </xf>
    <xf numFmtId="168" fontId="8" fillId="4" borderId="2" xfId="2" applyNumberFormat="1" applyFont="1" applyFill="1" applyBorder="1" applyAlignment="1">
      <alignment horizontal="center" vertical="top"/>
    </xf>
    <xf numFmtId="168" fontId="6" fillId="0" borderId="2" xfId="2" applyNumberFormat="1" applyFont="1" applyBorder="1" applyAlignment="1">
      <alignment horizontal="center" vertical="top"/>
    </xf>
    <xf numFmtId="164" fontId="9" fillId="0" borderId="2" xfId="2" applyNumberFormat="1" applyFont="1" applyBorder="1" applyAlignment="1">
      <alignment horizontal="center" vertical="top"/>
    </xf>
    <xf numFmtId="0" fontId="6" fillId="0" borderId="3" xfId="2" applyFont="1" applyBorder="1" applyAlignment="1">
      <alignment horizontal="center" vertical="top"/>
    </xf>
    <xf numFmtId="3" fontId="6" fillId="0" borderId="3" xfId="2" applyNumberFormat="1" applyFont="1" applyBorder="1" applyAlignment="1">
      <alignment horizontal="center" vertical="top"/>
    </xf>
    <xf numFmtId="0" fontId="2" fillId="4" borderId="3" xfId="2" applyFill="1" applyBorder="1"/>
    <xf numFmtId="168" fontId="8" fillId="4" borderId="3" xfId="2" applyNumberFormat="1" applyFont="1" applyFill="1" applyBorder="1" applyAlignment="1">
      <alignment horizontal="center" vertical="top"/>
    </xf>
    <xf numFmtId="168" fontId="6" fillId="0" borderId="3" xfId="2" applyNumberFormat="1" applyFont="1" applyBorder="1" applyAlignment="1">
      <alignment horizontal="center" vertical="top"/>
    </xf>
    <xf numFmtId="164" fontId="9" fillId="0" borderId="3" xfId="2" applyNumberFormat="1" applyFont="1" applyBorder="1" applyAlignment="1">
      <alignment horizontal="center" vertical="top"/>
    </xf>
    <xf numFmtId="169" fontId="6" fillId="0" borderId="3" xfId="2" applyNumberFormat="1" applyFont="1" applyBorder="1" applyAlignment="1">
      <alignment horizontal="center" vertical="top"/>
    </xf>
    <xf numFmtId="164" fontId="10" fillId="4" borderId="3" xfId="2" applyNumberFormat="1" applyFont="1" applyFill="1" applyBorder="1" applyAlignment="1">
      <alignment horizontal="center" vertical="top"/>
    </xf>
    <xf numFmtId="164" fontId="8" fillId="4" borderId="3" xfId="2" applyNumberFormat="1" applyFont="1" applyFill="1" applyBorder="1" applyAlignment="1">
      <alignment horizontal="center" vertical="top"/>
    </xf>
    <xf numFmtId="168" fontId="10" fillId="4" borderId="3" xfId="2" applyNumberFormat="1" applyFont="1" applyFill="1" applyBorder="1" applyAlignment="1">
      <alignment horizontal="center" vertical="top"/>
    </xf>
    <xf numFmtId="168" fontId="11" fillId="4" borderId="3" xfId="2" applyNumberFormat="1" applyFont="1" applyFill="1" applyBorder="1" applyAlignment="1">
      <alignment horizontal="center" vertical="top"/>
    </xf>
    <xf numFmtId="164" fontId="11" fillId="4" borderId="3" xfId="2" applyNumberFormat="1" applyFont="1" applyFill="1" applyBorder="1" applyAlignment="1">
      <alignment horizontal="center" vertical="top"/>
    </xf>
    <xf numFmtId="168" fontId="12" fillId="5" borderId="3" xfId="2" applyNumberFormat="1" applyFont="1" applyFill="1" applyBorder="1" applyAlignment="1">
      <alignment horizontal="center" vertical="top"/>
    </xf>
    <xf numFmtId="168" fontId="13" fillId="6" borderId="3" xfId="2" applyNumberFormat="1" applyFont="1" applyFill="1" applyBorder="1" applyAlignment="1">
      <alignment horizontal="center" vertical="top"/>
    </xf>
    <xf numFmtId="0" fontId="7" fillId="0" borderId="0" xfId="2" applyFont="1" applyAlignment="1">
      <alignment horizontal="center" vertical="center"/>
    </xf>
    <xf numFmtId="0" fontId="5" fillId="3" borderId="5" xfId="2" applyFont="1" applyFill="1" applyBorder="1" applyAlignment="1">
      <alignment horizontal="left" vertical="top"/>
    </xf>
    <xf numFmtId="0" fontId="5" fillId="3" borderId="1" xfId="2" applyFont="1" applyFill="1" applyBorder="1" applyAlignment="1">
      <alignment horizontal="center" vertical="top"/>
    </xf>
    <xf numFmtId="0" fontId="6" fillId="0" borderId="2" xfId="2" applyFont="1" applyBorder="1" applyAlignment="1">
      <alignment horizontal="right" vertical="top"/>
    </xf>
    <xf numFmtId="0" fontId="14" fillId="3" borderId="4" xfId="2" applyFont="1" applyFill="1" applyBorder="1" applyAlignment="1">
      <alignment horizontal="left" vertical="top"/>
    </xf>
    <xf numFmtId="0" fontId="5" fillId="3" borderId="4" xfId="2" applyFont="1" applyFill="1" applyBorder="1" applyAlignment="1">
      <alignment horizontal="left" vertical="top"/>
    </xf>
    <xf numFmtId="170" fontId="6" fillId="0" borderId="6" xfId="2" applyNumberFormat="1" applyFont="1" applyBorder="1" applyAlignment="1">
      <alignment horizontal="right" vertical="top"/>
    </xf>
    <xf numFmtId="0" fontId="5" fillId="3" borderId="5" xfId="2" applyFont="1" applyFill="1" applyBorder="1" applyAlignment="1">
      <alignment horizontal="left" vertical="top"/>
    </xf>
    <xf numFmtId="0" fontId="2" fillId="3" borderId="5" xfId="2" applyFill="1" applyBorder="1"/>
    <xf numFmtId="0" fontId="3" fillId="0" borderId="0" xfId="2" applyFont="1" applyAlignment="1">
      <alignment vertical="center"/>
    </xf>
    <xf numFmtId="0" fontId="5" fillId="3" borderId="4" xfId="2" applyFont="1" applyFill="1" applyBorder="1" applyAlignment="1">
      <alignment horizontal="left" vertical="top"/>
    </xf>
    <xf numFmtId="0" fontId="1" fillId="2" borderId="0" xfId="1"/>
  </cellXfs>
  <cellStyles count="3">
    <cellStyle name="Neutral" xfId="1" builtinId="28"/>
    <cellStyle name="Normal" xfId="0" builtinId="0"/>
    <cellStyle name="Normal 2" xfId="2" xr:uid="{E70A8C99-9E9A-4760-ABFA-8774EB33C7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FCA71-E679-40A7-8A5B-475D9AA81C2B}">
  <sheetPr filterMode="1"/>
  <dimension ref="A1:E446"/>
  <sheetViews>
    <sheetView topLeftCell="A85" workbookViewId="0">
      <selection activeCell="A101" sqref="A101:E104"/>
    </sheetView>
  </sheetViews>
  <sheetFormatPr defaultRowHeight="15" x14ac:dyDescent="0.25"/>
  <cols>
    <col min="1" max="1" width="20.5703125" bestFit="1" customWidth="1"/>
    <col min="2" max="2" width="22.7109375" bestFit="1" customWidth="1"/>
    <col min="3" max="3" width="10.28515625" bestFit="1" customWidth="1"/>
    <col min="4" max="4" width="15.7109375" bestFit="1" customWidth="1"/>
    <col min="5" max="5" width="2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33</v>
      </c>
      <c r="D2" t="s">
        <v>7</v>
      </c>
      <c r="E2" t="s">
        <v>8</v>
      </c>
    </row>
    <row r="3" spans="1:5" x14ac:dyDescent="0.25">
      <c r="A3" t="s">
        <v>5</v>
      </c>
      <c r="B3" t="s">
        <v>6</v>
      </c>
      <c r="C3">
        <v>34</v>
      </c>
      <c r="D3" t="s">
        <v>9</v>
      </c>
      <c r="E3" t="s">
        <v>10</v>
      </c>
    </row>
    <row r="4" spans="1:5" x14ac:dyDescent="0.25">
      <c r="A4" t="s">
        <v>5</v>
      </c>
      <c r="B4" t="s">
        <v>6</v>
      </c>
      <c r="C4">
        <v>35</v>
      </c>
      <c r="D4" t="s">
        <v>11</v>
      </c>
      <c r="E4" t="s">
        <v>12</v>
      </c>
    </row>
    <row r="5" spans="1:5" x14ac:dyDescent="0.25">
      <c r="A5" t="s">
        <v>5</v>
      </c>
      <c r="B5" t="s">
        <v>6</v>
      </c>
      <c r="C5">
        <v>36</v>
      </c>
      <c r="D5" t="s">
        <v>13</v>
      </c>
      <c r="E5" t="s">
        <v>14</v>
      </c>
    </row>
    <row r="6" spans="1:5" x14ac:dyDescent="0.25">
      <c r="A6" t="s">
        <v>5</v>
      </c>
      <c r="B6" t="s">
        <v>6</v>
      </c>
      <c r="C6">
        <v>37</v>
      </c>
      <c r="D6" t="s">
        <v>15</v>
      </c>
      <c r="E6" t="s">
        <v>16</v>
      </c>
    </row>
    <row r="7" spans="1:5" x14ac:dyDescent="0.25">
      <c r="A7" t="s">
        <v>5</v>
      </c>
      <c r="B7" t="s">
        <v>6</v>
      </c>
      <c r="C7">
        <v>38</v>
      </c>
      <c r="D7" t="s">
        <v>17</v>
      </c>
      <c r="E7" t="s">
        <v>18</v>
      </c>
    </row>
    <row r="8" spans="1:5" x14ac:dyDescent="0.25">
      <c r="A8" t="s">
        <v>5</v>
      </c>
      <c r="B8" t="s">
        <v>6</v>
      </c>
      <c r="C8">
        <v>39</v>
      </c>
      <c r="D8" t="s">
        <v>19</v>
      </c>
      <c r="E8" t="s">
        <v>20</v>
      </c>
    </row>
    <row r="9" spans="1:5" x14ac:dyDescent="0.25">
      <c r="A9" t="s">
        <v>21</v>
      </c>
      <c r="B9" t="s">
        <v>6</v>
      </c>
      <c r="C9">
        <v>33</v>
      </c>
      <c r="D9" t="s">
        <v>7</v>
      </c>
      <c r="E9" t="s">
        <v>22</v>
      </c>
    </row>
    <row r="10" spans="1:5" x14ac:dyDescent="0.25">
      <c r="A10" t="s">
        <v>21</v>
      </c>
      <c r="B10" t="s">
        <v>6</v>
      </c>
      <c r="C10">
        <v>34</v>
      </c>
      <c r="D10" t="s">
        <v>9</v>
      </c>
      <c r="E10" t="s">
        <v>10</v>
      </c>
    </row>
    <row r="11" spans="1:5" x14ac:dyDescent="0.25">
      <c r="A11" t="s">
        <v>21</v>
      </c>
      <c r="B11" t="s">
        <v>6</v>
      </c>
      <c r="C11">
        <v>35</v>
      </c>
      <c r="D11" t="s">
        <v>11</v>
      </c>
      <c r="E11" t="s">
        <v>12</v>
      </c>
    </row>
    <row r="12" spans="1:5" x14ac:dyDescent="0.25">
      <c r="A12" t="s">
        <v>21</v>
      </c>
      <c r="B12" t="s">
        <v>6</v>
      </c>
      <c r="C12">
        <v>36</v>
      </c>
      <c r="D12" t="s">
        <v>13</v>
      </c>
      <c r="E12" t="s">
        <v>14</v>
      </c>
    </row>
    <row r="13" spans="1:5" x14ac:dyDescent="0.25">
      <c r="A13" t="s">
        <v>21</v>
      </c>
      <c r="B13" t="s">
        <v>6</v>
      </c>
      <c r="C13">
        <v>37</v>
      </c>
      <c r="D13" t="s">
        <v>15</v>
      </c>
      <c r="E13" t="s">
        <v>16</v>
      </c>
    </row>
    <row r="14" spans="1:5" x14ac:dyDescent="0.25">
      <c r="A14" t="s">
        <v>21</v>
      </c>
      <c r="B14" t="s">
        <v>6</v>
      </c>
      <c r="C14">
        <v>38</v>
      </c>
      <c r="D14" t="s">
        <v>17</v>
      </c>
      <c r="E14" t="s">
        <v>18</v>
      </c>
    </row>
    <row r="15" spans="1:5" x14ac:dyDescent="0.25">
      <c r="A15" t="s">
        <v>21</v>
      </c>
      <c r="B15" t="s">
        <v>6</v>
      </c>
      <c r="C15">
        <v>39</v>
      </c>
      <c r="D15" t="s">
        <v>19</v>
      </c>
      <c r="E15" t="s">
        <v>23</v>
      </c>
    </row>
    <row r="16" spans="1:5" x14ac:dyDescent="0.25">
      <c r="A16" t="s">
        <v>24</v>
      </c>
      <c r="B16" t="s">
        <v>6</v>
      </c>
      <c r="C16">
        <v>33</v>
      </c>
      <c r="D16" t="s">
        <v>7</v>
      </c>
      <c r="E16" t="s">
        <v>25</v>
      </c>
    </row>
    <row r="17" spans="1:5" x14ac:dyDescent="0.25">
      <c r="A17" t="s">
        <v>24</v>
      </c>
      <c r="B17" t="s">
        <v>6</v>
      </c>
      <c r="C17">
        <v>34</v>
      </c>
      <c r="D17" t="s">
        <v>9</v>
      </c>
      <c r="E17" t="s">
        <v>26</v>
      </c>
    </row>
    <row r="18" spans="1:5" x14ac:dyDescent="0.25">
      <c r="A18" t="s">
        <v>24</v>
      </c>
      <c r="B18" t="s">
        <v>6</v>
      </c>
      <c r="C18">
        <v>35</v>
      </c>
      <c r="D18" t="s">
        <v>11</v>
      </c>
      <c r="E18" t="s">
        <v>12</v>
      </c>
    </row>
    <row r="19" spans="1:5" x14ac:dyDescent="0.25">
      <c r="A19" t="s">
        <v>24</v>
      </c>
      <c r="B19" t="s">
        <v>6</v>
      </c>
      <c r="C19">
        <v>36</v>
      </c>
      <c r="D19" t="s">
        <v>13</v>
      </c>
      <c r="E19" t="s">
        <v>27</v>
      </c>
    </row>
    <row r="20" spans="1:5" x14ac:dyDescent="0.25">
      <c r="A20" t="s">
        <v>24</v>
      </c>
      <c r="B20" t="s">
        <v>6</v>
      </c>
      <c r="C20">
        <v>37</v>
      </c>
      <c r="D20" t="s">
        <v>15</v>
      </c>
      <c r="E20" t="s">
        <v>16</v>
      </c>
    </row>
    <row r="21" spans="1:5" x14ac:dyDescent="0.25">
      <c r="A21" t="s">
        <v>24</v>
      </c>
      <c r="B21" t="s">
        <v>6</v>
      </c>
      <c r="C21">
        <v>38</v>
      </c>
      <c r="D21" t="s">
        <v>17</v>
      </c>
      <c r="E21" t="s">
        <v>18</v>
      </c>
    </row>
    <row r="22" spans="1:5" x14ac:dyDescent="0.25">
      <c r="A22" t="s">
        <v>24</v>
      </c>
      <c r="B22" t="s">
        <v>6</v>
      </c>
      <c r="C22">
        <v>39</v>
      </c>
      <c r="D22" t="s">
        <v>19</v>
      </c>
      <c r="E22" t="s">
        <v>28</v>
      </c>
    </row>
    <row r="23" spans="1:5" x14ac:dyDescent="0.25">
      <c r="A23" t="s">
        <v>29</v>
      </c>
      <c r="B23" t="s">
        <v>6</v>
      </c>
      <c r="C23">
        <v>33</v>
      </c>
      <c r="D23" t="s">
        <v>7</v>
      </c>
      <c r="E23" t="s">
        <v>30</v>
      </c>
    </row>
    <row r="24" spans="1:5" x14ac:dyDescent="0.25">
      <c r="A24" t="s">
        <v>29</v>
      </c>
      <c r="B24" t="s">
        <v>6</v>
      </c>
      <c r="C24">
        <v>34</v>
      </c>
      <c r="D24" t="s">
        <v>9</v>
      </c>
      <c r="E24" t="s">
        <v>26</v>
      </c>
    </row>
    <row r="25" spans="1:5" x14ac:dyDescent="0.25">
      <c r="A25" t="s">
        <v>29</v>
      </c>
      <c r="B25" t="s">
        <v>6</v>
      </c>
      <c r="C25">
        <v>35</v>
      </c>
      <c r="D25" t="s">
        <v>11</v>
      </c>
      <c r="E25" t="s">
        <v>12</v>
      </c>
    </row>
    <row r="26" spans="1:5" x14ac:dyDescent="0.25">
      <c r="A26" t="s">
        <v>29</v>
      </c>
      <c r="B26" t="s">
        <v>6</v>
      </c>
      <c r="C26">
        <v>36</v>
      </c>
      <c r="D26" t="s">
        <v>13</v>
      </c>
      <c r="E26" t="s">
        <v>27</v>
      </c>
    </row>
    <row r="27" spans="1:5" x14ac:dyDescent="0.25">
      <c r="A27" t="s">
        <v>29</v>
      </c>
      <c r="B27" t="s">
        <v>6</v>
      </c>
      <c r="C27">
        <v>37</v>
      </c>
      <c r="D27" t="s">
        <v>15</v>
      </c>
      <c r="E27" t="s">
        <v>16</v>
      </c>
    </row>
    <row r="28" spans="1:5" x14ac:dyDescent="0.25">
      <c r="A28" t="s">
        <v>29</v>
      </c>
      <c r="B28" t="s">
        <v>6</v>
      </c>
      <c r="C28">
        <v>38</v>
      </c>
      <c r="D28" t="s">
        <v>17</v>
      </c>
      <c r="E28" t="s">
        <v>18</v>
      </c>
    </row>
    <row r="29" spans="1:5" x14ac:dyDescent="0.25">
      <c r="A29" t="s">
        <v>29</v>
      </c>
      <c r="B29" t="s">
        <v>6</v>
      </c>
      <c r="C29">
        <v>39</v>
      </c>
      <c r="D29" t="s">
        <v>19</v>
      </c>
      <c r="E29" t="s">
        <v>31</v>
      </c>
    </row>
    <row r="30" spans="1:5" x14ac:dyDescent="0.25">
      <c r="A30" t="s">
        <v>32</v>
      </c>
      <c r="B30" t="s">
        <v>6</v>
      </c>
      <c r="C30">
        <v>33</v>
      </c>
      <c r="D30" t="s">
        <v>7</v>
      </c>
      <c r="E30" t="s">
        <v>25</v>
      </c>
    </row>
    <row r="31" spans="1:5" x14ac:dyDescent="0.25">
      <c r="A31" t="s">
        <v>32</v>
      </c>
      <c r="B31" t="s">
        <v>6</v>
      </c>
      <c r="C31">
        <v>34</v>
      </c>
      <c r="D31" t="s">
        <v>9</v>
      </c>
      <c r="E31" t="s">
        <v>33</v>
      </c>
    </row>
    <row r="32" spans="1:5" x14ac:dyDescent="0.25">
      <c r="A32" t="s">
        <v>32</v>
      </c>
      <c r="B32" t="s">
        <v>6</v>
      </c>
      <c r="C32">
        <v>35</v>
      </c>
      <c r="D32" t="s">
        <v>11</v>
      </c>
      <c r="E32" t="s">
        <v>12</v>
      </c>
    </row>
    <row r="33" spans="1:5" x14ac:dyDescent="0.25">
      <c r="A33" t="s">
        <v>32</v>
      </c>
      <c r="B33" t="s">
        <v>6</v>
      </c>
      <c r="C33">
        <v>36</v>
      </c>
      <c r="D33" t="s">
        <v>13</v>
      </c>
      <c r="E33" t="s">
        <v>27</v>
      </c>
    </row>
    <row r="34" spans="1:5" x14ac:dyDescent="0.25">
      <c r="A34" t="s">
        <v>32</v>
      </c>
      <c r="B34" t="s">
        <v>6</v>
      </c>
      <c r="C34">
        <v>37</v>
      </c>
      <c r="D34" t="s">
        <v>15</v>
      </c>
      <c r="E34" t="s">
        <v>16</v>
      </c>
    </row>
    <row r="35" spans="1:5" x14ac:dyDescent="0.25">
      <c r="A35" t="s">
        <v>32</v>
      </c>
      <c r="B35" t="s">
        <v>6</v>
      </c>
      <c r="C35">
        <v>38</v>
      </c>
      <c r="D35" t="s">
        <v>17</v>
      </c>
      <c r="E35" t="s">
        <v>18</v>
      </c>
    </row>
    <row r="36" spans="1:5" x14ac:dyDescent="0.25">
      <c r="A36" t="s">
        <v>32</v>
      </c>
      <c r="B36" t="s">
        <v>6</v>
      </c>
      <c r="C36">
        <v>39</v>
      </c>
      <c r="D36" t="s">
        <v>19</v>
      </c>
      <c r="E36" t="s">
        <v>34</v>
      </c>
    </row>
    <row r="37" spans="1:5" x14ac:dyDescent="0.25">
      <c r="A37" t="s">
        <v>35</v>
      </c>
      <c r="B37" t="s">
        <v>6</v>
      </c>
      <c r="C37">
        <v>33</v>
      </c>
      <c r="D37" t="s">
        <v>7</v>
      </c>
      <c r="E37" t="s">
        <v>25</v>
      </c>
    </row>
    <row r="38" spans="1:5" x14ac:dyDescent="0.25">
      <c r="A38" t="s">
        <v>35</v>
      </c>
      <c r="B38" t="s">
        <v>6</v>
      </c>
      <c r="C38">
        <v>34</v>
      </c>
      <c r="D38" t="s">
        <v>9</v>
      </c>
      <c r="E38" t="s">
        <v>26</v>
      </c>
    </row>
    <row r="39" spans="1:5" x14ac:dyDescent="0.25">
      <c r="A39" t="s">
        <v>35</v>
      </c>
      <c r="B39" t="s">
        <v>6</v>
      </c>
      <c r="C39">
        <v>35</v>
      </c>
      <c r="D39" t="s">
        <v>11</v>
      </c>
      <c r="E39" t="s">
        <v>12</v>
      </c>
    </row>
    <row r="40" spans="1:5" x14ac:dyDescent="0.25">
      <c r="A40" t="s">
        <v>35</v>
      </c>
      <c r="B40" t="s">
        <v>6</v>
      </c>
      <c r="C40">
        <v>36</v>
      </c>
      <c r="D40" t="s">
        <v>13</v>
      </c>
      <c r="E40" t="s">
        <v>27</v>
      </c>
    </row>
    <row r="41" spans="1:5" x14ac:dyDescent="0.25">
      <c r="A41" t="s">
        <v>35</v>
      </c>
      <c r="B41" t="s">
        <v>6</v>
      </c>
      <c r="C41">
        <v>37</v>
      </c>
      <c r="D41" t="s">
        <v>15</v>
      </c>
      <c r="E41" t="s">
        <v>16</v>
      </c>
    </row>
    <row r="42" spans="1:5" x14ac:dyDescent="0.25">
      <c r="A42" t="s">
        <v>35</v>
      </c>
      <c r="B42" t="s">
        <v>6</v>
      </c>
      <c r="C42">
        <v>38</v>
      </c>
      <c r="D42" t="s">
        <v>17</v>
      </c>
      <c r="E42" t="s">
        <v>18</v>
      </c>
    </row>
    <row r="43" spans="1:5" x14ac:dyDescent="0.25">
      <c r="A43" t="s">
        <v>35</v>
      </c>
      <c r="B43" t="s">
        <v>6</v>
      </c>
      <c r="C43">
        <v>39</v>
      </c>
      <c r="D43" t="s">
        <v>19</v>
      </c>
      <c r="E43" t="s">
        <v>28</v>
      </c>
    </row>
    <row r="44" spans="1:5" x14ac:dyDescent="0.25">
      <c r="A44" t="s">
        <v>36</v>
      </c>
      <c r="B44" t="s">
        <v>6</v>
      </c>
      <c r="C44">
        <v>33</v>
      </c>
      <c r="D44" t="s">
        <v>7</v>
      </c>
      <c r="E44" t="s">
        <v>30</v>
      </c>
    </row>
    <row r="45" spans="1:5" x14ac:dyDescent="0.25">
      <c r="A45" t="s">
        <v>36</v>
      </c>
      <c r="B45" t="s">
        <v>6</v>
      </c>
      <c r="C45">
        <v>34</v>
      </c>
      <c r="D45" t="s">
        <v>9</v>
      </c>
      <c r="E45" t="s">
        <v>26</v>
      </c>
    </row>
    <row r="46" spans="1:5" x14ac:dyDescent="0.25">
      <c r="A46" t="s">
        <v>36</v>
      </c>
      <c r="B46" t="s">
        <v>6</v>
      </c>
      <c r="C46">
        <v>35</v>
      </c>
      <c r="D46" t="s">
        <v>11</v>
      </c>
      <c r="E46" t="s">
        <v>12</v>
      </c>
    </row>
    <row r="47" spans="1:5" x14ac:dyDescent="0.25">
      <c r="A47" t="s">
        <v>36</v>
      </c>
      <c r="B47" t="s">
        <v>6</v>
      </c>
      <c r="C47">
        <v>36</v>
      </c>
      <c r="D47" t="s">
        <v>13</v>
      </c>
      <c r="E47" t="s">
        <v>27</v>
      </c>
    </row>
    <row r="48" spans="1:5" x14ac:dyDescent="0.25">
      <c r="A48" t="s">
        <v>36</v>
      </c>
      <c r="B48" t="s">
        <v>6</v>
      </c>
      <c r="C48">
        <v>37</v>
      </c>
      <c r="D48" t="s">
        <v>15</v>
      </c>
      <c r="E48" t="s">
        <v>16</v>
      </c>
    </row>
    <row r="49" spans="1:5" x14ac:dyDescent="0.25">
      <c r="A49" t="s">
        <v>36</v>
      </c>
      <c r="B49" t="s">
        <v>6</v>
      </c>
      <c r="C49">
        <v>38</v>
      </c>
      <c r="D49" t="s">
        <v>17</v>
      </c>
      <c r="E49" t="s">
        <v>18</v>
      </c>
    </row>
    <row r="50" spans="1:5" x14ac:dyDescent="0.25">
      <c r="A50" t="s">
        <v>36</v>
      </c>
      <c r="B50" t="s">
        <v>6</v>
      </c>
      <c r="C50">
        <v>39</v>
      </c>
      <c r="D50" t="s">
        <v>19</v>
      </c>
      <c r="E50" t="s">
        <v>31</v>
      </c>
    </row>
    <row r="51" spans="1:5" x14ac:dyDescent="0.25">
      <c r="A51" t="s">
        <v>37</v>
      </c>
      <c r="B51" t="s">
        <v>6</v>
      </c>
      <c r="C51">
        <v>33</v>
      </c>
      <c r="D51" t="s">
        <v>7</v>
      </c>
      <c r="E51" t="s">
        <v>25</v>
      </c>
    </row>
    <row r="52" spans="1:5" x14ac:dyDescent="0.25">
      <c r="A52" t="s">
        <v>37</v>
      </c>
      <c r="B52" t="s">
        <v>6</v>
      </c>
      <c r="C52">
        <v>34</v>
      </c>
      <c r="D52" t="s">
        <v>9</v>
      </c>
      <c r="E52" t="s">
        <v>33</v>
      </c>
    </row>
    <row r="53" spans="1:5" x14ac:dyDescent="0.25">
      <c r="A53" t="s">
        <v>37</v>
      </c>
      <c r="B53" t="s">
        <v>6</v>
      </c>
      <c r="C53">
        <v>35</v>
      </c>
      <c r="D53" t="s">
        <v>11</v>
      </c>
      <c r="E53" t="s">
        <v>38</v>
      </c>
    </row>
    <row r="54" spans="1:5" x14ac:dyDescent="0.25">
      <c r="A54" t="s">
        <v>37</v>
      </c>
      <c r="B54" t="s">
        <v>6</v>
      </c>
      <c r="C54">
        <v>36</v>
      </c>
      <c r="D54" t="s">
        <v>13</v>
      </c>
      <c r="E54" t="s">
        <v>27</v>
      </c>
    </row>
    <row r="55" spans="1:5" x14ac:dyDescent="0.25">
      <c r="A55" t="s">
        <v>37</v>
      </c>
      <c r="B55" t="s">
        <v>6</v>
      </c>
      <c r="C55">
        <v>37</v>
      </c>
      <c r="D55" t="s">
        <v>15</v>
      </c>
      <c r="E55" t="s">
        <v>16</v>
      </c>
    </row>
    <row r="56" spans="1:5" x14ac:dyDescent="0.25">
      <c r="A56" t="s">
        <v>37</v>
      </c>
      <c r="B56" t="s">
        <v>6</v>
      </c>
      <c r="C56">
        <v>38</v>
      </c>
      <c r="D56" t="s">
        <v>17</v>
      </c>
      <c r="E56" t="s">
        <v>18</v>
      </c>
    </row>
    <row r="57" spans="1:5" x14ac:dyDescent="0.25">
      <c r="A57" t="s">
        <v>37</v>
      </c>
      <c r="B57" t="s">
        <v>6</v>
      </c>
      <c r="C57">
        <v>39</v>
      </c>
      <c r="D57" t="s">
        <v>19</v>
      </c>
      <c r="E57" t="s">
        <v>34</v>
      </c>
    </row>
    <row r="58" spans="1:5" x14ac:dyDescent="0.25">
      <c r="A58" t="s">
        <v>39</v>
      </c>
      <c r="B58" t="s">
        <v>6</v>
      </c>
      <c r="C58">
        <v>33</v>
      </c>
      <c r="D58" t="s">
        <v>7</v>
      </c>
      <c r="E58" t="s">
        <v>25</v>
      </c>
    </row>
    <row r="59" spans="1:5" x14ac:dyDescent="0.25">
      <c r="A59" t="s">
        <v>39</v>
      </c>
      <c r="B59" t="s">
        <v>6</v>
      </c>
      <c r="C59">
        <v>34</v>
      </c>
      <c r="D59" t="s">
        <v>9</v>
      </c>
      <c r="E59" t="s">
        <v>26</v>
      </c>
    </row>
    <row r="60" spans="1:5" x14ac:dyDescent="0.25">
      <c r="A60" t="s">
        <v>39</v>
      </c>
      <c r="B60" t="s">
        <v>6</v>
      </c>
      <c r="C60">
        <v>35</v>
      </c>
      <c r="D60" t="s">
        <v>11</v>
      </c>
      <c r="E60" t="s">
        <v>38</v>
      </c>
    </row>
    <row r="61" spans="1:5" x14ac:dyDescent="0.25">
      <c r="A61" t="s">
        <v>39</v>
      </c>
      <c r="B61" t="s">
        <v>6</v>
      </c>
      <c r="C61">
        <v>36</v>
      </c>
      <c r="D61" t="s">
        <v>13</v>
      </c>
      <c r="E61" t="s">
        <v>27</v>
      </c>
    </row>
    <row r="62" spans="1:5" x14ac:dyDescent="0.25">
      <c r="A62" t="s">
        <v>39</v>
      </c>
      <c r="B62" t="s">
        <v>6</v>
      </c>
      <c r="C62">
        <v>37</v>
      </c>
      <c r="D62" t="s">
        <v>15</v>
      </c>
      <c r="E62" t="s">
        <v>16</v>
      </c>
    </row>
    <row r="63" spans="1:5" x14ac:dyDescent="0.25">
      <c r="A63" t="s">
        <v>39</v>
      </c>
      <c r="B63" t="s">
        <v>6</v>
      </c>
      <c r="C63">
        <v>38</v>
      </c>
      <c r="D63" t="s">
        <v>17</v>
      </c>
      <c r="E63" t="s">
        <v>18</v>
      </c>
    </row>
    <row r="64" spans="1:5" x14ac:dyDescent="0.25">
      <c r="A64" t="s">
        <v>39</v>
      </c>
      <c r="B64" t="s">
        <v>6</v>
      </c>
      <c r="C64">
        <v>39</v>
      </c>
      <c r="D64" t="s">
        <v>19</v>
      </c>
      <c r="E64" t="s">
        <v>28</v>
      </c>
    </row>
    <row r="65" spans="1:5" x14ac:dyDescent="0.25">
      <c r="A65" t="s">
        <v>40</v>
      </c>
      <c r="B65" t="s">
        <v>6</v>
      </c>
      <c r="C65">
        <v>38</v>
      </c>
      <c r="D65" t="s">
        <v>17</v>
      </c>
      <c r="E65" t="s">
        <v>18</v>
      </c>
    </row>
    <row r="66" spans="1:5" x14ac:dyDescent="0.25">
      <c r="A66" t="s">
        <v>40</v>
      </c>
      <c r="B66" t="s">
        <v>6</v>
      </c>
      <c r="C66">
        <v>39</v>
      </c>
      <c r="D66" t="s">
        <v>19</v>
      </c>
      <c r="E66" t="s">
        <v>31</v>
      </c>
    </row>
    <row r="67" spans="1:5" x14ac:dyDescent="0.25">
      <c r="A67" t="s">
        <v>40</v>
      </c>
      <c r="B67" t="s">
        <v>6</v>
      </c>
      <c r="C67">
        <v>33</v>
      </c>
      <c r="D67" t="s">
        <v>7</v>
      </c>
      <c r="E67" t="s">
        <v>25</v>
      </c>
    </row>
    <row r="68" spans="1:5" x14ac:dyDescent="0.25">
      <c r="A68" t="s">
        <v>40</v>
      </c>
      <c r="B68" t="s">
        <v>6</v>
      </c>
      <c r="C68">
        <v>34</v>
      </c>
      <c r="D68" t="s">
        <v>9</v>
      </c>
      <c r="E68" t="s">
        <v>26</v>
      </c>
    </row>
    <row r="69" spans="1:5" x14ac:dyDescent="0.25">
      <c r="A69" t="s">
        <v>40</v>
      </c>
      <c r="B69" t="s">
        <v>6</v>
      </c>
      <c r="C69">
        <v>35</v>
      </c>
      <c r="D69" t="s">
        <v>11</v>
      </c>
      <c r="E69" t="s">
        <v>38</v>
      </c>
    </row>
    <row r="70" spans="1:5" x14ac:dyDescent="0.25">
      <c r="A70" t="s">
        <v>40</v>
      </c>
      <c r="B70" t="s">
        <v>6</v>
      </c>
      <c r="C70">
        <v>36</v>
      </c>
      <c r="D70" t="s">
        <v>13</v>
      </c>
      <c r="E70" t="s">
        <v>27</v>
      </c>
    </row>
    <row r="71" spans="1:5" x14ac:dyDescent="0.25">
      <c r="A71" t="s">
        <v>40</v>
      </c>
      <c r="B71" t="s">
        <v>6</v>
      </c>
      <c r="C71">
        <v>37</v>
      </c>
      <c r="D71" t="s">
        <v>15</v>
      </c>
      <c r="E71" t="s">
        <v>16</v>
      </c>
    </row>
    <row r="72" spans="1:5" x14ac:dyDescent="0.25">
      <c r="A72" t="s">
        <v>41</v>
      </c>
      <c r="B72" t="s">
        <v>6</v>
      </c>
      <c r="C72">
        <v>33</v>
      </c>
      <c r="D72" t="s">
        <v>7</v>
      </c>
      <c r="E72" t="s">
        <v>25</v>
      </c>
    </row>
    <row r="73" spans="1:5" x14ac:dyDescent="0.25">
      <c r="A73" t="s">
        <v>41</v>
      </c>
      <c r="B73" t="s">
        <v>6</v>
      </c>
      <c r="C73">
        <v>34</v>
      </c>
      <c r="D73" t="s">
        <v>9</v>
      </c>
      <c r="E73" t="s">
        <v>33</v>
      </c>
    </row>
    <row r="74" spans="1:5" x14ac:dyDescent="0.25">
      <c r="A74" t="s">
        <v>41</v>
      </c>
      <c r="B74" t="s">
        <v>6</v>
      </c>
      <c r="C74">
        <v>35</v>
      </c>
      <c r="D74" t="s">
        <v>11</v>
      </c>
      <c r="E74" t="s">
        <v>38</v>
      </c>
    </row>
    <row r="75" spans="1:5" x14ac:dyDescent="0.25">
      <c r="A75" t="s">
        <v>41</v>
      </c>
      <c r="B75" t="s">
        <v>6</v>
      </c>
      <c r="C75">
        <v>36</v>
      </c>
      <c r="D75" t="s">
        <v>13</v>
      </c>
      <c r="E75" t="s">
        <v>27</v>
      </c>
    </row>
    <row r="76" spans="1:5" x14ac:dyDescent="0.25">
      <c r="A76" t="s">
        <v>41</v>
      </c>
      <c r="B76" t="s">
        <v>6</v>
      </c>
      <c r="C76">
        <v>37</v>
      </c>
      <c r="D76" t="s">
        <v>15</v>
      </c>
      <c r="E76" t="s">
        <v>42</v>
      </c>
    </row>
    <row r="77" spans="1:5" x14ac:dyDescent="0.25">
      <c r="A77" t="s">
        <v>41</v>
      </c>
      <c r="B77" t="s">
        <v>6</v>
      </c>
      <c r="C77">
        <v>38</v>
      </c>
      <c r="D77" t="s">
        <v>17</v>
      </c>
      <c r="E77" t="s">
        <v>18</v>
      </c>
    </row>
    <row r="78" spans="1:5" x14ac:dyDescent="0.25">
      <c r="A78" t="s">
        <v>41</v>
      </c>
      <c r="B78" t="s">
        <v>6</v>
      </c>
      <c r="C78">
        <v>39</v>
      </c>
      <c r="D78" t="s">
        <v>19</v>
      </c>
      <c r="E78" t="s">
        <v>34</v>
      </c>
    </row>
    <row r="79" spans="1:5" x14ac:dyDescent="0.25">
      <c r="A79" t="s">
        <v>43</v>
      </c>
      <c r="B79" t="s">
        <v>6</v>
      </c>
      <c r="C79">
        <v>33</v>
      </c>
      <c r="D79" t="s">
        <v>7</v>
      </c>
      <c r="E79" t="s">
        <v>25</v>
      </c>
    </row>
    <row r="80" spans="1:5" x14ac:dyDescent="0.25">
      <c r="A80" t="s">
        <v>43</v>
      </c>
      <c r="B80" t="s">
        <v>6</v>
      </c>
      <c r="C80">
        <v>34</v>
      </c>
      <c r="D80" t="s">
        <v>9</v>
      </c>
      <c r="E80" t="s">
        <v>26</v>
      </c>
    </row>
    <row r="81" spans="1:5" x14ac:dyDescent="0.25">
      <c r="A81" t="s">
        <v>43</v>
      </c>
      <c r="B81" t="s">
        <v>6</v>
      </c>
      <c r="C81">
        <v>35</v>
      </c>
      <c r="D81" t="s">
        <v>11</v>
      </c>
      <c r="E81" t="s">
        <v>38</v>
      </c>
    </row>
    <row r="82" spans="1:5" x14ac:dyDescent="0.25">
      <c r="A82" t="s">
        <v>43</v>
      </c>
      <c r="B82" t="s">
        <v>6</v>
      </c>
      <c r="C82">
        <v>36</v>
      </c>
      <c r="D82" t="s">
        <v>13</v>
      </c>
      <c r="E82" t="s">
        <v>27</v>
      </c>
    </row>
    <row r="83" spans="1:5" x14ac:dyDescent="0.25">
      <c r="A83" t="s">
        <v>43</v>
      </c>
      <c r="B83" t="s">
        <v>6</v>
      </c>
      <c r="C83">
        <v>37</v>
      </c>
      <c r="D83" t="s">
        <v>15</v>
      </c>
      <c r="E83" t="s">
        <v>42</v>
      </c>
    </row>
    <row r="84" spans="1:5" x14ac:dyDescent="0.25">
      <c r="A84" t="s">
        <v>43</v>
      </c>
      <c r="B84" t="s">
        <v>6</v>
      </c>
      <c r="C84">
        <v>38</v>
      </c>
      <c r="D84" t="s">
        <v>17</v>
      </c>
      <c r="E84" t="s">
        <v>18</v>
      </c>
    </row>
    <row r="85" spans="1:5" x14ac:dyDescent="0.25">
      <c r="A85" t="s">
        <v>43</v>
      </c>
      <c r="B85" t="s">
        <v>6</v>
      </c>
      <c r="C85">
        <v>39</v>
      </c>
      <c r="D85" t="s">
        <v>19</v>
      </c>
      <c r="E85" t="s">
        <v>28</v>
      </c>
    </row>
    <row r="86" spans="1:5" x14ac:dyDescent="0.25">
      <c r="A86" t="s">
        <v>44</v>
      </c>
      <c r="B86" t="s">
        <v>6</v>
      </c>
      <c r="C86">
        <v>33</v>
      </c>
      <c r="D86" t="s">
        <v>7</v>
      </c>
      <c r="E86" t="s">
        <v>25</v>
      </c>
    </row>
    <row r="87" spans="1:5" x14ac:dyDescent="0.25">
      <c r="A87" t="s">
        <v>44</v>
      </c>
      <c r="B87" t="s">
        <v>6</v>
      </c>
      <c r="C87">
        <v>34</v>
      </c>
      <c r="D87" t="s">
        <v>9</v>
      </c>
      <c r="E87" t="s">
        <v>26</v>
      </c>
    </row>
    <row r="88" spans="1:5" x14ac:dyDescent="0.25">
      <c r="A88" t="s">
        <v>44</v>
      </c>
      <c r="B88" t="s">
        <v>6</v>
      </c>
      <c r="C88">
        <v>35</v>
      </c>
      <c r="D88" t="s">
        <v>11</v>
      </c>
      <c r="E88" t="s">
        <v>38</v>
      </c>
    </row>
    <row r="89" spans="1:5" x14ac:dyDescent="0.25">
      <c r="A89" t="s">
        <v>44</v>
      </c>
      <c r="B89" t="s">
        <v>6</v>
      </c>
      <c r="C89">
        <v>36</v>
      </c>
      <c r="D89" t="s">
        <v>13</v>
      </c>
      <c r="E89" t="s">
        <v>27</v>
      </c>
    </row>
    <row r="90" spans="1:5" x14ac:dyDescent="0.25">
      <c r="A90" t="s">
        <v>44</v>
      </c>
      <c r="B90" t="s">
        <v>6</v>
      </c>
      <c r="C90">
        <v>37</v>
      </c>
      <c r="D90" t="s">
        <v>15</v>
      </c>
      <c r="E90" t="s">
        <v>42</v>
      </c>
    </row>
    <row r="91" spans="1:5" x14ac:dyDescent="0.25">
      <c r="A91" t="s">
        <v>44</v>
      </c>
      <c r="B91" t="s">
        <v>6</v>
      </c>
      <c r="C91">
        <v>38</v>
      </c>
      <c r="D91" t="s">
        <v>17</v>
      </c>
      <c r="E91" t="s">
        <v>18</v>
      </c>
    </row>
    <row r="92" spans="1:5" x14ac:dyDescent="0.25">
      <c r="A92" t="s">
        <v>44</v>
      </c>
      <c r="B92" t="s">
        <v>6</v>
      </c>
      <c r="C92">
        <v>39</v>
      </c>
      <c r="D92" t="s">
        <v>19</v>
      </c>
      <c r="E92" t="s">
        <v>31</v>
      </c>
    </row>
    <row r="93" spans="1:5" x14ac:dyDescent="0.25">
      <c r="A93" t="s">
        <v>45</v>
      </c>
      <c r="B93" t="s">
        <v>6</v>
      </c>
      <c r="C93">
        <v>34</v>
      </c>
      <c r="D93" t="s">
        <v>9</v>
      </c>
      <c r="E93" t="s">
        <v>46</v>
      </c>
    </row>
    <row r="94" spans="1:5" x14ac:dyDescent="0.25">
      <c r="A94" t="s">
        <v>45</v>
      </c>
      <c r="B94" t="s">
        <v>6</v>
      </c>
      <c r="C94">
        <v>37</v>
      </c>
      <c r="D94" t="s">
        <v>15</v>
      </c>
      <c r="E94" t="s">
        <v>47</v>
      </c>
    </row>
    <row r="95" spans="1:5" x14ac:dyDescent="0.25">
      <c r="A95" t="s">
        <v>45</v>
      </c>
      <c r="B95" t="s">
        <v>6</v>
      </c>
      <c r="C95">
        <v>38</v>
      </c>
      <c r="D95" t="s">
        <v>17</v>
      </c>
      <c r="E95" t="s">
        <v>18</v>
      </c>
    </row>
    <row r="96" spans="1:5" x14ac:dyDescent="0.25">
      <c r="A96" t="s">
        <v>45</v>
      </c>
      <c r="B96" t="s">
        <v>6</v>
      </c>
      <c r="C96">
        <v>39</v>
      </c>
      <c r="D96" t="s">
        <v>19</v>
      </c>
      <c r="E96" t="s">
        <v>48</v>
      </c>
    </row>
    <row r="97" spans="1:5" x14ac:dyDescent="0.25">
      <c r="A97" t="s">
        <v>49</v>
      </c>
      <c r="B97" t="s">
        <v>6</v>
      </c>
      <c r="C97">
        <v>34</v>
      </c>
      <c r="D97" t="s">
        <v>9</v>
      </c>
      <c r="E97" t="s">
        <v>46</v>
      </c>
    </row>
    <row r="98" spans="1:5" x14ac:dyDescent="0.25">
      <c r="A98" t="s">
        <v>49</v>
      </c>
      <c r="B98" t="s">
        <v>6</v>
      </c>
      <c r="C98">
        <v>37</v>
      </c>
      <c r="D98" t="s">
        <v>15</v>
      </c>
      <c r="E98" t="s">
        <v>47</v>
      </c>
    </row>
    <row r="99" spans="1:5" x14ac:dyDescent="0.25">
      <c r="A99" t="s">
        <v>49</v>
      </c>
      <c r="B99" t="s">
        <v>6</v>
      </c>
      <c r="C99">
        <v>38</v>
      </c>
      <c r="D99" t="s">
        <v>17</v>
      </c>
      <c r="E99" t="s">
        <v>18</v>
      </c>
    </row>
    <row r="100" spans="1:5" x14ac:dyDescent="0.25">
      <c r="A100" t="s">
        <v>49</v>
      </c>
      <c r="B100" t="s">
        <v>6</v>
      </c>
      <c r="C100">
        <v>39</v>
      </c>
      <c r="D100" t="s">
        <v>19</v>
      </c>
      <c r="E100" t="s">
        <v>50</v>
      </c>
    </row>
    <row r="101" spans="1:5" x14ac:dyDescent="0.25">
      <c r="A101" t="s">
        <v>51</v>
      </c>
      <c r="B101" t="s">
        <v>6</v>
      </c>
      <c r="C101">
        <v>34</v>
      </c>
      <c r="D101" t="s">
        <v>9</v>
      </c>
      <c r="E101" t="s">
        <v>52</v>
      </c>
    </row>
    <row r="102" spans="1:5" x14ac:dyDescent="0.25">
      <c r="A102" t="s">
        <v>51</v>
      </c>
      <c r="B102" t="s">
        <v>6</v>
      </c>
      <c r="C102">
        <v>37</v>
      </c>
      <c r="D102" t="s">
        <v>15</v>
      </c>
      <c r="E102" t="s">
        <v>47</v>
      </c>
    </row>
    <row r="103" spans="1:5" x14ac:dyDescent="0.25">
      <c r="A103" t="s">
        <v>51</v>
      </c>
      <c r="B103" t="s">
        <v>6</v>
      </c>
      <c r="C103">
        <v>38</v>
      </c>
      <c r="D103" t="s">
        <v>17</v>
      </c>
      <c r="E103" t="s">
        <v>18</v>
      </c>
    </row>
    <row r="104" spans="1:5" x14ac:dyDescent="0.25">
      <c r="A104" t="s">
        <v>51</v>
      </c>
      <c r="B104" t="s">
        <v>6</v>
      </c>
      <c r="C104">
        <v>39</v>
      </c>
      <c r="D104" t="s">
        <v>19</v>
      </c>
      <c r="E104" t="s">
        <v>20</v>
      </c>
    </row>
    <row r="105" spans="1:5" x14ac:dyDescent="0.25">
      <c r="A105" t="s">
        <v>53</v>
      </c>
      <c r="B105" t="s">
        <v>6</v>
      </c>
      <c r="C105">
        <v>34</v>
      </c>
      <c r="D105" t="s">
        <v>9</v>
      </c>
      <c r="E105" t="s">
        <v>52</v>
      </c>
    </row>
    <row r="106" spans="1:5" x14ac:dyDescent="0.25">
      <c r="A106" t="s">
        <v>53</v>
      </c>
      <c r="B106" t="s">
        <v>6</v>
      </c>
      <c r="C106">
        <v>37</v>
      </c>
      <c r="D106" t="s">
        <v>15</v>
      </c>
      <c r="E106" t="s">
        <v>47</v>
      </c>
    </row>
    <row r="107" spans="1:5" x14ac:dyDescent="0.25">
      <c r="A107" t="s">
        <v>53</v>
      </c>
      <c r="B107" t="s">
        <v>6</v>
      </c>
      <c r="C107">
        <v>38</v>
      </c>
      <c r="D107" t="s">
        <v>17</v>
      </c>
      <c r="E107" t="s">
        <v>18</v>
      </c>
    </row>
    <row r="108" spans="1:5" x14ac:dyDescent="0.25">
      <c r="A108" t="s">
        <v>53</v>
      </c>
      <c r="B108" t="s">
        <v>6</v>
      </c>
      <c r="C108">
        <v>39</v>
      </c>
      <c r="D108" t="s">
        <v>19</v>
      </c>
      <c r="E108" t="s">
        <v>23</v>
      </c>
    </row>
    <row r="109" spans="1:5" x14ac:dyDescent="0.25">
      <c r="A109" t="s">
        <v>54</v>
      </c>
      <c r="B109" t="s">
        <v>6</v>
      </c>
      <c r="C109">
        <v>34</v>
      </c>
      <c r="D109" t="s">
        <v>9</v>
      </c>
      <c r="E109" t="s">
        <v>46</v>
      </c>
    </row>
    <row r="110" spans="1:5" x14ac:dyDescent="0.25">
      <c r="A110" t="s">
        <v>54</v>
      </c>
      <c r="B110" t="s">
        <v>6</v>
      </c>
      <c r="C110">
        <v>37</v>
      </c>
      <c r="D110" t="s">
        <v>15</v>
      </c>
      <c r="E110" t="s">
        <v>47</v>
      </c>
    </row>
    <row r="111" spans="1:5" x14ac:dyDescent="0.25">
      <c r="A111" t="s">
        <v>54</v>
      </c>
      <c r="B111" t="s">
        <v>6</v>
      </c>
      <c r="C111">
        <v>38</v>
      </c>
      <c r="D111" t="s">
        <v>17</v>
      </c>
      <c r="E111" t="s">
        <v>18</v>
      </c>
    </row>
    <row r="112" spans="1:5" x14ac:dyDescent="0.25">
      <c r="A112" t="s">
        <v>54</v>
      </c>
      <c r="B112" t="s">
        <v>6</v>
      </c>
      <c r="C112">
        <v>39</v>
      </c>
      <c r="D112" t="s">
        <v>19</v>
      </c>
      <c r="E112" t="s">
        <v>34</v>
      </c>
    </row>
    <row r="113" spans="1:5" x14ac:dyDescent="0.25">
      <c r="A113" t="s">
        <v>55</v>
      </c>
      <c r="B113" t="s">
        <v>6</v>
      </c>
      <c r="C113">
        <v>34</v>
      </c>
      <c r="D113" t="s">
        <v>9</v>
      </c>
      <c r="E113" t="s">
        <v>46</v>
      </c>
    </row>
    <row r="114" spans="1:5" x14ac:dyDescent="0.25">
      <c r="A114" t="s">
        <v>55</v>
      </c>
      <c r="B114" t="s">
        <v>6</v>
      </c>
      <c r="C114">
        <v>37</v>
      </c>
      <c r="D114" t="s">
        <v>15</v>
      </c>
      <c r="E114" t="s">
        <v>47</v>
      </c>
    </row>
    <row r="115" spans="1:5" x14ac:dyDescent="0.25">
      <c r="A115" t="s">
        <v>55</v>
      </c>
      <c r="B115" t="s">
        <v>6</v>
      </c>
      <c r="C115">
        <v>38</v>
      </c>
      <c r="D115" t="s">
        <v>17</v>
      </c>
      <c r="E115" t="s">
        <v>18</v>
      </c>
    </row>
    <row r="116" spans="1:5" x14ac:dyDescent="0.25">
      <c r="A116" t="s">
        <v>55</v>
      </c>
      <c r="B116" t="s">
        <v>6</v>
      </c>
      <c r="C116">
        <v>39</v>
      </c>
      <c r="D116" t="s">
        <v>19</v>
      </c>
      <c r="E116" t="s">
        <v>28</v>
      </c>
    </row>
    <row r="117" spans="1:5" x14ac:dyDescent="0.25">
      <c r="A117" t="s">
        <v>56</v>
      </c>
      <c r="B117" t="s">
        <v>6</v>
      </c>
      <c r="C117">
        <v>34</v>
      </c>
      <c r="D117" t="s">
        <v>9</v>
      </c>
      <c r="E117" t="s">
        <v>46</v>
      </c>
    </row>
    <row r="118" spans="1:5" x14ac:dyDescent="0.25">
      <c r="A118" t="s">
        <v>56</v>
      </c>
      <c r="B118" t="s">
        <v>6</v>
      </c>
      <c r="C118">
        <v>37</v>
      </c>
      <c r="D118" t="s">
        <v>15</v>
      </c>
      <c r="E118" t="s">
        <v>47</v>
      </c>
    </row>
    <row r="119" spans="1:5" x14ac:dyDescent="0.25">
      <c r="A119" t="s">
        <v>56</v>
      </c>
      <c r="B119" t="s">
        <v>6</v>
      </c>
      <c r="C119">
        <v>38</v>
      </c>
      <c r="D119" t="s">
        <v>17</v>
      </c>
      <c r="E119" t="s">
        <v>18</v>
      </c>
    </row>
    <row r="120" spans="1:5" x14ac:dyDescent="0.25">
      <c r="A120" t="s">
        <v>56</v>
      </c>
      <c r="B120" t="s">
        <v>6</v>
      </c>
      <c r="C120">
        <v>39</v>
      </c>
      <c r="D120" t="s">
        <v>19</v>
      </c>
      <c r="E120" t="s">
        <v>31</v>
      </c>
    </row>
    <row r="121" spans="1:5" x14ac:dyDescent="0.25">
      <c r="A121" t="s">
        <v>57</v>
      </c>
      <c r="B121" t="s">
        <v>6</v>
      </c>
      <c r="C121">
        <v>33</v>
      </c>
      <c r="D121" t="s">
        <v>7</v>
      </c>
      <c r="E121" t="s">
        <v>58</v>
      </c>
    </row>
    <row r="122" spans="1:5" x14ac:dyDescent="0.25">
      <c r="A122" t="s">
        <v>57</v>
      </c>
      <c r="B122" t="s">
        <v>6</v>
      </c>
      <c r="C122">
        <v>34</v>
      </c>
      <c r="D122" t="s">
        <v>9</v>
      </c>
      <c r="E122" t="s">
        <v>59</v>
      </c>
    </row>
    <row r="123" spans="1:5" x14ac:dyDescent="0.25">
      <c r="A123" t="s">
        <v>57</v>
      </c>
      <c r="B123" t="s">
        <v>6</v>
      </c>
      <c r="C123">
        <v>35</v>
      </c>
      <c r="D123" t="s">
        <v>11</v>
      </c>
      <c r="E123" t="s">
        <v>60</v>
      </c>
    </row>
    <row r="124" spans="1:5" x14ac:dyDescent="0.25">
      <c r="A124" t="s">
        <v>57</v>
      </c>
      <c r="B124" t="s">
        <v>6</v>
      </c>
      <c r="C124">
        <v>36</v>
      </c>
      <c r="D124" t="s">
        <v>13</v>
      </c>
      <c r="E124" t="s">
        <v>61</v>
      </c>
    </row>
    <row r="125" spans="1:5" x14ac:dyDescent="0.25">
      <c r="A125" t="s">
        <v>57</v>
      </c>
      <c r="B125" t="s">
        <v>6</v>
      </c>
      <c r="C125">
        <v>37</v>
      </c>
      <c r="D125" t="s">
        <v>15</v>
      </c>
      <c r="E125" t="s">
        <v>62</v>
      </c>
    </row>
    <row r="126" spans="1:5" x14ac:dyDescent="0.25">
      <c r="A126" t="s">
        <v>57</v>
      </c>
      <c r="B126" t="s">
        <v>6</v>
      </c>
      <c r="C126">
        <v>38</v>
      </c>
      <c r="D126" t="s">
        <v>17</v>
      </c>
      <c r="E126" t="s">
        <v>18</v>
      </c>
    </row>
    <row r="127" spans="1:5" x14ac:dyDescent="0.25">
      <c r="A127" t="s">
        <v>57</v>
      </c>
      <c r="B127" t="s">
        <v>6</v>
      </c>
      <c r="C127">
        <v>39</v>
      </c>
      <c r="D127" t="s">
        <v>19</v>
      </c>
      <c r="E127" t="s">
        <v>63</v>
      </c>
    </row>
    <row r="128" spans="1:5" x14ac:dyDescent="0.25">
      <c r="A128" t="s">
        <v>64</v>
      </c>
      <c r="B128" t="s">
        <v>6</v>
      </c>
      <c r="C128">
        <v>33</v>
      </c>
      <c r="D128" t="s">
        <v>7</v>
      </c>
      <c r="E128" t="s">
        <v>65</v>
      </c>
    </row>
    <row r="129" spans="1:5" x14ac:dyDescent="0.25">
      <c r="A129" t="s">
        <v>64</v>
      </c>
      <c r="B129" t="s">
        <v>6</v>
      </c>
      <c r="C129">
        <v>34</v>
      </c>
      <c r="D129" t="s">
        <v>9</v>
      </c>
      <c r="E129" t="s">
        <v>59</v>
      </c>
    </row>
    <row r="130" spans="1:5" x14ac:dyDescent="0.25">
      <c r="A130" t="s">
        <v>64</v>
      </c>
      <c r="B130" t="s">
        <v>6</v>
      </c>
      <c r="C130">
        <v>35</v>
      </c>
      <c r="D130" t="s">
        <v>11</v>
      </c>
      <c r="E130" t="s">
        <v>60</v>
      </c>
    </row>
    <row r="131" spans="1:5" x14ac:dyDescent="0.25">
      <c r="A131" t="s">
        <v>64</v>
      </c>
      <c r="B131" t="s">
        <v>6</v>
      </c>
      <c r="C131">
        <v>36</v>
      </c>
      <c r="D131" t="s">
        <v>13</v>
      </c>
      <c r="E131" t="s">
        <v>66</v>
      </c>
    </row>
    <row r="132" spans="1:5" x14ac:dyDescent="0.25">
      <c r="A132" t="s">
        <v>64</v>
      </c>
      <c r="B132" t="s">
        <v>6</v>
      </c>
      <c r="C132">
        <v>37</v>
      </c>
      <c r="D132" t="s">
        <v>15</v>
      </c>
      <c r="E132" t="s">
        <v>62</v>
      </c>
    </row>
    <row r="133" spans="1:5" x14ac:dyDescent="0.25">
      <c r="A133" t="s">
        <v>64</v>
      </c>
      <c r="B133" t="s">
        <v>6</v>
      </c>
      <c r="C133">
        <v>38</v>
      </c>
      <c r="D133" t="s">
        <v>17</v>
      </c>
      <c r="E133" t="s">
        <v>18</v>
      </c>
    </row>
    <row r="134" spans="1:5" x14ac:dyDescent="0.25">
      <c r="A134" t="s">
        <v>64</v>
      </c>
      <c r="B134" t="s">
        <v>6</v>
      </c>
      <c r="C134">
        <v>39</v>
      </c>
      <c r="D134" t="s">
        <v>19</v>
      </c>
      <c r="E134" t="s">
        <v>67</v>
      </c>
    </row>
    <row r="135" spans="1:5" x14ac:dyDescent="0.25">
      <c r="A135" t="s">
        <v>68</v>
      </c>
      <c r="B135" t="s">
        <v>6</v>
      </c>
      <c r="C135">
        <v>33</v>
      </c>
      <c r="D135" t="s">
        <v>7</v>
      </c>
      <c r="E135" t="s">
        <v>65</v>
      </c>
    </row>
    <row r="136" spans="1:5" x14ac:dyDescent="0.25">
      <c r="A136" t="s">
        <v>68</v>
      </c>
      <c r="B136" t="s">
        <v>6</v>
      </c>
      <c r="C136">
        <v>34</v>
      </c>
      <c r="D136" t="s">
        <v>9</v>
      </c>
      <c r="E136" t="s">
        <v>59</v>
      </c>
    </row>
    <row r="137" spans="1:5" x14ac:dyDescent="0.25">
      <c r="A137" t="s">
        <v>68</v>
      </c>
      <c r="B137" t="s">
        <v>6</v>
      </c>
      <c r="C137">
        <v>35</v>
      </c>
      <c r="D137" t="s">
        <v>11</v>
      </c>
      <c r="E137" t="s">
        <v>60</v>
      </c>
    </row>
    <row r="138" spans="1:5" x14ac:dyDescent="0.25">
      <c r="A138" t="s">
        <v>68</v>
      </c>
      <c r="B138" t="s">
        <v>6</v>
      </c>
      <c r="C138">
        <v>36</v>
      </c>
      <c r="D138" t="s">
        <v>13</v>
      </c>
      <c r="E138" t="s">
        <v>66</v>
      </c>
    </row>
    <row r="139" spans="1:5" x14ac:dyDescent="0.25">
      <c r="A139" t="s">
        <v>68</v>
      </c>
      <c r="B139" t="s">
        <v>6</v>
      </c>
      <c r="C139">
        <v>37</v>
      </c>
      <c r="D139" t="s">
        <v>15</v>
      </c>
      <c r="E139" t="s">
        <v>62</v>
      </c>
    </row>
    <row r="140" spans="1:5" x14ac:dyDescent="0.25">
      <c r="A140" t="s">
        <v>68</v>
      </c>
      <c r="B140" t="s">
        <v>6</v>
      </c>
      <c r="C140">
        <v>38</v>
      </c>
      <c r="D140" t="s">
        <v>17</v>
      </c>
      <c r="E140" t="s">
        <v>18</v>
      </c>
    </row>
    <row r="141" spans="1:5" x14ac:dyDescent="0.25">
      <c r="A141" t="s">
        <v>68</v>
      </c>
      <c r="B141" t="s">
        <v>6</v>
      </c>
      <c r="C141">
        <v>39</v>
      </c>
      <c r="D141" t="s">
        <v>19</v>
      </c>
      <c r="E141" t="s">
        <v>67</v>
      </c>
    </row>
    <row r="142" spans="1:5" x14ac:dyDescent="0.25">
      <c r="A142" t="s">
        <v>69</v>
      </c>
      <c r="B142" t="s">
        <v>6</v>
      </c>
      <c r="C142">
        <v>33</v>
      </c>
      <c r="D142" t="s">
        <v>7</v>
      </c>
      <c r="E142" t="s">
        <v>65</v>
      </c>
    </row>
    <row r="143" spans="1:5" x14ac:dyDescent="0.25">
      <c r="A143" t="s">
        <v>69</v>
      </c>
      <c r="B143" t="s">
        <v>6</v>
      </c>
      <c r="C143">
        <v>34</v>
      </c>
      <c r="D143" t="s">
        <v>9</v>
      </c>
      <c r="E143" t="s">
        <v>59</v>
      </c>
    </row>
    <row r="144" spans="1:5" x14ac:dyDescent="0.25">
      <c r="A144" t="s">
        <v>69</v>
      </c>
      <c r="B144" t="s">
        <v>6</v>
      </c>
      <c r="C144">
        <v>35</v>
      </c>
      <c r="D144" t="s">
        <v>11</v>
      </c>
      <c r="E144" t="s">
        <v>60</v>
      </c>
    </row>
    <row r="145" spans="1:5" x14ac:dyDescent="0.25">
      <c r="A145" t="s">
        <v>69</v>
      </c>
      <c r="B145" t="s">
        <v>6</v>
      </c>
      <c r="C145">
        <v>36</v>
      </c>
      <c r="D145" t="s">
        <v>13</v>
      </c>
      <c r="E145" t="s">
        <v>66</v>
      </c>
    </row>
    <row r="146" spans="1:5" x14ac:dyDescent="0.25">
      <c r="A146" t="s">
        <v>69</v>
      </c>
      <c r="B146" t="s">
        <v>6</v>
      </c>
      <c r="C146">
        <v>37</v>
      </c>
      <c r="D146" t="s">
        <v>15</v>
      </c>
      <c r="E146" t="s">
        <v>62</v>
      </c>
    </row>
    <row r="147" spans="1:5" x14ac:dyDescent="0.25">
      <c r="A147" t="s">
        <v>69</v>
      </c>
      <c r="B147" t="s">
        <v>6</v>
      </c>
      <c r="C147">
        <v>38</v>
      </c>
      <c r="D147" t="s">
        <v>17</v>
      </c>
      <c r="E147" t="s">
        <v>18</v>
      </c>
    </row>
    <row r="148" spans="1:5" x14ac:dyDescent="0.25">
      <c r="A148" t="s">
        <v>69</v>
      </c>
      <c r="B148" t="s">
        <v>6</v>
      </c>
      <c r="C148">
        <v>39</v>
      </c>
      <c r="D148" t="s">
        <v>19</v>
      </c>
      <c r="E148" t="s">
        <v>67</v>
      </c>
    </row>
    <row r="149" spans="1:5" x14ac:dyDescent="0.25">
      <c r="A149" t="s">
        <v>70</v>
      </c>
      <c r="B149" t="s">
        <v>6</v>
      </c>
      <c r="C149">
        <v>33</v>
      </c>
      <c r="D149" t="s">
        <v>7</v>
      </c>
      <c r="E149" t="s">
        <v>65</v>
      </c>
    </row>
    <row r="150" spans="1:5" x14ac:dyDescent="0.25">
      <c r="A150" t="s">
        <v>70</v>
      </c>
      <c r="B150" t="s">
        <v>6</v>
      </c>
      <c r="C150">
        <v>34</v>
      </c>
      <c r="D150" t="s">
        <v>9</v>
      </c>
      <c r="E150" t="s">
        <v>59</v>
      </c>
    </row>
    <row r="151" spans="1:5" x14ac:dyDescent="0.25">
      <c r="A151" t="s">
        <v>70</v>
      </c>
      <c r="B151" t="s">
        <v>6</v>
      </c>
      <c r="C151">
        <v>35</v>
      </c>
      <c r="D151" t="s">
        <v>11</v>
      </c>
      <c r="E151" t="s">
        <v>60</v>
      </c>
    </row>
    <row r="152" spans="1:5" x14ac:dyDescent="0.25">
      <c r="A152" t="s">
        <v>70</v>
      </c>
      <c r="B152" t="s">
        <v>6</v>
      </c>
      <c r="C152">
        <v>36</v>
      </c>
      <c r="D152" t="s">
        <v>13</v>
      </c>
      <c r="E152" t="s">
        <v>66</v>
      </c>
    </row>
    <row r="153" spans="1:5" x14ac:dyDescent="0.25">
      <c r="A153" t="s">
        <v>70</v>
      </c>
      <c r="B153" t="s">
        <v>6</v>
      </c>
      <c r="C153">
        <v>37</v>
      </c>
      <c r="D153" t="s">
        <v>15</v>
      </c>
      <c r="E153" t="s">
        <v>42</v>
      </c>
    </row>
    <row r="154" spans="1:5" x14ac:dyDescent="0.25">
      <c r="A154" t="s">
        <v>70</v>
      </c>
      <c r="B154" t="s">
        <v>6</v>
      </c>
      <c r="C154">
        <v>38</v>
      </c>
      <c r="D154" t="s">
        <v>17</v>
      </c>
      <c r="E154" t="s">
        <v>18</v>
      </c>
    </row>
    <row r="155" spans="1:5" x14ac:dyDescent="0.25">
      <c r="A155" t="s">
        <v>70</v>
      </c>
      <c r="B155" t="s">
        <v>6</v>
      </c>
      <c r="C155">
        <v>39</v>
      </c>
      <c r="D155" t="s">
        <v>19</v>
      </c>
      <c r="E155" t="s">
        <v>67</v>
      </c>
    </row>
    <row r="156" spans="1:5" hidden="1" x14ac:dyDescent="0.25">
      <c r="A156" t="s">
        <v>71</v>
      </c>
      <c r="B156" t="s">
        <v>72</v>
      </c>
      <c r="C156">
        <v>33</v>
      </c>
      <c r="D156" t="s">
        <v>7</v>
      </c>
      <c r="E156" t="s">
        <v>73</v>
      </c>
    </row>
    <row r="157" spans="1:5" hidden="1" x14ac:dyDescent="0.25">
      <c r="A157" t="s">
        <v>71</v>
      </c>
      <c r="B157" t="s">
        <v>72</v>
      </c>
      <c r="C157">
        <v>34</v>
      </c>
      <c r="D157" t="s">
        <v>9</v>
      </c>
      <c r="E157" t="s">
        <v>74</v>
      </c>
    </row>
    <row r="158" spans="1:5" hidden="1" x14ac:dyDescent="0.25">
      <c r="A158" t="s">
        <v>71</v>
      </c>
      <c r="B158" t="s">
        <v>72</v>
      </c>
      <c r="C158">
        <v>35</v>
      </c>
      <c r="D158" t="s">
        <v>11</v>
      </c>
      <c r="E158" t="s">
        <v>75</v>
      </c>
    </row>
    <row r="159" spans="1:5" hidden="1" x14ac:dyDescent="0.25">
      <c r="A159" t="s">
        <v>71</v>
      </c>
      <c r="B159" t="s">
        <v>72</v>
      </c>
      <c r="C159">
        <v>36</v>
      </c>
      <c r="D159" t="s">
        <v>13</v>
      </c>
      <c r="E159" t="s">
        <v>76</v>
      </c>
    </row>
    <row r="160" spans="1:5" hidden="1" x14ac:dyDescent="0.25">
      <c r="A160" t="s">
        <v>71</v>
      </c>
      <c r="B160" t="s">
        <v>72</v>
      </c>
      <c r="C160">
        <v>37</v>
      </c>
      <c r="D160" t="s">
        <v>15</v>
      </c>
      <c r="E160" t="s">
        <v>77</v>
      </c>
    </row>
    <row r="161" spans="1:5" hidden="1" x14ac:dyDescent="0.25">
      <c r="A161" t="s">
        <v>71</v>
      </c>
      <c r="B161" t="s">
        <v>72</v>
      </c>
      <c r="C161">
        <v>38</v>
      </c>
      <c r="D161" t="s">
        <v>17</v>
      </c>
      <c r="E161" t="s">
        <v>78</v>
      </c>
    </row>
    <row r="162" spans="1:5" hidden="1" x14ac:dyDescent="0.25">
      <c r="A162" t="s">
        <v>71</v>
      </c>
      <c r="B162" t="s">
        <v>72</v>
      </c>
      <c r="C162">
        <v>39</v>
      </c>
      <c r="D162" t="s">
        <v>19</v>
      </c>
      <c r="E162" t="s">
        <v>79</v>
      </c>
    </row>
    <row r="163" spans="1:5" hidden="1" x14ac:dyDescent="0.25">
      <c r="A163" t="s">
        <v>80</v>
      </c>
      <c r="B163" t="s">
        <v>72</v>
      </c>
      <c r="C163">
        <v>33</v>
      </c>
      <c r="D163" t="s">
        <v>7</v>
      </c>
      <c r="E163" t="s">
        <v>81</v>
      </c>
    </row>
    <row r="164" spans="1:5" hidden="1" x14ac:dyDescent="0.25">
      <c r="A164" t="s">
        <v>80</v>
      </c>
      <c r="B164" t="s">
        <v>72</v>
      </c>
      <c r="C164">
        <v>34</v>
      </c>
      <c r="D164" t="s">
        <v>9</v>
      </c>
      <c r="E164" t="s">
        <v>74</v>
      </c>
    </row>
    <row r="165" spans="1:5" hidden="1" x14ac:dyDescent="0.25">
      <c r="A165" t="s">
        <v>80</v>
      </c>
      <c r="B165" t="s">
        <v>72</v>
      </c>
      <c r="C165">
        <v>35</v>
      </c>
      <c r="D165" t="s">
        <v>11</v>
      </c>
      <c r="E165" t="s">
        <v>75</v>
      </c>
    </row>
    <row r="166" spans="1:5" hidden="1" x14ac:dyDescent="0.25">
      <c r="A166" t="s">
        <v>80</v>
      </c>
      <c r="B166" t="s">
        <v>72</v>
      </c>
      <c r="C166">
        <v>36</v>
      </c>
      <c r="D166" t="s">
        <v>13</v>
      </c>
      <c r="E166" t="s">
        <v>76</v>
      </c>
    </row>
    <row r="167" spans="1:5" hidden="1" x14ac:dyDescent="0.25">
      <c r="A167" t="s">
        <v>80</v>
      </c>
      <c r="B167" t="s">
        <v>72</v>
      </c>
      <c r="C167">
        <v>37</v>
      </c>
      <c r="D167" t="s">
        <v>15</v>
      </c>
      <c r="E167" t="s">
        <v>77</v>
      </c>
    </row>
    <row r="168" spans="1:5" hidden="1" x14ac:dyDescent="0.25">
      <c r="A168" t="s">
        <v>80</v>
      </c>
      <c r="B168" t="s">
        <v>72</v>
      </c>
      <c r="C168">
        <v>38</v>
      </c>
      <c r="D168" t="s">
        <v>17</v>
      </c>
      <c r="E168" t="s">
        <v>78</v>
      </c>
    </row>
    <row r="169" spans="1:5" hidden="1" x14ac:dyDescent="0.25">
      <c r="A169" t="s">
        <v>80</v>
      </c>
      <c r="B169" t="s">
        <v>72</v>
      </c>
      <c r="C169">
        <v>39</v>
      </c>
      <c r="D169" t="s">
        <v>19</v>
      </c>
      <c r="E169" t="s">
        <v>82</v>
      </c>
    </row>
    <row r="170" spans="1:5" hidden="1" x14ac:dyDescent="0.25">
      <c r="A170" t="s">
        <v>83</v>
      </c>
      <c r="B170" t="s">
        <v>72</v>
      </c>
      <c r="C170">
        <v>33</v>
      </c>
      <c r="D170" t="s">
        <v>7</v>
      </c>
      <c r="E170" t="s">
        <v>73</v>
      </c>
    </row>
    <row r="171" spans="1:5" hidden="1" x14ac:dyDescent="0.25">
      <c r="A171" t="s">
        <v>83</v>
      </c>
      <c r="B171" t="s">
        <v>72</v>
      </c>
      <c r="C171">
        <v>34</v>
      </c>
      <c r="D171" t="s">
        <v>9</v>
      </c>
      <c r="E171" t="s">
        <v>74</v>
      </c>
    </row>
    <row r="172" spans="1:5" hidden="1" x14ac:dyDescent="0.25">
      <c r="A172" t="s">
        <v>83</v>
      </c>
      <c r="B172" t="s">
        <v>72</v>
      </c>
      <c r="C172">
        <v>35</v>
      </c>
      <c r="D172" t="s">
        <v>11</v>
      </c>
      <c r="E172" t="s">
        <v>75</v>
      </c>
    </row>
    <row r="173" spans="1:5" hidden="1" x14ac:dyDescent="0.25">
      <c r="A173" t="s">
        <v>83</v>
      </c>
      <c r="B173" t="s">
        <v>72</v>
      </c>
      <c r="C173">
        <v>36</v>
      </c>
      <c r="D173" t="s">
        <v>13</v>
      </c>
      <c r="E173" t="s">
        <v>76</v>
      </c>
    </row>
    <row r="174" spans="1:5" hidden="1" x14ac:dyDescent="0.25">
      <c r="A174" t="s">
        <v>83</v>
      </c>
      <c r="B174" t="s">
        <v>72</v>
      </c>
      <c r="C174">
        <v>37</v>
      </c>
      <c r="D174" t="s">
        <v>15</v>
      </c>
      <c r="E174" t="s">
        <v>77</v>
      </c>
    </row>
    <row r="175" spans="1:5" hidden="1" x14ac:dyDescent="0.25">
      <c r="A175" t="s">
        <v>83</v>
      </c>
      <c r="B175" t="s">
        <v>72</v>
      </c>
      <c r="C175">
        <v>38</v>
      </c>
      <c r="D175" t="s">
        <v>17</v>
      </c>
      <c r="E175" t="s">
        <v>78</v>
      </c>
    </row>
    <row r="176" spans="1:5" hidden="1" x14ac:dyDescent="0.25">
      <c r="A176" t="s">
        <v>83</v>
      </c>
      <c r="B176" t="s">
        <v>72</v>
      </c>
      <c r="C176">
        <v>39</v>
      </c>
      <c r="D176" t="s">
        <v>19</v>
      </c>
      <c r="E176" t="s">
        <v>79</v>
      </c>
    </row>
    <row r="177" spans="1:5" hidden="1" x14ac:dyDescent="0.25">
      <c r="A177" t="s">
        <v>84</v>
      </c>
      <c r="B177" t="s">
        <v>72</v>
      </c>
      <c r="C177">
        <v>33</v>
      </c>
      <c r="D177" t="s">
        <v>7</v>
      </c>
      <c r="E177" t="s">
        <v>81</v>
      </c>
    </row>
    <row r="178" spans="1:5" hidden="1" x14ac:dyDescent="0.25">
      <c r="A178" t="s">
        <v>84</v>
      </c>
      <c r="B178" t="s">
        <v>72</v>
      </c>
      <c r="C178">
        <v>34</v>
      </c>
      <c r="D178" t="s">
        <v>9</v>
      </c>
      <c r="E178" t="s">
        <v>74</v>
      </c>
    </row>
    <row r="179" spans="1:5" hidden="1" x14ac:dyDescent="0.25">
      <c r="A179" t="s">
        <v>84</v>
      </c>
      <c r="B179" t="s">
        <v>72</v>
      </c>
      <c r="C179">
        <v>35</v>
      </c>
      <c r="D179" t="s">
        <v>11</v>
      </c>
      <c r="E179" t="s">
        <v>75</v>
      </c>
    </row>
    <row r="180" spans="1:5" hidden="1" x14ac:dyDescent="0.25">
      <c r="A180" t="s">
        <v>84</v>
      </c>
      <c r="B180" t="s">
        <v>72</v>
      </c>
      <c r="C180">
        <v>36</v>
      </c>
      <c r="D180" t="s">
        <v>13</v>
      </c>
      <c r="E180" t="s">
        <v>76</v>
      </c>
    </row>
    <row r="181" spans="1:5" hidden="1" x14ac:dyDescent="0.25">
      <c r="A181" t="s">
        <v>84</v>
      </c>
      <c r="B181" t="s">
        <v>72</v>
      </c>
      <c r="C181">
        <v>37</v>
      </c>
      <c r="D181" t="s">
        <v>15</v>
      </c>
      <c r="E181" t="s">
        <v>77</v>
      </c>
    </row>
    <row r="182" spans="1:5" hidden="1" x14ac:dyDescent="0.25">
      <c r="A182" t="s">
        <v>84</v>
      </c>
      <c r="B182" t="s">
        <v>72</v>
      </c>
      <c r="C182">
        <v>38</v>
      </c>
      <c r="D182" t="s">
        <v>17</v>
      </c>
      <c r="E182" t="s">
        <v>78</v>
      </c>
    </row>
    <row r="183" spans="1:5" hidden="1" x14ac:dyDescent="0.25">
      <c r="A183" t="s">
        <v>84</v>
      </c>
      <c r="B183" t="s">
        <v>72</v>
      </c>
      <c r="C183">
        <v>39</v>
      </c>
      <c r="D183" t="s">
        <v>19</v>
      </c>
      <c r="E183" t="s">
        <v>82</v>
      </c>
    </row>
    <row r="184" spans="1:5" hidden="1" x14ac:dyDescent="0.25">
      <c r="A184" t="s">
        <v>85</v>
      </c>
      <c r="B184" t="s">
        <v>72</v>
      </c>
      <c r="C184">
        <v>33</v>
      </c>
      <c r="D184" t="s">
        <v>7</v>
      </c>
      <c r="E184" t="s">
        <v>86</v>
      </c>
    </row>
    <row r="185" spans="1:5" hidden="1" x14ac:dyDescent="0.25">
      <c r="A185" t="s">
        <v>85</v>
      </c>
      <c r="B185" t="s">
        <v>72</v>
      </c>
      <c r="C185">
        <v>34</v>
      </c>
      <c r="D185" t="s">
        <v>9</v>
      </c>
      <c r="E185" t="s">
        <v>74</v>
      </c>
    </row>
    <row r="186" spans="1:5" hidden="1" x14ac:dyDescent="0.25">
      <c r="A186" t="s">
        <v>85</v>
      </c>
      <c r="B186" t="s">
        <v>72</v>
      </c>
      <c r="C186">
        <v>35</v>
      </c>
      <c r="D186" t="s">
        <v>11</v>
      </c>
      <c r="E186" t="s">
        <v>75</v>
      </c>
    </row>
    <row r="187" spans="1:5" hidden="1" x14ac:dyDescent="0.25">
      <c r="A187" t="s">
        <v>85</v>
      </c>
      <c r="B187" t="s">
        <v>72</v>
      </c>
      <c r="C187">
        <v>36</v>
      </c>
      <c r="D187" t="s">
        <v>13</v>
      </c>
      <c r="E187" t="s">
        <v>87</v>
      </c>
    </row>
    <row r="188" spans="1:5" hidden="1" x14ac:dyDescent="0.25">
      <c r="A188" t="s">
        <v>85</v>
      </c>
      <c r="B188" t="s">
        <v>72</v>
      </c>
      <c r="C188">
        <v>37</v>
      </c>
      <c r="D188" t="s">
        <v>15</v>
      </c>
      <c r="E188" t="s">
        <v>77</v>
      </c>
    </row>
    <row r="189" spans="1:5" hidden="1" x14ac:dyDescent="0.25">
      <c r="A189" t="s">
        <v>85</v>
      </c>
      <c r="B189" t="s">
        <v>72</v>
      </c>
      <c r="C189">
        <v>38</v>
      </c>
      <c r="D189" t="s">
        <v>17</v>
      </c>
      <c r="E189" t="s">
        <v>78</v>
      </c>
    </row>
    <row r="190" spans="1:5" hidden="1" x14ac:dyDescent="0.25">
      <c r="A190" t="s">
        <v>85</v>
      </c>
      <c r="B190" t="s">
        <v>72</v>
      </c>
      <c r="C190">
        <v>39</v>
      </c>
      <c r="D190" t="s">
        <v>19</v>
      </c>
      <c r="E190" t="s">
        <v>88</v>
      </c>
    </row>
    <row r="191" spans="1:5" hidden="1" x14ac:dyDescent="0.25">
      <c r="A191" t="s">
        <v>89</v>
      </c>
      <c r="B191" t="s">
        <v>72</v>
      </c>
      <c r="C191">
        <v>33</v>
      </c>
      <c r="D191" t="s">
        <v>7</v>
      </c>
      <c r="E191" t="s">
        <v>90</v>
      </c>
    </row>
    <row r="192" spans="1:5" hidden="1" x14ac:dyDescent="0.25">
      <c r="A192" t="s">
        <v>89</v>
      </c>
      <c r="B192" t="s">
        <v>72</v>
      </c>
      <c r="C192">
        <v>34</v>
      </c>
      <c r="D192" t="s">
        <v>9</v>
      </c>
      <c r="E192" t="s">
        <v>74</v>
      </c>
    </row>
    <row r="193" spans="1:5" hidden="1" x14ac:dyDescent="0.25">
      <c r="A193" t="s">
        <v>89</v>
      </c>
      <c r="B193" t="s">
        <v>72</v>
      </c>
      <c r="C193">
        <v>35</v>
      </c>
      <c r="D193" t="s">
        <v>11</v>
      </c>
      <c r="E193" t="s">
        <v>75</v>
      </c>
    </row>
    <row r="194" spans="1:5" hidden="1" x14ac:dyDescent="0.25">
      <c r="A194" t="s">
        <v>89</v>
      </c>
      <c r="B194" t="s">
        <v>72</v>
      </c>
      <c r="C194">
        <v>36</v>
      </c>
      <c r="D194" t="s">
        <v>13</v>
      </c>
      <c r="E194" t="s">
        <v>87</v>
      </c>
    </row>
    <row r="195" spans="1:5" hidden="1" x14ac:dyDescent="0.25">
      <c r="A195" t="s">
        <v>89</v>
      </c>
      <c r="B195" t="s">
        <v>72</v>
      </c>
      <c r="C195">
        <v>37</v>
      </c>
      <c r="D195" t="s">
        <v>15</v>
      </c>
      <c r="E195" t="s">
        <v>77</v>
      </c>
    </row>
    <row r="196" spans="1:5" hidden="1" x14ac:dyDescent="0.25">
      <c r="A196" t="s">
        <v>89</v>
      </c>
      <c r="B196" t="s">
        <v>72</v>
      </c>
      <c r="C196">
        <v>38</v>
      </c>
      <c r="D196" t="s">
        <v>17</v>
      </c>
      <c r="E196" t="s">
        <v>78</v>
      </c>
    </row>
    <row r="197" spans="1:5" hidden="1" x14ac:dyDescent="0.25">
      <c r="A197" t="s">
        <v>89</v>
      </c>
      <c r="B197" t="s">
        <v>72</v>
      </c>
      <c r="C197">
        <v>39</v>
      </c>
      <c r="D197" t="s">
        <v>19</v>
      </c>
      <c r="E197" t="s">
        <v>91</v>
      </c>
    </row>
    <row r="198" spans="1:5" hidden="1" x14ac:dyDescent="0.25">
      <c r="A198" t="s">
        <v>92</v>
      </c>
      <c r="B198" t="s">
        <v>72</v>
      </c>
      <c r="C198">
        <v>33</v>
      </c>
      <c r="D198" t="s">
        <v>7</v>
      </c>
      <c r="E198" t="s">
        <v>86</v>
      </c>
    </row>
    <row r="199" spans="1:5" hidden="1" x14ac:dyDescent="0.25">
      <c r="A199" t="s">
        <v>92</v>
      </c>
      <c r="B199" t="s">
        <v>72</v>
      </c>
      <c r="C199">
        <v>34</v>
      </c>
      <c r="D199" t="s">
        <v>9</v>
      </c>
      <c r="E199" t="s">
        <v>93</v>
      </c>
    </row>
    <row r="200" spans="1:5" hidden="1" x14ac:dyDescent="0.25">
      <c r="A200" t="s">
        <v>92</v>
      </c>
      <c r="B200" t="s">
        <v>72</v>
      </c>
      <c r="C200">
        <v>35</v>
      </c>
      <c r="D200" t="s">
        <v>11</v>
      </c>
      <c r="E200" t="s">
        <v>75</v>
      </c>
    </row>
    <row r="201" spans="1:5" hidden="1" x14ac:dyDescent="0.25">
      <c r="A201" t="s">
        <v>92</v>
      </c>
      <c r="B201" t="s">
        <v>72</v>
      </c>
      <c r="C201">
        <v>36</v>
      </c>
      <c r="D201" t="s">
        <v>13</v>
      </c>
      <c r="E201" t="s">
        <v>87</v>
      </c>
    </row>
    <row r="202" spans="1:5" hidden="1" x14ac:dyDescent="0.25">
      <c r="A202" t="s">
        <v>92</v>
      </c>
      <c r="B202" t="s">
        <v>72</v>
      </c>
      <c r="C202">
        <v>37</v>
      </c>
      <c r="D202" t="s">
        <v>15</v>
      </c>
      <c r="E202" t="s">
        <v>77</v>
      </c>
    </row>
    <row r="203" spans="1:5" hidden="1" x14ac:dyDescent="0.25">
      <c r="A203" t="s">
        <v>92</v>
      </c>
      <c r="B203" t="s">
        <v>72</v>
      </c>
      <c r="C203">
        <v>38</v>
      </c>
      <c r="D203" t="s">
        <v>17</v>
      </c>
      <c r="E203" t="s">
        <v>78</v>
      </c>
    </row>
    <row r="204" spans="1:5" hidden="1" x14ac:dyDescent="0.25">
      <c r="A204" t="s">
        <v>92</v>
      </c>
      <c r="B204" t="s">
        <v>72</v>
      </c>
      <c r="C204">
        <v>39</v>
      </c>
      <c r="D204" t="s">
        <v>19</v>
      </c>
      <c r="E204" t="s">
        <v>94</v>
      </c>
    </row>
    <row r="205" spans="1:5" hidden="1" x14ac:dyDescent="0.25">
      <c r="A205" t="s">
        <v>95</v>
      </c>
      <c r="B205" t="s">
        <v>72</v>
      </c>
      <c r="C205">
        <v>33</v>
      </c>
      <c r="D205" t="s">
        <v>7</v>
      </c>
      <c r="E205" t="s">
        <v>86</v>
      </c>
    </row>
    <row r="206" spans="1:5" hidden="1" x14ac:dyDescent="0.25">
      <c r="A206" t="s">
        <v>95</v>
      </c>
      <c r="B206" t="s">
        <v>72</v>
      </c>
      <c r="C206">
        <v>34</v>
      </c>
      <c r="D206" t="s">
        <v>9</v>
      </c>
      <c r="E206" t="s">
        <v>74</v>
      </c>
    </row>
    <row r="207" spans="1:5" hidden="1" x14ac:dyDescent="0.25">
      <c r="A207" t="s">
        <v>95</v>
      </c>
      <c r="B207" t="s">
        <v>72</v>
      </c>
      <c r="C207">
        <v>35</v>
      </c>
      <c r="D207" t="s">
        <v>11</v>
      </c>
      <c r="E207" t="s">
        <v>75</v>
      </c>
    </row>
    <row r="208" spans="1:5" hidden="1" x14ac:dyDescent="0.25">
      <c r="A208" t="s">
        <v>95</v>
      </c>
      <c r="B208" t="s">
        <v>72</v>
      </c>
      <c r="C208">
        <v>36</v>
      </c>
      <c r="D208" t="s">
        <v>13</v>
      </c>
      <c r="E208" t="s">
        <v>87</v>
      </c>
    </row>
    <row r="209" spans="1:5" hidden="1" x14ac:dyDescent="0.25">
      <c r="A209" t="s">
        <v>95</v>
      </c>
      <c r="B209" t="s">
        <v>72</v>
      </c>
      <c r="C209">
        <v>37</v>
      </c>
      <c r="D209" t="s">
        <v>15</v>
      </c>
      <c r="E209" t="s">
        <v>77</v>
      </c>
    </row>
    <row r="210" spans="1:5" hidden="1" x14ac:dyDescent="0.25">
      <c r="A210" t="s">
        <v>95</v>
      </c>
      <c r="B210" t="s">
        <v>72</v>
      </c>
      <c r="C210">
        <v>38</v>
      </c>
      <c r="D210" t="s">
        <v>17</v>
      </c>
      <c r="E210" t="s">
        <v>78</v>
      </c>
    </row>
    <row r="211" spans="1:5" hidden="1" x14ac:dyDescent="0.25">
      <c r="A211" t="s">
        <v>95</v>
      </c>
      <c r="B211" t="s">
        <v>72</v>
      </c>
      <c r="C211">
        <v>39</v>
      </c>
      <c r="D211" t="s">
        <v>19</v>
      </c>
      <c r="E211" t="s">
        <v>88</v>
      </c>
    </row>
    <row r="212" spans="1:5" hidden="1" x14ac:dyDescent="0.25">
      <c r="A212" t="s">
        <v>96</v>
      </c>
      <c r="B212" t="s">
        <v>72</v>
      </c>
      <c r="C212">
        <v>33</v>
      </c>
      <c r="D212" t="s">
        <v>7</v>
      </c>
      <c r="E212" t="s">
        <v>90</v>
      </c>
    </row>
    <row r="213" spans="1:5" hidden="1" x14ac:dyDescent="0.25">
      <c r="A213" t="s">
        <v>96</v>
      </c>
      <c r="B213" t="s">
        <v>72</v>
      </c>
      <c r="C213">
        <v>34</v>
      </c>
      <c r="D213" t="s">
        <v>9</v>
      </c>
      <c r="E213" t="s">
        <v>74</v>
      </c>
    </row>
    <row r="214" spans="1:5" hidden="1" x14ac:dyDescent="0.25">
      <c r="A214" t="s">
        <v>96</v>
      </c>
      <c r="B214" t="s">
        <v>72</v>
      </c>
      <c r="C214">
        <v>35</v>
      </c>
      <c r="D214" t="s">
        <v>11</v>
      </c>
      <c r="E214" t="s">
        <v>75</v>
      </c>
    </row>
    <row r="215" spans="1:5" hidden="1" x14ac:dyDescent="0.25">
      <c r="A215" t="s">
        <v>96</v>
      </c>
      <c r="B215" t="s">
        <v>72</v>
      </c>
      <c r="C215">
        <v>36</v>
      </c>
      <c r="D215" t="s">
        <v>13</v>
      </c>
      <c r="E215" t="s">
        <v>87</v>
      </c>
    </row>
    <row r="216" spans="1:5" hidden="1" x14ac:dyDescent="0.25">
      <c r="A216" t="s">
        <v>96</v>
      </c>
      <c r="B216" t="s">
        <v>72</v>
      </c>
      <c r="C216">
        <v>37</v>
      </c>
      <c r="D216" t="s">
        <v>15</v>
      </c>
      <c r="E216" t="s">
        <v>77</v>
      </c>
    </row>
    <row r="217" spans="1:5" hidden="1" x14ac:dyDescent="0.25">
      <c r="A217" t="s">
        <v>96</v>
      </c>
      <c r="B217" t="s">
        <v>72</v>
      </c>
      <c r="C217">
        <v>38</v>
      </c>
      <c r="D217" t="s">
        <v>17</v>
      </c>
      <c r="E217" t="s">
        <v>78</v>
      </c>
    </row>
    <row r="218" spans="1:5" hidden="1" x14ac:dyDescent="0.25">
      <c r="A218" t="s">
        <v>96</v>
      </c>
      <c r="B218" t="s">
        <v>72</v>
      </c>
      <c r="C218">
        <v>39</v>
      </c>
      <c r="D218" t="s">
        <v>19</v>
      </c>
      <c r="E218" t="s">
        <v>91</v>
      </c>
    </row>
    <row r="219" spans="1:5" hidden="1" x14ac:dyDescent="0.25">
      <c r="A219" t="s">
        <v>97</v>
      </c>
      <c r="B219" t="s">
        <v>72</v>
      </c>
      <c r="C219">
        <v>33</v>
      </c>
      <c r="D219" t="s">
        <v>7</v>
      </c>
      <c r="E219" t="s">
        <v>86</v>
      </c>
    </row>
    <row r="220" spans="1:5" hidden="1" x14ac:dyDescent="0.25">
      <c r="A220" t="s">
        <v>97</v>
      </c>
      <c r="B220" t="s">
        <v>72</v>
      </c>
      <c r="C220">
        <v>34</v>
      </c>
      <c r="D220" t="s">
        <v>9</v>
      </c>
      <c r="E220" t="s">
        <v>93</v>
      </c>
    </row>
    <row r="221" spans="1:5" hidden="1" x14ac:dyDescent="0.25">
      <c r="A221" t="s">
        <v>97</v>
      </c>
      <c r="B221" t="s">
        <v>72</v>
      </c>
      <c r="C221">
        <v>35</v>
      </c>
      <c r="D221" t="s">
        <v>11</v>
      </c>
      <c r="E221" t="s">
        <v>98</v>
      </c>
    </row>
    <row r="222" spans="1:5" hidden="1" x14ac:dyDescent="0.25">
      <c r="A222" t="s">
        <v>97</v>
      </c>
      <c r="B222" t="s">
        <v>72</v>
      </c>
      <c r="C222">
        <v>36</v>
      </c>
      <c r="D222" t="s">
        <v>13</v>
      </c>
      <c r="E222" t="s">
        <v>87</v>
      </c>
    </row>
    <row r="223" spans="1:5" hidden="1" x14ac:dyDescent="0.25">
      <c r="A223" t="s">
        <v>97</v>
      </c>
      <c r="B223" t="s">
        <v>72</v>
      </c>
      <c r="C223">
        <v>37</v>
      </c>
      <c r="D223" t="s">
        <v>15</v>
      </c>
      <c r="E223" t="s">
        <v>77</v>
      </c>
    </row>
    <row r="224" spans="1:5" hidden="1" x14ac:dyDescent="0.25">
      <c r="A224" t="s">
        <v>97</v>
      </c>
      <c r="B224" t="s">
        <v>72</v>
      </c>
      <c r="C224">
        <v>38</v>
      </c>
      <c r="D224" t="s">
        <v>17</v>
      </c>
      <c r="E224" t="s">
        <v>78</v>
      </c>
    </row>
    <row r="225" spans="1:5" hidden="1" x14ac:dyDescent="0.25">
      <c r="A225" t="s">
        <v>97</v>
      </c>
      <c r="B225" t="s">
        <v>72</v>
      </c>
      <c r="C225">
        <v>39</v>
      </c>
      <c r="D225" t="s">
        <v>19</v>
      </c>
      <c r="E225" t="s">
        <v>94</v>
      </c>
    </row>
    <row r="226" spans="1:5" hidden="1" x14ac:dyDescent="0.25">
      <c r="A226" t="s">
        <v>99</v>
      </c>
      <c r="B226" t="s">
        <v>72</v>
      </c>
      <c r="C226">
        <v>33</v>
      </c>
      <c r="D226" t="s">
        <v>7</v>
      </c>
      <c r="E226" t="s">
        <v>86</v>
      </c>
    </row>
    <row r="227" spans="1:5" hidden="1" x14ac:dyDescent="0.25">
      <c r="A227" t="s">
        <v>99</v>
      </c>
      <c r="B227" t="s">
        <v>72</v>
      </c>
      <c r="C227">
        <v>34</v>
      </c>
      <c r="D227" t="s">
        <v>9</v>
      </c>
      <c r="E227" t="s">
        <v>74</v>
      </c>
    </row>
    <row r="228" spans="1:5" hidden="1" x14ac:dyDescent="0.25">
      <c r="A228" t="s">
        <v>99</v>
      </c>
      <c r="B228" t="s">
        <v>72</v>
      </c>
      <c r="C228">
        <v>35</v>
      </c>
      <c r="D228" t="s">
        <v>11</v>
      </c>
      <c r="E228" t="s">
        <v>98</v>
      </c>
    </row>
    <row r="229" spans="1:5" hidden="1" x14ac:dyDescent="0.25">
      <c r="A229" t="s">
        <v>99</v>
      </c>
      <c r="B229" t="s">
        <v>72</v>
      </c>
      <c r="C229">
        <v>36</v>
      </c>
      <c r="D229" t="s">
        <v>13</v>
      </c>
      <c r="E229" t="s">
        <v>87</v>
      </c>
    </row>
    <row r="230" spans="1:5" hidden="1" x14ac:dyDescent="0.25">
      <c r="A230" t="s">
        <v>99</v>
      </c>
      <c r="B230" t="s">
        <v>72</v>
      </c>
      <c r="C230">
        <v>37</v>
      </c>
      <c r="D230" t="s">
        <v>15</v>
      </c>
      <c r="E230" t="s">
        <v>77</v>
      </c>
    </row>
    <row r="231" spans="1:5" hidden="1" x14ac:dyDescent="0.25">
      <c r="A231" t="s">
        <v>99</v>
      </c>
      <c r="B231" t="s">
        <v>72</v>
      </c>
      <c r="C231">
        <v>38</v>
      </c>
      <c r="D231" t="s">
        <v>17</v>
      </c>
      <c r="E231" t="s">
        <v>78</v>
      </c>
    </row>
    <row r="232" spans="1:5" hidden="1" x14ac:dyDescent="0.25">
      <c r="A232" t="s">
        <v>99</v>
      </c>
      <c r="B232" t="s">
        <v>72</v>
      </c>
      <c r="C232">
        <v>39</v>
      </c>
      <c r="D232" t="s">
        <v>19</v>
      </c>
      <c r="E232" t="s">
        <v>88</v>
      </c>
    </row>
    <row r="233" spans="1:5" hidden="1" x14ac:dyDescent="0.25">
      <c r="A233" t="s">
        <v>100</v>
      </c>
      <c r="B233" t="s">
        <v>72</v>
      </c>
      <c r="C233">
        <v>33</v>
      </c>
      <c r="D233" t="s">
        <v>7</v>
      </c>
      <c r="E233" t="s">
        <v>86</v>
      </c>
    </row>
    <row r="234" spans="1:5" hidden="1" x14ac:dyDescent="0.25">
      <c r="A234" t="s">
        <v>100</v>
      </c>
      <c r="B234" t="s">
        <v>72</v>
      </c>
      <c r="C234">
        <v>34</v>
      </c>
      <c r="D234" t="s">
        <v>9</v>
      </c>
      <c r="E234" t="s">
        <v>74</v>
      </c>
    </row>
    <row r="235" spans="1:5" hidden="1" x14ac:dyDescent="0.25">
      <c r="A235" t="s">
        <v>100</v>
      </c>
      <c r="B235" t="s">
        <v>72</v>
      </c>
      <c r="C235">
        <v>35</v>
      </c>
      <c r="D235" t="s">
        <v>11</v>
      </c>
      <c r="E235" t="s">
        <v>98</v>
      </c>
    </row>
    <row r="236" spans="1:5" hidden="1" x14ac:dyDescent="0.25">
      <c r="A236" t="s">
        <v>100</v>
      </c>
      <c r="B236" t="s">
        <v>72</v>
      </c>
      <c r="C236">
        <v>36</v>
      </c>
      <c r="D236" t="s">
        <v>13</v>
      </c>
      <c r="E236" t="s">
        <v>87</v>
      </c>
    </row>
    <row r="237" spans="1:5" hidden="1" x14ac:dyDescent="0.25">
      <c r="A237" t="s">
        <v>100</v>
      </c>
      <c r="B237" t="s">
        <v>72</v>
      </c>
      <c r="C237">
        <v>37</v>
      </c>
      <c r="D237" t="s">
        <v>15</v>
      </c>
      <c r="E237" t="s">
        <v>77</v>
      </c>
    </row>
    <row r="238" spans="1:5" hidden="1" x14ac:dyDescent="0.25">
      <c r="A238" t="s">
        <v>100</v>
      </c>
      <c r="B238" t="s">
        <v>72</v>
      </c>
      <c r="C238">
        <v>38</v>
      </c>
      <c r="D238" t="s">
        <v>17</v>
      </c>
      <c r="E238" t="s">
        <v>78</v>
      </c>
    </row>
    <row r="239" spans="1:5" hidden="1" x14ac:dyDescent="0.25">
      <c r="A239" t="s">
        <v>100</v>
      </c>
      <c r="B239" t="s">
        <v>72</v>
      </c>
      <c r="C239">
        <v>39</v>
      </c>
      <c r="D239" t="s">
        <v>19</v>
      </c>
      <c r="E239" t="s">
        <v>91</v>
      </c>
    </row>
    <row r="240" spans="1:5" hidden="1" x14ac:dyDescent="0.25">
      <c r="A240" t="s">
        <v>101</v>
      </c>
      <c r="B240" t="s">
        <v>72</v>
      </c>
      <c r="C240">
        <v>33</v>
      </c>
      <c r="D240" t="s">
        <v>7</v>
      </c>
      <c r="E240" t="s">
        <v>86</v>
      </c>
    </row>
    <row r="241" spans="1:5" hidden="1" x14ac:dyDescent="0.25">
      <c r="A241" t="s">
        <v>101</v>
      </c>
      <c r="B241" t="s">
        <v>72</v>
      </c>
      <c r="C241">
        <v>34</v>
      </c>
      <c r="D241" t="s">
        <v>9</v>
      </c>
      <c r="E241" t="s">
        <v>93</v>
      </c>
    </row>
    <row r="242" spans="1:5" hidden="1" x14ac:dyDescent="0.25">
      <c r="A242" t="s">
        <v>101</v>
      </c>
      <c r="B242" t="s">
        <v>72</v>
      </c>
      <c r="C242">
        <v>35</v>
      </c>
      <c r="D242" t="s">
        <v>11</v>
      </c>
      <c r="E242" t="s">
        <v>98</v>
      </c>
    </row>
    <row r="243" spans="1:5" hidden="1" x14ac:dyDescent="0.25">
      <c r="A243" t="s">
        <v>101</v>
      </c>
      <c r="B243" t="s">
        <v>72</v>
      </c>
      <c r="C243">
        <v>36</v>
      </c>
      <c r="D243" t="s">
        <v>13</v>
      </c>
      <c r="E243" t="s">
        <v>87</v>
      </c>
    </row>
    <row r="244" spans="1:5" hidden="1" x14ac:dyDescent="0.25">
      <c r="A244" t="s">
        <v>101</v>
      </c>
      <c r="B244" t="s">
        <v>72</v>
      </c>
      <c r="C244">
        <v>37</v>
      </c>
      <c r="D244" t="s">
        <v>15</v>
      </c>
      <c r="E244" t="s">
        <v>102</v>
      </c>
    </row>
    <row r="245" spans="1:5" hidden="1" x14ac:dyDescent="0.25">
      <c r="A245" t="s">
        <v>101</v>
      </c>
      <c r="B245" t="s">
        <v>72</v>
      </c>
      <c r="C245">
        <v>38</v>
      </c>
      <c r="D245" t="s">
        <v>17</v>
      </c>
      <c r="E245" t="s">
        <v>78</v>
      </c>
    </row>
    <row r="246" spans="1:5" hidden="1" x14ac:dyDescent="0.25">
      <c r="A246" t="s">
        <v>101</v>
      </c>
      <c r="B246" t="s">
        <v>72</v>
      </c>
      <c r="C246">
        <v>39</v>
      </c>
      <c r="D246" t="s">
        <v>19</v>
      </c>
      <c r="E246" t="s">
        <v>94</v>
      </c>
    </row>
    <row r="247" spans="1:5" hidden="1" x14ac:dyDescent="0.25">
      <c r="A247" t="s">
        <v>103</v>
      </c>
      <c r="B247" t="s">
        <v>72</v>
      </c>
      <c r="C247">
        <v>33</v>
      </c>
      <c r="D247" t="s">
        <v>7</v>
      </c>
      <c r="E247" t="s">
        <v>86</v>
      </c>
    </row>
    <row r="248" spans="1:5" hidden="1" x14ac:dyDescent="0.25">
      <c r="A248" t="s">
        <v>103</v>
      </c>
      <c r="B248" t="s">
        <v>72</v>
      </c>
      <c r="C248">
        <v>34</v>
      </c>
      <c r="D248" t="s">
        <v>9</v>
      </c>
      <c r="E248" t="s">
        <v>74</v>
      </c>
    </row>
    <row r="249" spans="1:5" hidden="1" x14ac:dyDescent="0.25">
      <c r="A249" t="s">
        <v>103</v>
      </c>
      <c r="B249" t="s">
        <v>72</v>
      </c>
      <c r="C249">
        <v>35</v>
      </c>
      <c r="D249" t="s">
        <v>11</v>
      </c>
      <c r="E249" t="s">
        <v>98</v>
      </c>
    </row>
    <row r="250" spans="1:5" hidden="1" x14ac:dyDescent="0.25">
      <c r="A250" t="s">
        <v>103</v>
      </c>
      <c r="B250" t="s">
        <v>72</v>
      </c>
      <c r="C250">
        <v>36</v>
      </c>
      <c r="D250" t="s">
        <v>13</v>
      </c>
      <c r="E250" t="s">
        <v>87</v>
      </c>
    </row>
    <row r="251" spans="1:5" hidden="1" x14ac:dyDescent="0.25">
      <c r="A251" t="s">
        <v>103</v>
      </c>
      <c r="B251" t="s">
        <v>72</v>
      </c>
      <c r="C251">
        <v>37</v>
      </c>
      <c r="D251" t="s">
        <v>15</v>
      </c>
      <c r="E251" t="s">
        <v>102</v>
      </c>
    </row>
    <row r="252" spans="1:5" hidden="1" x14ac:dyDescent="0.25">
      <c r="A252" t="s">
        <v>103</v>
      </c>
      <c r="B252" t="s">
        <v>72</v>
      </c>
      <c r="C252">
        <v>38</v>
      </c>
      <c r="D252" t="s">
        <v>17</v>
      </c>
      <c r="E252" t="s">
        <v>78</v>
      </c>
    </row>
    <row r="253" spans="1:5" hidden="1" x14ac:dyDescent="0.25">
      <c r="A253" t="s">
        <v>103</v>
      </c>
      <c r="B253" t="s">
        <v>72</v>
      </c>
      <c r="C253">
        <v>39</v>
      </c>
      <c r="D253" t="s">
        <v>19</v>
      </c>
      <c r="E253" t="s">
        <v>88</v>
      </c>
    </row>
    <row r="254" spans="1:5" hidden="1" x14ac:dyDescent="0.25">
      <c r="A254" t="s">
        <v>104</v>
      </c>
      <c r="B254" t="s">
        <v>72</v>
      </c>
      <c r="C254">
        <v>33</v>
      </c>
      <c r="D254" t="s">
        <v>7</v>
      </c>
      <c r="E254" t="s">
        <v>86</v>
      </c>
    </row>
    <row r="255" spans="1:5" hidden="1" x14ac:dyDescent="0.25">
      <c r="A255" t="s">
        <v>104</v>
      </c>
      <c r="B255" t="s">
        <v>72</v>
      </c>
      <c r="C255">
        <v>34</v>
      </c>
      <c r="D255" t="s">
        <v>9</v>
      </c>
      <c r="E255" t="s">
        <v>74</v>
      </c>
    </row>
    <row r="256" spans="1:5" hidden="1" x14ac:dyDescent="0.25">
      <c r="A256" t="s">
        <v>104</v>
      </c>
      <c r="B256" t="s">
        <v>72</v>
      </c>
      <c r="C256">
        <v>35</v>
      </c>
      <c r="D256" t="s">
        <v>11</v>
      </c>
      <c r="E256" t="s">
        <v>98</v>
      </c>
    </row>
    <row r="257" spans="1:5" hidden="1" x14ac:dyDescent="0.25">
      <c r="A257" t="s">
        <v>104</v>
      </c>
      <c r="B257" t="s">
        <v>72</v>
      </c>
      <c r="C257">
        <v>36</v>
      </c>
      <c r="D257" t="s">
        <v>13</v>
      </c>
      <c r="E257" t="s">
        <v>87</v>
      </c>
    </row>
    <row r="258" spans="1:5" hidden="1" x14ac:dyDescent="0.25">
      <c r="A258" t="s">
        <v>104</v>
      </c>
      <c r="B258" t="s">
        <v>72</v>
      </c>
      <c r="C258">
        <v>37</v>
      </c>
      <c r="D258" t="s">
        <v>15</v>
      </c>
      <c r="E258" t="s">
        <v>102</v>
      </c>
    </row>
    <row r="259" spans="1:5" hidden="1" x14ac:dyDescent="0.25">
      <c r="A259" t="s">
        <v>104</v>
      </c>
      <c r="B259" t="s">
        <v>72</v>
      </c>
      <c r="C259">
        <v>38</v>
      </c>
      <c r="D259" t="s">
        <v>17</v>
      </c>
      <c r="E259" t="s">
        <v>78</v>
      </c>
    </row>
    <row r="260" spans="1:5" hidden="1" x14ac:dyDescent="0.25">
      <c r="A260" t="s">
        <v>104</v>
      </c>
      <c r="B260" t="s">
        <v>72</v>
      </c>
      <c r="C260">
        <v>39</v>
      </c>
      <c r="D260" t="s">
        <v>19</v>
      </c>
      <c r="E260" t="s">
        <v>91</v>
      </c>
    </row>
    <row r="261" spans="1:5" hidden="1" x14ac:dyDescent="0.25">
      <c r="A261" t="s">
        <v>105</v>
      </c>
      <c r="B261" t="s">
        <v>72</v>
      </c>
      <c r="C261">
        <v>34</v>
      </c>
      <c r="D261" t="s">
        <v>9</v>
      </c>
      <c r="E261" t="s">
        <v>106</v>
      </c>
    </row>
    <row r="262" spans="1:5" hidden="1" x14ac:dyDescent="0.25">
      <c r="A262" t="s">
        <v>105</v>
      </c>
      <c r="B262" t="s">
        <v>72</v>
      </c>
      <c r="C262">
        <v>37</v>
      </c>
      <c r="D262" t="s">
        <v>15</v>
      </c>
      <c r="E262" t="s">
        <v>107</v>
      </c>
    </row>
    <row r="263" spans="1:5" hidden="1" x14ac:dyDescent="0.25">
      <c r="A263" t="s">
        <v>105</v>
      </c>
      <c r="B263" t="s">
        <v>72</v>
      </c>
      <c r="C263">
        <v>38</v>
      </c>
      <c r="D263" t="s">
        <v>17</v>
      </c>
      <c r="E263" t="s">
        <v>108</v>
      </c>
    </row>
    <row r="264" spans="1:5" hidden="1" x14ac:dyDescent="0.25">
      <c r="A264" t="s">
        <v>105</v>
      </c>
      <c r="B264" t="s">
        <v>72</v>
      </c>
      <c r="C264">
        <v>39</v>
      </c>
      <c r="D264" t="s">
        <v>19</v>
      </c>
      <c r="E264" t="s">
        <v>109</v>
      </c>
    </row>
    <row r="265" spans="1:5" hidden="1" x14ac:dyDescent="0.25">
      <c r="A265" t="s">
        <v>110</v>
      </c>
      <c r="B265" t="s">
        <v>72</v>
      </c>
      <c r="C265">
        <v>34</v>
      </c>
      <c r="D265" t="s">
        <v>9</v>
      </c>
      <c r="E265" t="s">
        <v>111</v>
      </c>
    </row>
    <row r="266" spans="1:5" hidden="1" x14ac:dyDescent="0.25">
      <c r="A266" t="s">
        <v>110</v>
      </c>
      <c r="B266" t="s">
        <v>72</v>
      </c>
      <c r="C266">
        <v>37</v>
      </c>
      <c r="D266" t="s">
        <v>15</v>
      </c>
      <c r="E266" t="s">
        <v>107</v>
      </c>
    </row>
    <row r="267" spans="1:5" hidden="1" x14ac:dyDescent="0.25">
      <c r="A267" t="s">
        <v>110</v>
      </c>
      <c r="B267" t="s">
        <v>72</v>
      </c>
      <c r="C267">
        <v>38</v>
      </c>
      <c r="D267" t="s">
        <v>17</v>
      </c>
      <c r="E267" t="s">
        <v>108</v>
      </c>
    </row>
    <row r="268" spans="1:5" hidden="1" x14ac:dyDescent="0.25">
      <c r="A268" t="s">
        <v>110</v>
      </c>
      <c r="B268" t="s">
        <v>72</v>
      </c>
      <c r="C268">
        <v>39</v>
      </c>
      <c r="D268" t="s">
        <v>19</v>
      </c>
      <c r="E268" t="s">
        <v>112</v>
      </c>
    </row>
    <row r="269" spans="1:5" hidden="1" x14ac:dyDescent="0.25">
      <c r="A269" t="s">
        <v>113</v>
      </c>
      <c r="B269" t="s">
        <v>72</v>
      </c>
      <c r="C269">
        <v>34</v>
      </c>
      <c r="D269" t="s">
        <v>9</v>
      </c>
      <c r="E269" t="s">
        <v>106</v>
      </c>
    </row>
    <row r="270" spans="1:5" hidden="1" x14ac:dyDescent="0.25">
      <c r="A270" t="s">
        <v>113</v>
      </c>
      <c r="B270" t="s">
        <v>72</v>
      </c>
      <c r="C270">
        <v>37</v>
      </c>
      <c r="D270" t="s">
        <v>15</v>
      </c>
      <c r="E270" t="s">
        <v>107</v>
      </c>
    </row>
    <row r="271" spans="1:5" hidden="1" x14ac:dyDescent="0.25">
      <c r="A271" t="s">
        <v>113</v>
      </c>
      <c r="B271" t="s">
        <v>72</v>
      </c>
      <c r="C271">
        <v>38</v>
      </c>
      <c r="D271" t="s">
        <v>17</v>
      </c>
      <c r="E271" t="s">
        <v>108</v>
      </c>
    </row>
    <row r="272" spans="1:5" hidden="1" x14ac:dyDescent="0.25">
      <c r="A272" t="s">
        <v>113</v>
      </c>
      <c r="B272" t="s">
        <v>72</v>
      </c>
      <c r="C272">
        <v>39</v>
      </c>
      <c r="D272" t="s">
        <v>19</v>
      </c>
      <c r="E272" t="s">
        <v>79</v>
      </c>
    </row>
    <row r="273" spans="1:5" hidden="1" x14ac:dyDescent="0.25">
      <c r="A273" t="s">
        <v>114</v>
      </c>
      <c r="B273" t="s">
        <v>72</v>
      </c>
      <c r="C273">
        <v>34</v>
      </c>
      <c r="D273" t="s">
        <v>9</v>
      </c>
      <c r="E273" t="s">
        <v>106</v>
      </c>
    </row>
    <row r="274" spans="1:5" hidden="1" x14ac:dyDescent="0.25">
      <c r="A274" t="s">
        <v>114</v>
      </c>
      <c r="B274" t="s">
        <v>72</v>
      </c>
      <c r="C274">
        <v>37</v>
      </c>
      <c r="D274" t="s">
        <v>15</v>
      </c>
      <c r="E274" t="s">
        <v>107</v>
      </c>
    </row>
    <row r="275" spans="1:5" hidden="1" x14ac:dyDescent="0.25">
      <c r="A275" t="s">
        <v>114</v>
      </c>
      <c r="B275" t="s">
        <v>72</v>
      </c>
      <c r="C275">
        <v>38</v>
      </c>
      <c r="D275" t="s">
        <v>17</v>
      </c>
      <c r="E275" t="s">
        <v>108</v>
      </c>
    </row>
    <row r="276" spans="1:5" hidden="1" x14ac:dyDescent="0.25">
      <c r="A276" t="s">
        <v>114</v>
      </c>
      <c r="B276" t="s">
        <v>72</v>
      </c>
      <c r="C276">
        <v>39</v>
      </c>
      <c r="D276" t="s">
        <v>19</v>
      </c>
      <c r="E276" t="s">
        <v>82</v>
      </c>
    </row>
    <row r="277" spans="1:5" hidden="1" x14ac:dyDescent="0.25">
      <c r="A277" t="s">
        <v>115</v>
      </c>
      <c r="B277" t="s">
        <v>72</v>
      </c>
      <c r="C277">
        <v>34</v>
      </c>
      <c r="D277" t="s">
        <v>9</v>
      </c>
      <c r="E277" t="s">
        <v>111</v>
      </c>
    </row>
    <row r="278" spans="1:5" hidden="1" x14ac:dyDescent="0.25">
      <c r="A278" t="s">
        <v>115</v>
      </c>
      <c r="B278" t="s">
        <v>72</v>
      </c>
      <c r="C278">
        <v>37</v>
      </c>
      <c r="D278" t="s">
        <v>15</v>
      </c>
      <c r="E278" t="s">
        <v>107</v>
      </c>
    </row>
    <row r="279" spans="1:5" hidden="1" x14ac:dyDescent="0.25">
      <c r="A279" t="s">
        <v>115</v>
      </c>
      <c r="B279" t="s">
        <v>72</v>
      </c>
      <c r="C279">
        <v>38</v>
      </c>
      <c r="D279" t="s">
        <v>17</v>
      </c>
      <c r="E279" t="s">
        <v>108</v>
      </c>
    </row>
    <row r="280" spans="1:5" hidden="1" x14ac:dyDescent="0.25">
      <c r="A280" t="s">
        <v>115</v>
      </c>
      <c r="B280" t="s">
        <v>72</v>
      </c>
      <c r="C280">
        <v>39</v>
      </c>
      <c r="D280" t="s">
        <v>19</v>
      </c>
      <c r="E280" t="s">
        <v>94</v>
      </c>
    </row>
    <row r="281" spans="1:5" hidden="1" x14ac:dyDescent="0.25">
      <c r="A281" t="s">
        <v>116</v>
      </c>
      <c r="B281" t="s">
        <v>72</v>
      </c>
      <c r="C281">
        <v>34</v>
      </c>
      <c r="D281" t="s">
        <v>9</v>
      </c>
      <c r="E281" t="s">
        <v>111</v>
      </c>
    </row>
    <row r="282" spans="1:5" hidden="1" x14ac:dyDescent="0.25">
      <c r="A282" t="s">
        <v>116</v>
      </c>
      <c r="B282" t="s">
        <v>72</v>
      </c>
      <c r="C282">
        <v>37</v>
      </c>
      <c r="D282" t="s">
        <v>15</v>
      </c>
      <c r="E282" t="s">
        <v>107</v>
      </c>
    </row>
    <row r="283" spans="1:5" hidden="1" x14ac:dyDescent="0.25">
      <c r="A283" t="s">
        <v>116</v>
      </c>
      <c r="B283" t="s">
        <v>72</v>
      </c>
      <c r="C283">
        <v>38</v>
      </c>
      <c r="D283" t="s">
        <v>17</v>
      </c>
      <c r="E283" t="s">
        <v>108</v>
      </c>
    </row>
    <row r="284" spans="1:5" hidden="1" x14ac:dyDescent="0.25">
      <c r="A284" t="s">
        <v>116</v>
      </c>
      <c r="B284" t="s">
        <v>72</v>
      </c>
      <c r="C284">
        <v>39</v>
      </c>
      <c r="D284" t="s">
        <v>19</v>
      </c>
      <c r="E284" t="s">
        <v>88</v>
      </c>
    </row>
    <row r="285" spans="1:5" hidden="1" x14ac:dyDescent="0.25">
      <c r="A285" t="s">
        <v>117</v>
      </c>
      <c r="B285" t="s">
        <v>72</v>
      </c>
      <c r="C285">
        <v>34</v>
      </c>
      <c r="D285" t="s">
        <v>9</v>
      </c>
      <c r="E285" t="s">
        <v>111</v>
      </c>
    </row>
    <row r="286" spans="1:5" hidden="1" x14ac:dyDescent="0.25">
      <c r="A286" t="s">
        <v>117</v>
      </c>
      <c r="B286" t="s">
        <v>72</v>
      </c>
      <c r="C286">
        <v>37</v>
      </c>
      <c r="D286" t="s">
        <v>15</v>
      </c>
      <c r="E286" t="s">
        <v>107</v>
      </c>
    </row>
    <row r="287" spans="1:5" hidden="1" x14ac:dyDescent="0.25">
      <c r="A287" t="s">
        <v>117</v>
      </c>
      <c r="B287" t="s">
        <v>72</v>
      </c>
      <c r="C287">
        <v>38</v>
      </c>
      <c r="D287" t="s">
        <v>17</v>
      </c>
      <c r="E287" t="s">
        <v>108</v>
      </c>
    </row>
    <row r="288" spans="1:5" hidden="1" x14ac:dyDescent="0.25">
      <c r="A288" t="s">
        <v>117</v>
      </c>
      <c r="B288" t="s">
        <v>72</v>
      </c>
      <c r="C288">
        <v>39</v>
      </c>
      <c r="D288" t="s">
        <v>19</v>
      </c>
      <c r="E288" t="s">
        <v>91</v>
      </c>
    </row>
    <row r="289" spans="1:5" hidden="1" x14ac:dyDescent="0.25">
      <c r="A289" t="s">
        <v>118</v>
      </c>
      <c r="B289" t="s">
        <v>72</v>
      </c>
      <c r="C289">
        <v>33</v>
      </c>
      <c r="D289" t="s">
        <v>7</v>
      </c>
      <c r="E289" t="s">
        <v>119</v>
      </c>
    </row>
    <row r="290" spans="1:5" hidden="1" x14ac:dyDescent="0.25">
      <c r="A290" t="s">
        <v>118</v>
      </c>
      <c r="B290" t="s">
        <v>72</v>
      </c>
      <c r="C290">
        <v>34</v>
      </c>
      <c r="D290" t="s">
        <v>9</v>
      </c>
      <c r="E290" t="s">
        <v>120</v>
      </c>
    </row>
    <row r="291" spans="1:5" hidden="1" x14ac:dyDescent="0.25">
      <c r="A291" t="s">
        <v>118</v>
      </c>
      <c r="B291" t="s">
        <v>72</v>
      </c>
      <c r="C291">
        <v>35</v>
      </c>
      <c r="D291" t="s">
        <v>11</v>
      </c>
      <c r="E291" t="s">
        <v>121</v>
      </c>
    </row>
    <row r="292" spans="1:5" hidden="1" x14ac:dyDescent="0.25">
      <c r="A292" t="s">
        <v>118</v>
      </c>
      <c r="B292" t="s">
        <v>72</v>
      </c>
      <c r="C292">
        <v>36</v>
      </c>
      <c r="D292" t="s">
        <v>13</v>
      </c>
      <c r="E292" t="s">
        <v>122</v>
      </c>
    </row>
    <row r="293" spans="1:5" hidden="1" x14ac:dyDescent="0.25">
      <c r="A293" t="s">
        <v>118</v>
      </c>
      <c r="B293" t="s">
        <v>72</v>
      </c>
      <c r="C293">
        <v>37</v>
      </c>
      <c r="D293" t="s">
        <v>15</v>
      </c>
      <c r="E293" t="s">
        <v>123</v>
      </c>
    </row>
    <row r="294" spans="1:5" hidden="1" x14ac:dyDescent="0.25">
      <c r="A294" t="s">
        <v>118</v>
      </c>
      <c r="B294" t="s">
        <v>72</v>
      </c>
      <c r="C294">
        <v>38</v>
      </c>
      <c r="D294" t="s">
        <v>17</v>
      </c>
      <c r="E294" t="s">
        <v>78</v>
      </c>
    </row>
    <row r="295" spans="1:5" hidden="1" x14ac:dyDescent="0.25">
      <c r="A295" t="s">
        <v>118</v>
      </c>
      <c r="B295" t="s">
        <v>72</v>
      </c>
      <c r="C295">
        <v>39</v>
      </c>
      <c r="D295" t="s">
        <v>19</v>
      </c>
      <c r="E295" t="s">
        <v>124</v>
      </c>
    </row>
    <row r="296" spans="1:5" hidden="1" x14ac:dyDescent="0.25">
      <c r="A296" t="s">
        <v>125</v>
      </c>
      <c r="B296" t="s">
        <v>72</v>
      </c>
      <c r="C296">
        <v>33</v>
      </c>
      <c r="D296" t="s">
        <v>7</v>
      </c>
      <c r="E296" t="s">
        <v>119</v>
      </c>
    </row>
    <row r="297" spans="1:5" hidden="1" x14ac:dyDescent="0.25">
      <c r="A297" t="s">
        <v>125</v>
      </c>
      <c r="B297" t="s">
        <v>72</v>
      </c>
      <c r="C297">
        <v>34</v>
      </c>
      <c r="D297" t="s">
        <v>9</v>
      </c>
      <c r="E297" t="s">
        <v>120</v>
      </c>
    </row>
    <row r="298" spans="1:5" hidden="1" x14ac:dyDescent="0.25">
      <c r="A298" t="s">
        <v>125</v>
      </c>
      <c r="B298" t="s">
        <v>72</v>
      </c>
      <c r="C298">
        <v>35</v>
      </c>
      <c r="D298" t="s">
        <v>11</v>
      </c>
      <c r="E298" t="s">
        <v>121</v>
      </c>
    </row>
    <row r="299" spans="1:5" hidden="1" x14ac:dyDescent="0.25">
      <c r="A299" t="s">
        <v>125</v>
      </c>
      <c r="B299" t="s">
        <v>72</v>
      </c>
      <c r="C299">
        <v>36</v>
      </c>
      <c r="D299" t="s">
        <v>13</v>
      </c>
      <c r="E299" t="s">
        <v>122</v>
      </c>
    </row>
    <row r="300" spans="1:5" hidden="1" x14ac:dyDescent="0.25">
      <c r="A300" t="s">
        <v>125</v>
      </c>
      <c r="B300" t="s">
        <v>72</v>
      </c>
      <c r="C300">
        <v>37</v>
      </c>
      <c r="D300" t="s">
        <v>15</v>
      </c>
      <c r="E300" t="s">
        <v>123</v>
      </c>
    </row>
    <row r="301" spans="1:5" hidden="1" x14ac:dyDescent="0.25">
      <c r="A301" t="s">
        <v>125</v>
      </c>
      <c r="B301" t="s">
        <v>72</v>
      </c>
      <c r="C301">
        <v>38</v>
      </c>
      <c r="D301" t="s">
        <v>17</v>
      </c>
      <c r="E301" t="s">
        <v>78</v>
      </c>
    </row>
    <row r="302" spans="1:5" hidden="1" x14ac:dyDescent="0.25">
      <c r="A302" t="s">
        <v>125</v>
      </c>
      <c r="B302" t="s">
        <v>72</v>
      </c>
      <c r="C302">
        <v>39</v>
      </c>
      <c r="D302" t="s">
        <v>19</v>
      </c>
      <c r="E302" t="s">
        <v>124</v>
      </c>
    </row>
    <row r="303" spans="1:5" hidden="1" x14ac:dyDescent="0.25">
      <c r="A303" t="s">
        <v>126</v>
      </c>
      <c r="B303" t="s">
        <v>72</v>
      </c>
      <c r="C303">
        <v>38</v>
      </c>
      <c r="D303" t="s">
        <v>17</v>
      </c>
      <c r="E303" t="s">
        <v>78</v>
      </c>
    </row>
    <row r="304" spans="1:5" hidden="1" x14ac:dyDescent="0.25">
      <c r="A304" t="s">
        <v>126</v>
      </c>
      <c r="B304" t="s">
        <v>72</v>
      </c>
      <c r="C304">
        <v>39</v>
      </c>
      <c r="D304" t="s">
        <v>19</v>
      </c>
      <c r="E304" t="s">
        <v>127</v>
      </c>
    </row>
    <row r="305" spans="1:5" hidden="1" x14ac:dyDescent="0.25">
      <c r="A305" t="s">
        <v>126</v>
      </c>
      <c r="B305" t="s">
        <v>72</v>
      </c>
      <c r="C305">
        <v>33</v>
      </c>
      <c r="D305" t="s">
        <v>7</v>
      </c>
      <c r="E305" t="s">
        <v>128</v>
      </c>
    </row>
    <row r="306" spans="1:5" hidden="1" x14ac:dyDescent="0.25">
      <c r="A306" t="s">
        <v>126</v>
      </c>
      <c r="B306" t="s">
        <v>72</v>
      </c>
      <c r="C306">
        <v>34</v>
      </c>
      <c r="D306" t="s">
        <v>9</v>
      </c>
      <c r="E306" t="s">
        <v>120</v>
      </c>
    </row>
    <row r="307" spans="1:5" hidden="1" x14ac:dyDescent="0.25">
      <c r="A307" t="s">
        <v>126</v>
      </c>
      <c r="B307" t="s">
        <v>72</v>
      </c>
      <c r="C307">
        <v>35</v>
      </c>
      <c r="D307" t="s">
        <v>11</v>
      </c>
      <c r="E307" t="s">
        <v>121</v>
      </c>
    </row>
    <row r="308" spans="1:5" hidden="1" x14ac:dyDescent="0.25">
      <c r="A308" t="s">
        <v>126</v>
      </c>
      <c r="B308" t="s">
        <v>72</v>
      </c>
      <c r="C308">
        <v>36</v>
      </c>
      <c r="D308" t="s">
        <v>13</v>
      </c>
      <c r="E308" t="s">
        <v>129</v>
      </c>
    </row>
    <row r="309" spans="1:5" hidden="1" x14ac:dyDescent="0.25">
      <c r="A309" t="s">
        <v>126</v>
      </c>
      <c r="B309" t="s">
        <v>72</v>
      </c>
      <c r="C309">
        <v>37</v>
      </c>
      <c r="D309" t="s">
        <v>15</v>
      </c>
      <c r="E309" t="s">
        <v>123</v>
      </c>
    </row>
    <row r="310" spans="1:5" hidden="1" x14ac:dyDescent="0.25">
      <c r="A310" t="s">
        <v>130</v>
      </c>
      <c r="B310" t="s">
        <v>72</v>
      </c>
      <c r="C310">
        <v>33</v>
      </c>
      <c r="D310" t="s">
        <v>7</v>
      </c>
      <c r="E310" t="s">
        <v>128</v>
      </c>
    </row>
    <row r="311" spans="1:5" hidden="1" x14ac:dyDescent="0.25">
      <c r="A311" t="s">
        <v>130</v>
      </c>
      <c r="B311" t="s">
        <v>72</v>
      </c>
      <c r="C311">
        <v>34</v>
      </c>
      <c r="D311" t="s">
        <v>9</v>
      </c>
      <c r="E311" t="s">
        <v>120</v>
      </c>
    </row>
    <row r="312" spans="1:5" hidden="1" x14ac:dyDescent="0.25">
      <c r="A312" t="s">
        <v>130</v>
      </c>
      <c r="B312" t="s">
        <v>72</v>
      </c>
      <c r="C312">
        <v>35</v>
      </c>
      <c r="D312" t="s">
        <v>11</v>
      </c>
      <c r="E312" t="s">
        <v>121</v>
      </c>
    </row>
    <row r="313" spans="1:5" hidden="1" x14ac:dyDescent="0.25">
      <c r="A313" t="s">
        <v>130</v>
      </c>
      <c r="B313" t="s">
        <v>72</v>
      </c>
      <c r="C313">
        <v>36</v>
      </c>
      <c r="D313" t="s">
        <v>13</v>
      </c>
      <c r="E313" t="s">
        <v>129</v>
      </c>
    </row>
    <row r="314" spans="1:5" hidden="1" x14ac:dyDescent="0.25">
      <c r="A314" t="s">
        <v>130</v>
      </c>
      <c r="B314" t="s">
        <v>72</v>
      </c>
      <c r="C314">
        <v>37</v>
      </c>
      <c r="D314" t="s">
        <v>15</v>
      </c>
      <c r="E314" t="s">
        <v>123</v>
      </c>
    </row>
    <row r="315" spans="1:5" hidden="1" x14ac:dyDescent="0.25">
      <c r="A315" t="s">
        <v>130</v>
      </c>
      <c r="B315" t="s">
        <v>72</v>
      </c>
      <c r="C315">
        <v>38</v>
      </c>
      <c r="D315" t="s">
        <v>17</v>
      </c>
      <c r="E315" t="s">
        <v>78</v>
      </c>
    </row>
    <row r="316" spans="1:5" hidden="1" x14ac:dyDescent="0.25">
      <c r="A316" t="s">
        <v>130</v>
      </c>
      <c r="B316" t="s">
        <v>72</v>
      </c>
      <c r="C316">
        <v>39</v>
      </c>
      <c r="D316" t="s">
        <v>19</v>
      </c>
      <c r="E316" t="s">
        <v>127</v>
      </c>
    </row>
    <row r="317" spans="1:5" hidden="1" x14ac:dyDescent="0.25">
      <c r="A317" t="s">
        <v>131</v>
      </c>
      <c r="B317" t="s">
        <v>72</v>
      </c>
      <c r="C317">
        <v>33</v>
      </c>
      <c r="D317" t="s">
        <v>7</v>
      </c>
      <c r="E317" t="s">
        <v>128</v>
      </c>
    </row>
    <row r="318" spans="1:5" hidden="1" x14ac:dyDescent="0.25">
      <c r="A318" t="s">
        <v>131</v>
      </c>
      <c r="B318" t="s">
        <v>72</v>
      </c>
      <c r="C318">
        <v>34</v>
      </c>
      <c r="D318" t="s">
        <v>9</v>
      </c>
      <c r="E318" t="s">
        <v>120</v>
      </c>
    </row>
    <row r="319" spans="1:5" hidden="1" x14ac:dyDescent="0.25">
      <c r="A319" t="s">
        <v>131</v>
      </c>
      <c r="B319" t="s">
        <v>72</v>
      </c>
      <c r="C319">
        <v>35</v>
      </c>
      <c r="D319" t="s">
        <v>11</v>
      </c>
      <c r="E319" t="s">
        <v>121</v>
      </c>
    </row>
    <row r="320" spans="1:5" hidden="1" x14ac:dyDescent="0.25">
      <c r="A320" t="s">
        <v>131</v>
      </c>
      <c r="B320" t="s">
        <v>72</v>
      </c>
      <c r="C320">
        <v>36</v>
      </c>
      <c r="D320" t="s">
        <v>13</v>
      </c>
      <c r="E320" t="s">
        <v>129</v>
      </c>
    </row>
    <row r="321" spans="1:5" hidden="1" x14ac:dyDescent="0.25">
      <c r="A321" t="s">
        <v>131</v>
      </c>
      <c r="B321" t="s">
        <v>72</v>
      </c>
      <c r="C321">
        <v>37</v>
      </c>
      <c r="D321" t="s">
        <v>15</v>
      </c>
      <c r="E321" t="s">
        <v>123</v>
      </c>
    </row>
    <row r="322" spans="1:5" hidden="1" x14ac:dyDescent="0.25">
      <c r="A322" t="s">
        <v>131</v>
      </c>
      <c r="B322" t="s">
        <v>72</v>
      </c>
      <c r="C322">
        <v>38</v>
      </c>
      <c r="D322" t="s">
        <v>17</v>
      </c>
      <c r="E322" t="s">
        <v>78</v>
      </c>
    </row>
    <row r="323" spans="1:5" hidden="1" x14ac:dyDescent="0.25">
      <c r="A323" t="s">
        <v>131</v>
      </c>
      <c r="B323" t="s">
        <v>72</v>
      </c>
      <c r="C323">
        <v>39</v>
      </c>
      <c r="D323" t="s">
        <v>19</v>
      </c>
      <c r="E323" t="s">
        <v>127</v>
      </c>
    </row>
    <row r="324" spans="1:5" hidden="1" x14ac:dyDescent="0.25">
      <c r="A324" t="s">
        <v>132</v>
      </c>
      <c r="B324" t="s">
        <v>72</v>
      </c>
      <c r="C324">
        <v>33</v>
      </c>
      <c r="D324" t="s">
        <v>7</v>
      </c>
      <c r="E324" t="s">
        <v>128</v>
      </c>
    </row>
    <row r="325" spans="1:5" hidden="1" x14ac:dyDescent="0.25">
      <c r="A325" t="s">
        <v>132</v>
      </c>
      <c r="B325" t="s">
        <v>72</v>
      </c>
      <c r="C325">
        <v>34</v>
      </c>
      <c r="D325" t="s">
        <v>9</v>
      </c>
      <c r="E325" t="s">
        <v>120</v>
      </c>
    </row>
    <row r="326" spans="1:5" hidden="1" x14ac:dyDescent="0.25">
      <c r="A326" t="s">
        <v>132</v>
      </c>
      <c r="B326" t="s">
        <v>72</v>
      </c>
      <c r="C326">
        <v>35</v>
      </c>
      <c r="D326" t="s">
        <v>11</v>
      </c>
      <c r="E326" t="s">
        <v>121</v>
      </c>
    </row>
    <row r="327" spans="1:5" hidden="1" x14ac:dyDescent="0.25">
      <c r="A327" t="s">
        <v>132</v>
      </c>
      <c r="B327" t="s">
        <v>72</v>
      </c>
      <c r="C327">
        <v>36</v>
      </c>
      <c r="D327" t="s">
        <v>13</v>
      </c>
      <c r="E327" t="s">
        <v>129</v>
      </c>
    </row>
    <row r="328" spans="1:5" hidden="1" x14ac:dyDescent="0.25">
      <c r="A328" t="s">
        <v>132</v>
      </c>
      <c r="B328" t="s">
        <v>72</v>
      </c>
      <c r="C328">
        <v>37</v>
      </c>
      <c r="D328" t="s">
        <v>15</v>
      </c>
      <c r="E328" t="s">
        <v>102</v>
      </c>
    </row>
    <row r="329" spans="1:5" hidden="1" x14ac:dyDescent="0.25">
      <c r="A329" t="s">
        <v>132</v>
      </c>
      <c r="B329" t="s">
        <v>72</v>
      </c>
      <c r="C329">
        <v>38</v>
      </c>
      <c r="D329" t="s">
        <v>17</v>
      </c>
      <c r="E329" t="s">
        <v>78</v>
      </c>
    </row>
    <row r="330" spans="1:5" hidden="1" x14ac:dyDescent="0.25">
      <c r="A330" t="s">
        <v>132</v>
      </c>
      <c r="B330" t="s">
        <v>72</v>
      </c>
      <c r="C330">
        <v>39</v>
      </c>
      <c r="D330" t="s">
        <v>19</v>
      </c>
      <c r="E330" t="s">
        <v>127</v>
      </c>
    </row>
    <row r="331" spans="1:5" x14ac:dyDescent="0.25">
      <c r="A331" t="s">
        <v>133</v>
      </c>
      <c r="B331" t="s">
        <v>134</v>
      </c>
      <c r="C331">
        <v>39</v>
      </c>
      <c r="D331" t="s">
        <v>19</v>
      </c>
      <c r="E331" t="s">
        <v>135</v>
      </c>
    </row>
    <row r="332" spans="1:5" x14ac:dyDescent="0.25">
      <c r="A332" t="s">
        <v>136</v>
      </c>
      <c r="B332" t="s">
        <v>134</v>
      </c>
      <c r="C332">
        <v>39</v>
      </c>
      <c r="D332" t="s">
        <v>19</v>
      </c>
      <c r="E332" t="s">
        <v>135</v>
      </c>
    </row>
    <row r="333" spans="1:5" x14ac:dyDescent="0.25">
      <c r="A333" t="s">
        <v>137</v>
      </c>
      <c r="B333" t="s">
        <v>134</v>
      </c>
      <c r="C333">
        <v>39</v>
      </c>
      <c r="D333" t="s">
        <v>19</v>
      </c>
      <c r="E333" t="s">
        <v>138</v>
      </c>
    </row>
    <row r="334" spans="1:5" x14ac:dyDescent="0.25">
      <c r="A334" t="s">
        <v>139</v>
      </c>
      <c r="B334" t="s">
        <v>134</v>
      </c>
      <c r="C334">
        <v>33</v>
      </c>
      <c r="D334" t="s">
        <v>7</v>
      </c>
      <c r="E334" t="s">
        <v>140</v>
      </c>
    </row>
    <row r="335" spans="1:5" x14ac:dyDescent="0.25">
      <c r="A335" t="s">
        <v>139</v>
      </c>
      <c r="B335" t="s">
        <v>134</v>
      </c>
      <c r="C335">
        <v>39</v>
      </c>
      <c r="D335" t="s">
        <v>19</v>
      </c>
      <c r="E335" t="s">
        <v>141</v>
      </c>
    </row>
    <row r="336" spans="1:5" x14ac:dyDescent="0.25">
      <c r="A336" t="s">
        <v>142</v>
      </c>
      <c r="B336" t="s">
        <v>134</v>
      </c>
      <c r="C336">
        <v>33</v>
      </c>
      <c r="D336" t="s">
        <v>7</v>
      </c>
      <c r="E336" t="s">
        <v>143</v>
      </c>
    </row>
    <row r="337" spans="1:5" x14ac:dyDescent="0.25">
      <c r="A337" t="s">
        <v>142</v>
      </c>
      <c r="B337" t="s">
        <v>134</v>
      </c>
      <c r="C337">
        <v>39</v>
      </c>
      <c r="D337" t="s">
        <v>19</v>
      </c>
      <c r="E337" t="s">
        <v>144</v>
      </c>
    </row>
    <row r="338" spans="1:5" x14ac:dyDescent="0.25">
      <c r="A338" t="s">
        <v>145</v>
      </c>
      <c r="B338" t="s">
        <v>134</v>
      </c>
      <c r="C338">
        <v>33</v>
      </c>
      <c r="D338" t="s">
        <v>7</v>
      </c>
      <c r="E338" t="s">
        <v>140</v>
      </c>
    </row>
    <row r="339" spans="1:5" x14ac:dyDescent="0.25">
      <c r="A339" t="s">
        <v>145</v>
      </c>
      <c r="B339" t="s">
        <v>134</v>
      </c>
      <c r="C339">
        <v>39</v>
      </c>
      <c r="D339" t="s">
        <v>19</v>
      </c>
      <c r="E339" t="s">
        <v>141</v>
      </c>
    </row>
    <row r="340" spans="1:5" x14ac:dyDescent="0.25">
      <c r="A340" t="s">
        <v>146</v>
      </c>
      <c r="B340" t="s">
        <v>134</v>
      </c>
      <c r="C340">
        <v>39</v>
      </c>
      <c r="D340" t="s">
        <v>19</v>
      </c>
      <c r="E340" t="s">
        <v>144</v>
      </c>
    </row>
    <row r="341" spans="1:5" x14ac:dyDescent="0.25">
      <c r="A341" t="s">
        <v>146</v>
      </c>
      <c r="B341" t="s">
        <v>134</v>
      </c>
      <c r="C341">
        <v>33</v>
      </c>
      <c r="D341" t="s">
        <v>7</v>
      </c>
      <c r="E341" t="s">
        <v>143</v>
      </c>
    </row>
    <row r="342" spans="1:5" x14ac:dyDescent="0.25">
      <c r="A342" t="s">
        <v>147</v>
      </c>
      <c r="B342" t="s">
        <v>134</v>
      </c>
      <c r="C342">
        <v>33</v>
      </c>
      <c r="D342" t="s">
        <v>7</v>
      </c>
      <c r="E342" t="s">
        <v>148</v>
      </c>
    </row>
    <row r="343" spans="1:5" x14ac:dyDescent="0.25">
      <c r="A343" t="s">
        <v>147</v>
      </c>
      <c r="B343" t="s">
        <v>134</v>
      </c>
      <c r="C343">
        <v>39</v>
      </c>
      <c r="D343" t="s">
        <v>19</v>
      </c>
      <c r="E343" t="s">
        <v>149</v>
      </c>
    </row>
    <row r="344" spans="1:5" x14ac:dyDescent="0.25">
      <c r="A344" t="s">
        <v>150</v>
      </c>
      <c r="B344" t="s">
        <v>134</v>
      </c>
      <c r="C344">
        <v>33</v>
      </c>
      <c r="D344" t="s">
        <v>7</v>
      </c>
      <c r="E344" t="s">
        <v>148</v>
      </c>
    </row>
    <row r="345" spans="1:5" x14ac:dyDescent="0.25">
      <c r="A345" t="s">
        <v>150</v>
      </c>
      <c r="B345" t="s">
        <v>134</v>
      </c>
      <c r="C345">
        <v>39</v>
      </c>
      <c r="D345" t="s">
        <v>19</v>
      </c>
      <c r="E345" t="s">
        <v>151</v>
      </c>
    </row>
    <row r="346" spans="1:5" x14ac:dyDescent="0.25">
      <c r="A346" t="s">
        <v>152</v>
      </c>
      <c r="B346" t="s">
        <v>134</v>
      </c>
      <c r="C346">
        <v>33</v>
      </c>
      <c r="D346" t="s">
        <v>7</v>
      </c>
      <c r="E346" t="s">
        <v>153</v>
      </c>
    </row>
    <row r="347" spans="1:5" x14ac:dyDescent="0.25">
      <c r="A347" t="s">
        <v>152</v>
      </c>
      <c r="B347" t="s">
        <v>134</v>
      </c>
      <c r="C347">
        <v>39</v>
      </c>
      <c r="D347" t="s">
        <v>19</v>
      </c>
      <c r="E347" t="s">
        <v>154</v>
      </c>
    </row>
    <row r="348" spans="1:5" x14ac:dyDescent="0.25">
      <c r="A348" t="s">
        <v>155</v>
      </c>
      <c r="B348" t="s">
        <v>134</v>
      </c>
      <c r="C348">
        <v>39</v>
      </c>
      <c r="D348" t="s">
        <v>19</v>
      </c>
      <c r="E348" t="s">
        <v>149</v>
      </c>
    </row>
    <row r="349" spans="1:5" x14ac:dyDescent="0.25">
      <c r="A349" t="s">
        <v>156</v>
      </c>
      <c r="B349" t="s">
        <v>134</v>
      </c>
      <c r="C349">
        <v>39</v>
      </c>
      <c r="D349" t="s">
        <v>19</v>
      </c>
      <c r="E349" t="s">
        <v>151</v>
      </c>
    </row>
    <row r="350" spans="1:5" x14ac:dyDescent="0.25">
      <c r="A350" t="s">
        <v>157</v>
      </c>
      <c r="B350" t="s">
        <v>134</v>
      </c>
      <c r="C350">
        <v>39</v>
      </c>
      <c r="D350" t="s">
        <v>19</v>
      </c>
      <c r="E350" t="s">
        <v>154</v>
      </c>
    </row>
    <row r="351" spans="1:5" x14ac:dyDescent="0.25">
      <c r="A351" t="s">
        <v>158</v>
      </c>
      <c r="B351" t="s">
        <v>134</v>
      </c>
      <c r="C351">
        <v>39</v>
      </c>
      <c r="D351" t="s">
        <v>19</v>
      </c>
      <c r="E351" t="s">
        <v>149</v>
      </c>
    </row>
    <row r="352" spans="1:5" x14ac:dyDescent="0.25">
      <c r="A352" t="s">
        <v>159</v>
      </c>
      <c r="B352" t="s">
        <v>134</v>
      </c>
      <c r="C352">
        <v>39</v>
      </c>
      <c r="D352" t="s">
        <v>19</v>
      </c>
      <c r="E352" t="s">
        <v>151</v>
      </c>
    </row>
    <row r="353" spans="1:5" x14ac:dyDescent="0.25">
      <c r="A353" t="s">
        <v>160</v>
      </c>
      <c r="B353" t="s">
        <v>134</v>
      </c>
      <c r="C353">
        <v>39</v>
      </c>
      <c r="D353" t="s">
        <v>19</v>
      </c>
      <c r="E353" t="s">
        <v>154</v>
      </c>
    </row>
    <row r="354" spans="1:5" x14ac:dyDescent="0.25">
      <c r="A354" t="s">
        <v>161</v>
      </c>
      <c r="B354" t="s">
        <v>134</v>
      </c>
      <c r="C354">
        <v>33</v>
      </c>
      <c r="D354" t="s">
        <v>7</v>
      </c>
      <c r="E354" t="s">
        <v>162</v>
      </c>
    </row>
    <row r="355" spans="1:5" x14ac:dyDescent="0.25">
      <c r="A355" t="s">
        <v>161</v>
      </c>
      <c r="B355" t="s">
        <v>134</v>
      </c>
      <c r="C355">
        <v>39</v>
      </c>
      <c r="D355" t="s">
        <v>19</v>
      </c>
      <c r="E355" t="s">
        <v>163</v>
      </c>
    </row>
    <row r="356" spans="1:5" x14ac:dyDescent="0.25">
      <c r="A356" t="s">
        <v>164</v>
      </c>
      <c r="B356" t="s">
        <v>134</v>
      </c>
      <c r="C356">
        <v>33</v>
      </c>
      <c r="D356" t="s">
        <v>7</v>
      </c>
      <c r="E356" t="s">
        <v>162</v>
      </c>
    </row>
    <row r="357" spans="1:5" x14ac:dyDescent="0.25">
      <c r="A357" t="s">
        <v>164</v>
      </c>
      <c r="B357" t="s">
        <v>134</v>
      </c>
      <c r="C357">
        <v>39</v>
      </c>
      <c r="D357" t="s">
        <v>19</v>
      </c>
      <c r="E357" t="s">
        <v>163</v>
      </c>
    </row>
    <row r="358" spans="1:5" x14ac:dyDescent="0.25">
      <c r="A358" t="s">
        <v>165</v>
      </c>
      <c r="B358" t="s">
        <v>134</v>
      </c>
      <c r="C358">
        <v>33</v>
      </c>
      <c r="D358" t="s">
        <v>7</v>
      </c>
      <c r="E358" t="s">
        <v>166</v>
      </c>
    </row>
    <row r="359" spans="1:5" x14ac:dyDescent="0.25">
      <c r="A359" t="s">
        <v>165</v>
      </c>
      <c r="B359" t="s">
        <v>134</v>
      </c>
      <c r="C359">
        <v>39</v>
      </c>
      <c r="D359" t="s">
        <v>19</v>
      </c>
      <c r="E359" t="s">
        <v>167</v>
      </c>
    </row>
    <row r="360" spans="1:5" x14ac:dyDescent="0.25">
      <c r="A360" t="s">
        <v>168</v>
      </c>
      <c r="B360" t="s">
        <v>134</v>
      </c>
      <c r="C360">
        <v>39</v>
      </c>
      <c r="D360" t="s">
        <v>19</v>
      </c>
      <c r="E360" t="s">
        <v>141</v>
      </c>
    </row>
    <row r="361" spans="1:5" x14ac:dyDescent="0.25">
      <c r="A361" t="s">
        <v>169</v>
      </c>
      <c r="B361" t="s">
        <v>134</v>
      </c>
      <c r="C361">
        <v>39</v>
      </c>
      <c r="D361" t="s">
        <v>19</v>
      </c>
      <c r="E361" t="s">
        <v>144</v>
      </c>
    </row>
    <row r="362" spans="1:5" x14ac:dyDescent="0.25">
      <c r="A362" t="s">
        <v>170</v>
      </c>
      <c r="B362" t="s">
        <v>134</v>
      </c>
      <c r="C362">
        <v>39</v>
      </c>
      <c r="D362" t="s">
        <v>19</v>
      </c>
      <c r="E362" t="s">
        <v>141</v>
      </c>
    </row>
    <row r="363" spans="1:5" x14ac:dyDescent="0.25">
      <c r="A363" t="s">
        <v>171</v>
      </c>
      <c r="B363" t="s">
        <v>134</v>
      </c>
      <c r="C363">
        <v>39</v>
      </c>
      <c r="D363" t="s">
        <v>19</v>
      </c>
      <c r="E363" t="s">
        <v>144</v>
      </c>
    </row>
    <row r="364" spans="1:5" x14ac:dyDescent="0.25">
      <c r="A364" t="s">
        <v>172</v>
      </c>
      <c r="B364" t="s">
        <v>134</v>
      </c>
      <c r="C364">
        <v>39</v>
      </c>
      <c r="D364" t="s">
        <v>19</v>
      </c>
      <c r="E364" t="s">
        <v>149</v>
      </c>
    </row>
    <row r="365" spans="1:5" x14ac:dyDescent="0.25">
      <c r="A365" t="s">
        <v>173</v>
      </c>
      <c r="B365" t="s">
        <v>134</v>
      </c>
      <c r="C365">
        <v>39</v>
      </c>
      <c r="D365" t="s">
        <v>19</v>
      </c>
      <c r="E365" t="s">
        <v>151</v>
      </c>
    </row>
    <row r="366" spans="1:5" x14ac:dyDescent="0.25">
      <c r="A366" t="s">
        <v>174</v>
      </c>
      <c r="B366" t="s">
        <v>134</v>
      </c>
      <c r="C366">
        <v>39</v>
      </c>
      <c r="D366" t="s">
        <v>19</v>
      </c>
      <c r="E366" t="s">
        <v>154</v>
      </c>
    </row>
    <row r="367" spans="1:5" hidden="1" x14ac:dyDescent="0.25">
      <c r="A367" t="s">
        <v>175</v>
      </c>
      <c r="B367" t="s">
        <v>176</v>
      </c>
      <c r="C367">
        <v>39</v>
      </c>
      <c r="D367" t="s">
        <v>19</v>
      </c>
      <c r="E367" t="s">
        <v>177</v>
      </c>
    </row>
    <row r="368" spans="1:5" hidden="1" x14ac:dyDescent="0.25">
      <c r="A368" t="s">
        <v>178</v>
      </c>
      <c r="B368" t="s">
        <v>176</v>
      </c>
      <c r="C368">
        <v>39</v>
      </c>
      <c r="D368" t="s">
        <v>19</v>
      </c>
      <c r="E368" t="s">
        <v>177</v>
      </c>
    </row>
    <row r="369" spans="1:5" hidden="1" x14ac:dyDescent="0.25">
      <c r="A369" t="s">
        <v>179</v>
      </c>
      <c r="B369" t="s">
        <v>176</v>
      </c>
      <c r="C369">
        <v>39</v>
      </c>
      <c r="D369" t="s">
        <v>19</v>
      </c>
      <c r="E369" t="s">
        <v>180</v>
      </c>
    </row>
    <row r="370" spans="1:5" hidden="1" x14ac:dyDescent="0.25">
      <c r="A370" t="s">
        <v>181</v>
      </c>
      <c r="B370" t="s">
        <v>176</v>
      </c>
      <c r="C370">
        <v>33</v>
      </c>
      <c r="D370" t="s">
        <v>7</v>
      </c>
      <c r="E370" t="s">
        <v>182</v>
      </c>
    </row>
    <row r="371" spans="1:5" hidden="1" x14ac:dyDescent="0.25">
      <c r="A371" t="s">
        <v>181</v>
      </c>
      <c r="B371" t="s">
        <v>176</v>
      </c>
      <c r="C371">
        <v>39</v>
      </c>
      <c r="D371" t="s">
        <v>19</v>
      </c>
      <c r="E371" t="s">
        <v>183</v>
      </c>
    </row>
    <row r="372" spans="1:5" hidden="1" x14ac:dyDescent="0.25">
      <c r="A372" t="s">
        <v>184</v>
      </c>
      <c r="B372" t="s">
        <v>176</v>
      </c>
      <c r="C372">
        <v>33</v>
      </c>
      <c r="D372" t="s">
        <v>7</v>
      </c>
      <c r="E372" t="s">
        <v>185</v>
      </c>
    </row>
    <row r="373" spans="1:5" hidden="1" x14ac:dyDescent="0.25">
      <c r="A373" t="s">
        <v>184</v>
      </c>
      <c r="B373" t="s">
        <v>176</v>
      </c>
      <c r="C373">
        <v>39</v>
      </c>
      <c r="D373" t="s">
        <v>19</v>
      </c>
      <c r="E373" t="s">
        <v>186</v>
      </c>
    </row>
    <row r="374" spans="1:5" hidden="1" x14ac:dyDescent="0.25">
      <c r="A374" t="s">
        <v>187</v>
      </c>
      <c r="B374" t="s">
        <v>176</v>
      </c>
      <c r="C374">
        <v>33</v>
      </c>
      <c r="D374" t="s">
        <v>7</v>
      </c>
      <c r="E374" t="s">
        <v>182</v>
      </c>
    </row>
    <row r="375" spans="1:5" hidden="1" x14ac:dyDescent="0.25">
      <c r="A375" t="s">
        <v>187</v>
      </c>
      <c r="B375" t="s">
        <v>176</v>
      </c>
      <c r="C375">
        <v>39</v>
      </c>
      <c r="D375" t="s">
        <v>19</v>
      </c>
      <c r="E375" t="s">
        <v>183</v>
      </c>
    </row>
    <row r="376" spans="1:5" hidden="1" x14ac:dyDescent="0.25">
      <c r="A376" t="s">
        <v>188</v>
      </c>
      <c r="B376" t="s">
        <v>176</v>
      </c>
      <c r="C376">
        <v>39</v>
      </c>
      <c r="D376" t="s">
        <v>19</v>
      </c>
      <c r="E376" t="s">
        <v>186</v>
      </c>
    </row>
    <row r="377" spans="1:5" hidden="1" x14ac:dyDescent="0.25">
      <c r="A377" t="s">
        <v>188</v>
      </c>
      <c r="B377" t="s">
        <v>176</v>
      </c>
      <c r="C377">
        <v>33</v>
      </c>
      <c r="D377" t="s">
        <v>7</v>
      </c>
      <c r="E377" t="s">
        <v>189</v>
      </c>
    </row>
    <row r="378" spans="1:5" hidden="1" x14ac:dyDescent="0.25">
      <c r="A378" t="s">
        <v>190</v>
      </c>
      <c r="B378" t="s">
        <v>176</v>
      </c>
      <c r="C378">
        <v>33</v>
      </c>
      <c r="D378" t="s">
        <v>7</v>
      </c>
      <c r="E378" t="s">
        <v>191</v>
      </c>
    </row>
    <row r="379" spans="1:5" hidden="1" x14ac:dyDescent="0.25">
      <c r="A379" t="s">
        <v>190</v>
      </c>
      <c r="B379" t="s">
        <v>176</v>
      </c>
      <c r="C379">
        <v>39</v>
      </c>
      <c r="D379" t="s">
        <v>19</v>
      </c>
      <c r="E379" t="s">
        <v>192</v>
      </c>
    </row>
    <row r="380" spans="1:5" hidden="1" x14ac:dyDescent="0.25">
      <c r="A380" t="s">
        <v>193</v>
      </c>
      <c r="B380" t="s">
        <v>176</v>
      </c>
      <c r="C380">
        <v>33</v>
      </c>
      <c r="D380" t="s">
        <v>7</v>
      </c>
      <c r="E380" t="s">
        <v>191</v>
      </c>
    </row>
    <row r="381" spans="1:5" hidden="1" x14ac:dyDescent="0.25">
      <c r="A381" t="s">
        <v>193</v>
      </c>
      <c r="B381" t="s">
        <v>176</v>
      </c>
      <c r="C381">
        <v>39</v>
      </c>
      <c r="D381" t="s">
        <v>19</v>
      </c>
      <c r="E381" t="s">
        <v>194</v>
      </c>
    </row>
    <row r="382" spans="1:5" hidden="1" x14ac:dyDescent="0.25">
      <c r="A382" t="s">
        <v>195</v>
      </c>
      <c r="B382" t="s">
        <v>176</v>
      </c>
      <c r="C382">
        <v>33</v>
      </c>
      <c r="D382" t="s">
        <v>7</v>
      </c>
      <c r="E382" t="s">
        <v>196</v>
      </c>
    </row>
    <row r="383" spans="1:5" hidden="1" x14ac:dyDescent="0.25">
      <c r="A383" t="s">
        <v>195</v>
      </c>
      <c r="B383" t="s">
        <v>176</v>
      </c>
      <c r="C383">
        <v>39</v>
      </c>
      <c r="D383" t="s">
        <v>19</v>
      </c>
      <c r="E383" t="s">
        <v>197</v>
      </c>
    </row>
    <row r="384" spans="1:5" hidden="1" x14ac:dyDescent="0.25">
      <c r="A384" t="s">
        <v>198</v>
      </c>
      <c r="B384" t="s">
        <v>176</v>
      </c>
      <c r="C384">
        <v>39</v>
      </c>
      <c r="D384" t="s">
        <v>19</v>
      </c>
      <c r="E384" t="s">
        <v>192</v>
      </c>
    </row>
    <row r="385" spans="1:5" hidden="1" x14ac:dyDescent="0.25">
      <c r="A385" t="s">
        <v>199</v>
      </c>
      <c r="B385" t="s">
        <v>176</v>
      </c>
      <c r="C385">
        <v>39</v>
      </c>
      <c r="D385" t="s">
        <v>19</v>
      </c>
      <c r="E385" t="s">
        <v>194</v>
      </c>
    </row>
    <row r="386" spans="1:5" hidden="1" x14ac:dyDescent="0.25">
      <c r="A386" t="s">
        <v>200</v>
      </c>
      <c r="B386" t="s">
        <v>176</v>
      </c>
      <c r="C386">
        <v>39</v>
      </c>
      <c r="D386" t="s">
        <v>19</v>
      </c>
      <c r="E386" t="s">
        <v>197</v>
      </c>
    </row>
    <row r="387" spans="1:5" hidden="1" x14ac:dyDescent="0.25">
      <c r="A387" t="s">
        <v>201</v>
      </c>
      <c r="B387" t="s">
        <v>176</v>
      </c>
      <c r="C387">
        <v>39</v>
      </c>
      <c r="D387" t="s">
        <v>19</v>
      </c>
      <c r="E387" t="s">
        <v>192</v>
      </c>
    </row>
    <row r="388" spans="1:5" hidden="1" x14ac:dyDescent="0.25">
      <c r="A388" t="s">
        <v>202</v>
      </c>
      <c r="B388" t="s">
        <v>176</v>
      </c>
      <c r="C388">
        <v>39</v>
      </c>
      <c r="D388" t="s">
        <v>19</v>
      </c>
      <c r="E388" t="s">
        <v>194</v>
      </c>
    </row>
    <row r="389" spans="1:5" hidden="1" x14ac:dyDescent="0.25">
      <c r="A389" t="s">
        <v>203</v>
      </c>
      <c r="B389" t="s">
        <v>176</v>
      </c>
      <c r="C389">
        <v>39</v>
      </c>
      <c r="D389" t="s">
        <v>19</v>
      </c>
      <c r="E389" t="s">
        <v>197</v>
      </c>
    </row>
    <row r="390" spans="1:5" hidden="1" x14ac:dyDescent="0.25">
      <c r="A390" t="s">
        <v>204</v>
      </c>
      <c r="B390" t="s">
        <v>176</v>
      </c>
      <c r="C390">
        <v>33</v>
      </c>
      <c r="D390" t="s">
        <v>7</v>
      </c>
      <c r="E390" t="s">
        <v>205</v>
      </c>
    </row>
    <row r="391" spans="1:5" hidden="1" x14ac:dyDescent="0.25">
      <c r="A391" t="s">
        <v>204</v>
      </c>
      <c r="B391" t="s">
        <v>176</v>
      </c>
      <c r="C391">
        <v>39</v>
      </c>
      <c r="D391" t="s">
        <v>19</v>
      </c>
      <c r="E391" t="s">
        <v>206</v>
      </c>
    </row>
    <row r="392" spans="1:5" hidden="1" x14ac:dyDescent="0.25">
      <c r="A392" t="s">
        <v>207</v>
      </c>
      <c r="B392" t="s">
        <v>176</v>
      </c>
      <c r="C392">
        <v>33</v>
      </c>
      <c r="D392" t="s">
        <v>7</v>
      </c>
      <c r="E392" t="s">
        <v>205</v>
      </c>
    </row>
    <row r="393" spans="1:5" hidden="1" x14ac:dyDescent="0.25">
      <c r="A393" t="s">
        <v>207</v>
      </c>
      <c r="B393" t="s">
        <v>176</v>
      </c>
      <c r="C393">
        <v>39</v>
      </c>
      <c r="D393" t="s">
        <v>19</v>
      </c>
      <c r="E393" t="s">
        <v>206</v>
      </c>
    </row>
    <row r="394" spans="1:5" hidden="1" x14ac:dyDescent="0.25">
      <c r="A394" t="s">
        <v>208</v>
      </c>
      <c r="B394" t="s">
        <v>176</v>
      </c>
      <c r="C394">
        <v>33</v>
      </c>
      <c r="D394" t="s">
        <v>7</v>
      </c>
      <c r="E394" t="s">
        <v>209</v>
      </c>
    </row>
    <row r="395" spans="1:5" hidden="1" x14ac:dyDescent="0.25">
      <c r="A395" t="s">
        <v>208</v>
      </c>
      <c r="B395" t="s">
        <v>176</v>
      </c>
      <c r="C395">
        <v>39</v>
      </c>
      <c r="D395" t="s">
        <v>19</v>
      </c>
      <c r="E395" t="s">
        <v>210</v>
      </c>
    </row>
    <row r="396" spans="1:5" hidden="1" x14ac:dyDescent="0.25">
      <c r="A396" t="s">
        <v>211</v>
      </c>
      <c r="B396" t="s">
        <v>176</v>
      </c>
      <c r="C396">
        <v>39</v>
      </c>
      <c r="D396" t="s">
        <v>19</v>
      </c>
      <c r="E396" t="s">
        <v>183</v>
      </c>
    </row>
    <row r="397" spans="1:5" hidden="1" x14ac:dyDescent="0.25">
      <c r="A397" t="s">
        <v>212</v>
      </c>
      <c r="B397" t="s">
        <v>176</v>
      </c>
      <c r="C397">
        <v>39</v>
      </c>
      <c r="D397" t="s">
        <v>19</v>
      </c>
      <c r="E397" t="s">
        <v>186</v>
      </c>
    </row>
    <row r="398" spans="1:5" hidden="1" x14ac:dyDescent="0.25">
      <c r="A398" t="s">
        <v>213</v>
      </c>
      <c r="B398" t="s">
        <v>176</v>
      </c>
      <c r="C398">
        <v>39</v>
      </c>
      <c r="D398" t="s">
        <v>19</v>
      </c>
      <c r="E398" t="s">
        <v>183</v>
      </c>
    </row>
    <row r="399" spans="1:5" hidden="1" x14ac:dyDescent="0.25">
      <c r="A399" t="s">
        <v>214</v>
      </c>
      <c r="B399" t="s">
        <v>176</v>
      </c>
      <c r="C399">
        <v>39</v>
      </c>
      <c r="D399" t="s">
        <v>19</v>
      </c>
      <c r="E399" t="s">
        <v>186</v>
      </c>
    </row>
    <row r="400" spans="1:5" hidden="1" x14ac:dyDescent="0.25">
      <c r="A400" t="s">
        <v>215</v>
      </c>
      <c r="B400" t="s">
        <v>176</v>
      </c>
      <c r="C400">
        <v>39</v>
      </c>
      <c r="D400" t="s">
        <v>19</v>
      </c>
      <c r="E400" t="s">
        <v>192</v>
      </c>
    </row>
    <row r="401" spans="1:5" hidden="1" x14ac:dyDescent="0.25">
      <c r="A401" t="s">
        <v>216</v>
      </c>
      <c r="B401" t="s">
        <v>176</v>
      </c>
      <c r="C401">
        <v>39</v>
      </c>
      <c r="D401" t="s">
        <v>19</v>
      </c>
      <c r="E401" t="s">
        <v>194</v>
      </c>
    </row>
    <row r="402" spans="1:5" hidden="1" x14ac:dyDescent="0.25">
      <c r="A402" t="s">
        <v>217</v>
      </c>
      <c r="B402" t="s">
        <v>176</v>
      </c>
      <c r="C402">
        <v>39</v>
      </c>
      <c r="D402" t="s">
        <v>19</v>
      </c>
      <c r="E402" t="s">
        <v>197</v>
      </c>
    </row>
    <row r="403" spans="1:5" x14ac:dyDescent="0.25">
      <c r="A403" t="s">
        <v>218</v>
      </c>
      <c r="B403" t="s">
        <v>6</v>
      </c>
      <c r="C403">
        <v>33</v>
      </c>
      <c r="D403" t="s">
        <v>7</v>
      </c>
      <c r="E403" t="s">
        <v>25</v>
      </c>
    </row>
    <row r="404" spans="1:5" x14ac:dyDescent="0.25">
      <c r="A404" t="s">
        <v>218</v>
      </c>
      <c r="B404" t="s">
        <v>6</v>
      </c>
      <c r="C404">
        <v>34</v>
      </c>
      <c r="D404" t="s">
        <v>9</v>
      </c>
      <c r="E404" t="s">
        <v>33</v>
      </c>
    </row>
    <row r="405" spans="1:5" x14ac:dyDescent="0.25">
      <c r="A405" t="s">
        <v>218</v>
      </c>
      <c r="B405" t="s">
        <v>6</v>
      </c>
      <c r="C405">
        <v>35</v>
      </c>
      <c r="D405" t="s">
        <v>11</v>
      </c>
      <c r="E405" t="s">
        <v>219</v>
      </c>
    </row>
    <row r="406" spans="1:5" x14ac:dyDescent="0.25">
      <c r="A406" t="s">
        <v>218</v>
      </c>
      <c r="B406" t="s">
        <v>6</v>
      </c>
      <c r="C406">
        <v>36</v>
      </c>
      <c r="D406" t="s">
        <v>13</v>
      </c>
      <c r="E406" t="s">
        <v>27</v>
      </c>
    </row>
    <row r="407" spans="1:5" x14ac:dyDescent="0.25">
      <c r="A407" t="s">
        <v>218</v>
      </c>
      <c r="B407" t="s">
        <v>6</v>
      </c>
      <c r="C407">
        <v>37</v>
      </c>
      <c r="D407" t="s">
        <v>15</v>
      </c>
      <c r="E407" t="s">
        <v>16</v>
      </c>
    </row>
    <row r="408" spans="1:5" x14ac:dyDescent="0.25">
      <c r="A408" t="s">
        <v>218</v>
      </c>
      <c r="B408" t="s">
        <v>6</v>
      </c>
      <c r="C408">
        <v>38</v>
      </c>
      <c r="D408" t="s">
        <v>17</v>
      </c>
      <c r="E408" t="s">
        <v>18</v>
      </c>
    </row>
    <row r="409" spans="1:5" x14ac:dyDescent="0.25">
      <c r="A409" t="s">
        <v>218</v>
      </c>
      <c r="B409" t="s">
        <v>6</v>
      </c>
      <c r="C409">
        <v>39</v>
      </c>
      <c r="D409" t="s">
        <v>19</v>
      </c>
      <c r="E409" t="s">
        <v>34</v>
      </c>
    </row>
    <row r="410" spans="1:5" hidden="1" x14ac:dyDescent="0.25">
      <c r="A410" t="s">
        <v>220</v>
      </c>
      <c r="B410" t="s">
        <v>72</v>
      </c>
      <c r="C410">
        <v>33</v>
      </c>
      <c r="D410" t="s">
        <v>7</v>
      </c>
      <c r="E410" t="s">
        <v>86</v>
      </c>
    </row>
    <row r="411" spans="1:5" hidden="1" x14ac:dyDescent="0.25">
      <c r="A411" t="s">
        <v>220</v>
      </c>
      <c r="B411" t="s">
        <v>72</v>
      </c>
      <c r="C411">
        <v>34</v>
      </c>
      <c r="D411" t="s">
        <v>9</v>
      </c>
      <c r="E411" t="s">
        <v>93</v>
      </c>
    </row>
    <row r="412" spans="1:5" hidden="1" x14ac:dyDescent="0.25">
      <c r="A412" t="s">
        <v>220</v>
      </c>
      <c r="B412" t="s">
        <v>72</v>
      </c>
      <c r="C412">
        <v>35</v>
      </c>
      <c r="D412" t="s">
        <v>11</v>
      </c>
      <c r="E412" t="s">
        <v>221</v>
      </c>
    </row>
    <row r="413" spans="1:5" hidden="1" x14ac:dyDescent="0.25">
      <c r="A413" t="s">
        <v>220</v>
      </c>
      <c r="B413" t="s">
        <v>72</v>
      </c>
      <c r="C413">
        <v>36</v>
      </c>
      <c r="D413" t="s">
        <v>13</v>
      </c>
      <c r="E413" t="s">
        <v>87</v>
      </c>
    </row>
    <row r="414" spans="1:5" hidden="1" x14ac:dyDescent="0.25">
      <c r="A414" t="s">
        <v>220</v>
      </c>
      <c r="B414" t="s">
        <v>72</v>
      </c>
      <c r="C414">
        <v>37</v>
      </c>
      <c r="D414" t="s">
        <v>15</v>
      </c>
      <c r="E414" t="s">
        <v>77</v>
      </c>
    </row>
    <row r="415" spans="1:5" hidden="1" x14ac:dyDescent="0.25">
      <c r="A415" t="s">
        <v>220</v>
      </c>
      <c r="B415" t="s">
        <v>72</v>
      </c>
      <c r="C415">
        <v>38</v>
      </c>
      <c r="D415" t="s">
        <v>17</v>
      </c>
      <c r="E415" t="s">
        <v>78</v>
      </c>
    </row>
    <row r="416" spans="1:5" hidden="1" x14ac:dyDescent="0.25">
      <c r="A416" t="s">
        <v>220</v>
      </c>
      <c r="B416" t="s">
        <v>72</v>
      </c>
      <c r="C416">
        <v>39</v>
      </c>
      <c r="D416" t="s">
        <v>19</v>
      </c>
      <c r="E416" t="s">
        <v>94</v>
      </c>
    </row>
    <row r="417" spans="1:5" x14ac:dyDescent="0.25">
      <c r="A417" t="s">
        <v>222</v>
      </c>
      <c r="B417" t="s">
        <v>6</v>
      </c>
      <c r="C417">
        <v>34</v>
      </c>
      <c r="D417" t="s">
        <v>9</v>
      </c>
      <c r="E417" t="s">
        <v>46</v>
      </c>
    </row>
    <row r="418" spans="1:5" x14ac:dyDescent="0.25">
      <c r="A418" t="s">
        <v>222</v>
      </c>
      <c r="B418" t="s">
        <v>6</v>
      </c>
      <c r="C418">
        <v>37</v>
      </c>
      <c r="D418" t="s">
        <v>15</v>
      </c>
      <c r="E418" t="s">
        <v>47</v>
      </c>
    </row>
    <row r="419" spans="1:5" x14ac:dyDescent="0.25">
      <c r="A419" t="s">
        <v>222</v>
      </c>
      <c r="B419" t="s">
        <v>6</v>
      </c>
      <c r="C419">
        <v>38</v>
      </c>
      <c r="D419" t="s">
        <v>17</v>
      </c>
      <c r="E419" t="s">
        <v>18</v>
      </c>
    </row>
    <row r="420" spans="1:5" x14ac:dyDescent="0.25">
      <c r="A420" t="s">
        <v>222</v>
      </c>
      <c r="B420" t="s">
        <v>6</v>
      </c>
      <c r="C420">
        <v>39</v>
      </c>
      <c r="D420" t="s">
        <v>19</v>
      </c>
      <c r="E420" t="s">
        <v>223</v>
      </c>
    </row>
    <row r="421" spans="1:5" x14ac:dyDescent="0.25">
      <c r="A421" t="s">
        <v>224</v>
      </c>
      <c r="B421" t="s">
        <v>6</v>
      </c>
      <c r="C421">
        <v>34</v>
      </c>
      <c r="D421" t="s">
        <v>9</v>
      </c>
      <c r="E421" t="s">
        <v>46</v>
      </c>
    </row>
    <row r="422" spans="1:5" x14ac:dyDescent="0.25">
      <c r="A422" t="s">
        <v>224</v>
      </c>
      <c r="B422" t="s">
        <v>6</v>
      </c>
      <c r="C422">
        <v>37</v>
      </c>
      <c r="D422" t="s">
        <v>15</v>
      </c>
      <c r="E422" t="s">
        <v>47</v>
      </c>
    </row>
    <row r="423" spans="1:5" x14ac:dyDescent="0.25">
      <c r="A423" t="s">
        <v>224</v>
      </c>
      <c r="B423" t="s">
        <v>6</v>
      </c>
      <c r="C423">
        <v>38</v>
      </c>
      <c r="D423" t="s">
        <v>17</v>
      </c>
      <c r="E423" t="s">
        <v>18</v>
      </c>
    </row>
    <row r="424" spans="1:5" x14ac:dyDescent="0.25">
      <c r="A424" t="s">
        <v>224</v>
      </c>
      <c r="B424" t="s">
        <v>6</v>
      </c>
      <c r="C424">
        <v>39</v>
      </c>
      <c r="D424" t="s">
        <v>19</v>
      </c>
      <c r="E424" t="s">
        <v>225</v>
      </c>
    </row>
    <row r="425" spans="1:5" x14ac:dyDescent="0.25">
      <c r="A425" t="s">
        <v>226</v>
      </c>
      <c r="B425" t="s">
        <v>6</v>
      </c>
      <c r="C425">
        <v>34</v>
      </c>
      <c r="D425" t="s">
        <v>9</v>
      </c>
      <c r="E425" t="s">
        <v>46</v>
      </c>
    </row>
    <row r="426" spans="1:5" x14ac:dyDescent="0.25">
      <c r="A426" t="s">
        <v>226</v>
      </c>
      <c r="B426" t="s">
        <v>6</v>
      </c>
      <c r="C426">
        <v>37</v>
      </c>
      <c r="D426" t="s">
        <v>15</v>
      </c>
      <c r="E426" t="s">
        <v>47</v>
      </c>
    </row>
    <row r="427" spans="1:5" x14ac:dyDescent="0.25">
      <c r="A427" t="s">
        <v>226</v>
      </c>
      <c r="B427" t="s">
        <v>6</v>
      </c>
      <c r="C427">
        <v>38</v>
      </c>
      <c r="D427" t="s">
        <v>17</v>
      </c>
      <c r="E427" t="s">
        <v>18</v>
      </c>
    </row>
    <row r="428" spans="1:5" x14ac:dyDescent="0.25">
      <c r="A428" t="s">
        <v>226</v>
      </c>
      <c r="B428" t="s">
        <v>6</v>
      </c>
      <c r="C428">
        <v>39</v>
      </c>
      <c r="D428" t="s">
        <v>19</v>
      </c>
      <c r="E428" t="s">
        <v>227</v>
      </c>
    </row>
    <row r="429" spans="1:5" hidden="1" x14ac:dyDescent="0.25">
      <c r="A429" t="s">
        <v>228</v>
      </c>
      <c r="B429" t="s">
        <v>72</v>
      </c>
      <c r="C429">
        <v>34</v>
      </c>
      <c r="D429" t="s">
        <v>9</v>
      </c>
      <c r="E429" t="s">
        <v>111</v>
      </c>
    </row>
    <row r="430" spans="1:5" hidden="1" x14ac:dyDescent="0.25">
      <c r="A430" t="s">
        <v>228</v>
      </c>
      <c r="B430" t="s">
        <v>72</v>
      </c>
      <c r="C430">
        <v>37</v>
      </c>
      <c r="D430" t="s">
        <v>15</v>
      </c>
      <c r="E430" t="s">
        <v>107</v>
      </c>
    </row>
    <row r="431" spans="1:5" hidden="1" x14ac:dyDescent="0.25">
      <c r="A431" t="s">
        <v>228</v>
      </c>
      <c r="B431" t="s">
        <v>72</v>
      </c>
      <c r="C431">
        <v>38</v>
      </c>
      <c r="D431" t="s">
        <v>17</v>
      </c>
      <c r="E431" t="s">
        <v>108</v>
      </c>
    </row>
    <row r="432" spans="1:5" hidden="1" x14ac:dyDescent="0.25">
      <c r="A432" t="s">
        <v>228</v>
      </c>
      <c r="B432" t="s">
        <v>72</v>
      </c>
      <c r="C432">
        <v>39</v>
      </c>
      <c r="D432" t="s">
        <v>19</v>
      </c>
      <c r="E432" t="s">
        <v>229</v>
      </c>
    </row>
    <row r="433" spans="1:5" hidden="1" x14ac:dyDescent="0.25">
      <c r="A433" t="s">
        <v>230</v>
      </c>
      <c r="B433" t="s">
        <v>72</v>
      </c>
      <c r="C433">
        <v>34</v>
      </c>
      <c r="D433" t="s">
        <v>9</v>
      </c>
      <c r="E433" t="s">
        <v>111</v>
      </c>
    </row>
    <row r="434" spans="1:5" hidden="1" x14ac:dyDescent="0.25">
      <c r="A434" t="s">
        <v>230</v>
      </c>
      <c r="B434" t="s">
        <v>72</v>
      </c>
      <c r="C434">
        <v>37</v>
      </c>
      <c r="D434" t="s">
        <v>15</v>
      </c>
      <c r="E434" t="s">
        <v>107</v>
      </c>
    </row>
    <row r="435" spans="1:5" hidden="1" x14ac:dyDescent="0.25">
      <c r="A435" t="s">
        <v>230</v>
      </c>
      <c r="B435" t="s">
        <v>72</v>
      </c>
      <c r="C435">
        <v>38</v>
      </c>
      <c r="D435" t="s">
        <v>17</v>
      </c>
      <c r="E435" t="s">
        <v>108</v>
      </c>
    </row>
    <row r="436" spans="1:5" hidden="1" x14ac:dyDescent="0.25">
      <c r="A436" t="s">
        <v>230</v>
      </c>
      <c r="B436" t="s">
        <v>72</v>
      </c>
      <c r="C436">
        <v>39</v>
      </c>
      <c r="D436" t="s">
        <v>19</v>
      </c>
      <c r="E436" t="s">
        <v>231</v>
      </c>
    </row>
    <row r="437" spans="1:5" hidden="1" x14ac:dyDescent="0.25">
      <c r="A437" t="s">
        <v>232</v>
      </c>
      <c r="B437" t="s">
        <v>72</v>
      </c>
      <c r="C437">
        <v>34</v>
      </c>
      <c r="D437" t="s">
        <v>9</v>
      </c>
      <c r="E437" t="s">
        <v>111</v>
      </c>
    </row>
    <row r="438" spans="1:5" hidden="1" x14ac:dyDescent="0.25">
      <c r="A438" t="s">
        <v>232</v>
      </c>
      <c r="B438" t="s">
        <v>72</v>
      </c>
      <c r="C438">
        <v>37</v>
      </c>
      <c r="D438" t="s">
        <v>15</v>
      </c>
      <c r="E438" t="s">
        <v>107</v>
      </c>
    </row>
    <row r="439" spans="1:5" hidden="1" x14ac:dyDescent="0.25">
      <c r="A439" t="s">
        <v>232</v>
      </c>
      <c r="B439" t="s">
        <v>72</v>
      </c>
      <c r="C439">
        <v>38</v>
      </c>
      <c r="D439" t="s">
        <v>17</v>
      </c>
      <c r="E439" t="s">
        <v>108</v>
      </c>
    </row>
    <row r="440" spans="1:5" hidden="1" x14ac:dyDescent="0.25">
      <c r="A440" t="s">
        <v>232</v>
      </c>
      <c r="B440" t="s">
        <v>72</v>
      </c>
      <c r="C440">
        <v>39</v>
      </c>
      <c r="D440" t="s">
        <v>19</v>
      </c>
      <c r="E440" t="s">
        <v>233</v>
      </c>
    </row>
    <row r="441" spans="1:5" x14ac:dyDescent="0.25">
      <c r="A441" t="s">
        <v>234</v>
      </c>
      <c r="B441" t="s">
        <v>134</v>
      </c>
      <c r="C441">
        <v>39</v>
      </c>
      <c r="D441" t="s">
        <v>19</v>
      </c>
      <c r="E441" t="s">
        <v>235</v>
      </c>
    </row>
    <row r="442" spans="1:5" x14ac:dyDescent="0.25">
      <c r="A442" t="s">
        <v>236</v>
      </c>
      <c r="B442" t="s">
        <v>134</v>
      </c>
      <c r="C442">
        <v>39</v>
      </c>
      <c r="D442" t="s">
        <v>19</v>
      </c>
      <c r="E442" t="s">
        <v>237</v>
      </c>
    </row>
    <row r="443" spans="1:5" x14ac:dyDescent="0.25">
      <c r="A443" t="s">
        <v>238</v>
      </c>
      <c r="B443" t="s">
        <v>134</v>
      </c>
      <c r="C443">
        <v>39</v>
      </c>
      <c r="D443" t="s">
        <v>19</v>
      </c>
      <c r="E443" t="s">
        <v>239</v>
      </c>
    </row>
    <row r="444" spans="1:5" hidden="1" x14ac:dyDescent="0.25">
      <c r="A444" t="s">
        <v>240</v>
      </c>
      <c r="B444" t="s">
        <v>176</v>
      </c>
      <c r="C444">
        <v>39</v>
      </c>
      <c r="D444" t="s">
        <v>19</v>
      </c>
      <c r="E444" t="s">
        <v>241</v>
      </c>
    </row>
    <row r="445" spans="1:5" hidden="1" x14ac:dyDescent="0.25">
      <c r="A445" t="s">
        <v>242</v>
      </c>
      <c r="B445" t="s">
        <v>176</v>
      </c>
      <c r="C445">
        <v>39</v>
      </c>
      <c r="D445" t="s">
        <v>19</v>
      </c>
      <c r="E445" t="s">
        <v>243</v>
      </c>
    </row>
    <row r="446" spans="1:5" hidden="1" x14ac:dyDescent="0.25">
      <c r="A446" t="s">
        <v>244</v>
      </c>
      <c r="B446" t="s">
        <v>176</v>
      </c>
      <c r="C446">
        <v>39</v>
      </c>
      <c r="D446" t="s">
        <v>19</v>
      </c>
      <c r="E446" t="s">
        <v>245</v>
      </c>
    </row>
  </sheetData>
  <autoFilter ref="A1:E446" xr:uid="{4BAFCA71-E679-40A7-8A5B-475D9AA81C2B}">
    <filterColumn colId="1">
      <filters>
        <filter val="P703 DOOR FRT DBL RH"/>
        <filter val="P703 DOOR REAR DBL R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6014-B84A-4919-AFB4-AE476E7FBD6F}">
  <dimension ref="A1:D112"/>
  <sheetViews>
    <sheetView workbookViewId="0">
      <selection activeCell="C122" sqref="C122"/>
    </sheetView>
  </sheetViews>
  <sheetFormatPr defaultRowHeight="15" x14ac:dyDescent="0.25"/>
  <cols>
    <col min="1" max="1" width="10.28515625" bestFit="1" customWidth="1"/>
    <col min="2" max="2" width="15.7109375" bestFit="1" customWidth="1"/>
    <col min="3" max="3" width="21.85546875" bestFit="1" customWidth="1"/>
    <col min="4" max="4" width="33.28515625" bestFit="1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8672</v>
      </c>
    </row>
    <row r="2" spans="1:4" x14ac:dyDescent="0.25">
      <c r="A2">
        <v>33</v>
      </c>
      <c r="B2" t="s">
        <v>7</v>
      </c>
      <c r="C2" t="s">
        <v>58</v>
      </c>
      <c r="D2" t="e">
        <v>#N/A</v>
      </c>
    </row>
    <row r="3" spans="1:4" x14ac:dyDescent="0.25">
      <c r="A3">
        <v>33</v>
      </c>
      <c r="B3" t="s">
        <v>7</v>
      </c>
      <c r="C3" t="s">
        <v>22</v>
      </c>
      <c r="D3" t="e">
        <v>#N/A</v>
      </c>
    </row>
    <row r="4" spans="1:4" x14ac:dyDescent="0.25">
      <c r="A4">
        <v>33</v>
      </c>
      <c r="B4" t="s">
        <v>7</v>
      </c>
      <c r="C4" t="s">
        <v>73</v>
      </c>
      <c r="D4" t="e">
        <v>#N/A</v>
      </c>
    </row>
    <row r="5" spans="1:4" x14ac:dyDescent="0.25">
      <c r="A5">
        <v>33</v>
      </c>
      <c r="B5" t="s">
        <v>7</v>
      </c>
      <c r="C5" t="s">
        <v>119</v>
      </c>
      <c r="D5" t="e">
        <v>#N/A</v>
      </c>
    </row>
    <row r="6" spans="1:4" x14ac:dyDescent="0.25">
      <c r="A6">
        <v>33</v>
      </c>
      <c r="B6" t="s">
        <v>7</v>
      </c>
      <c r="C6" t="s">
        <v>81</v>
      </c>
      <c r="D6" t="e">
        <v>#N/A</v>
      </c>
    </row>
    <row r="7" spans="1:4" x14ac:dyDescent="0.25">
      <c r="A7">
        <v>33</v>
      </c>
      <c r="B7" t="s">
        <v>7</v>
      </c>
      <c r="C7" t="s">
        <v>8</v>
      </c>
      <c r="D7" t="e">
        <v>#N/A</v>
      </c>
    </row>
    <row r="8" spans="1:4" x14ac:dyDescent="0.25">
      <c r="A8">
        <v>33</v>
      </c>
      <c r="B8" t="s">
        <v>7</v>
      </c>
      <c r="C8" t="s">
        <v>140</v>
      </c>
      <c r="D8" t="e">
        <v>#N/A</v>
      </c>
    </row>
    <row r="9" spans="1:4" x14ac:dyDescent="0.25">
      <c r="A9">
        <v>33</v>
      </c>
      <c r="B9" t="s">
        <v>7</v>
      </c>
      <c r="C9" t="s">
        <v>143</v>
      </c>
      <c r="D9" t="e">
        <v>#N/A</v>
      </c>
    </row>
    <row r="10" spans="1:4" x14ac:dyDescent="0.25">
      <c r="A10">
        <v>33</v>
      </c>
      <c r="B10" t="s">
        <v>7</v>
      </c>
      <c r="C10" t="s">
        <v>162</v>
      </c>
      <c r="D10" t="e">
        <v>#N/A</v>
      </c>
    </row>
    <row r="11" spans="1:4" x14ac:dyDescent="0.25">
      <c r="A11">
        <v>33</v>
      </c>
      <c r="B11" t="s">
        <v>7</v>
      </c>
      <c r="C11" t="s">
        <v>182</v>
      </c>
      <c r="D11" t="e">
        <v>#N/A</v>
      </c>
    </row>
    <row r="12" spans="1:4" x14ac:dyDescent="0.25">
      <c r="A12">
        <v>33</v>
      </c>
      <c r="B12" t="s">
        <v>7</v>
      </c>
      <c r="C12" t="s">
        <v>189</v>
      </c>
      <c r="D12" t="e">
        <v>#N/A</v>
      </c>
    </row>
    <row r="13" spans="1:4" x14ac:dyDescent="0.25">
      <c r="A13">
        <v>33</v>
      </c>
      <c r="B13" t="s">
        <v>7</v>
      </c>
      <c r="C13" t="s">
        <v>205</v>
      </c>
      <c r="D13" t="e">
        <v>#N/A</v>
      </c>
    </row>
    <row r="14" spans="1:4" x14ac:dyDescent="0.25">
      <c r="A14">
        <v>33</v>
      </c>
      <c r="B14" t="s">
        <v>7</v>
      </c>
      <c r="C14" t="s">
        <v>185</v>
      </c>
      <c r="D14" t="e">
        <v>#N/A</v>
      </c>
    </row>
    <row r="15" spans="1:4" x14ac:dyDescent="0.25">
      <c r="A15">
        <v>33</v>
      </c>
      <c r="B15" t="s">
        <v>7</v>
      </c>
      <c r="C15" t="s">
        <v>25</v>
      </c>
      <c r="D15" t="s">
        <v>4117</v>
      </c>
    </row>
    <row r="16" spans="1:4" x14ac:dyDescent="0.25">
      <c r="A16">
        <v>33</v>
      </c>
      <c r="B16" t="s">
        <v>7</v>
      </c>
      <c r="C16" t="s">
        <v>30</v>
      </c>
      <c r="D16" t="s">
        <v>7987</v>
      </c>
    </row>
    <row r="17" spans="1:4" x14ac:dyDescent="0.25">
      <c r="A17">
        <v>33</v>
      </c>
      <c r="B17" t="s">
        <v>7</v>
      </c>
      <c r="C17" t="s">
        <v>65</v>
      </c>
      <c r="D17" t="s">
        <v>3458</v>
      </c>
    </row>
    <row r="18" spans="1:4" x14ac:dyDescent="0.25">
      <c r="A18">
        <v>33</v>
      </c>
      <c r="B18" t="s">
        <v>7</v>
      </c>
      <c r="C18" t="s">
        <v>86</v>
      </c>
      <c r="D18" t="s">
        <v>3701</v>
      </c>
    </row>
    <row r="19" spans="1:4" x14ac:dyDescent="0.25">
      <c r="A19">
        <v>33</v>
      </c>
      <c r="B19" t="s">
        <v>7</v>
      </c>
      <c r="C19" t="s">
        <v>90</v>
      </c>
      <c r="D19" t="s">
        <v>7999</v>
      </c>
    </row>
    <row r="20" spans="1:4" x14ac:dyDescent="0.25">
      <c r="A20">
        <v>33</v>
      </c>
      <c r="B20" t="s">
        <v>7</v>
      </c>
      <c r="C20" t="s">
        <v>128</v>
      </c>
      <c r="D20" t="s">
        <v>3537</v>
      </c>
    </row>
    <row r="21" spans="1:4" x14ac:dyDescent="0.25">
      <c r="A21">
        <v>33</v>
      </c>
      <c r="B21" t="s">
        <v>7</v>
      </c>
      <c r="C21" t="s">
        <v>148</v>
      </c>
      <c r="D21" t="s">
        <v>8010</v>
      </c>
    </row>
    <row r="22" spans="1:4" x14ac:dyDescent="0.25">
      <c r="A22">
        <v>33</v>
      </c>
      <c r="B22" t="s">
        <v>7</v>
      </c>
      <c r="C22" t="s">
        <v>153</v>
      </c>
      <c r="D22" t="s">
        <v>8012</v>
      </c>
    </row>
    <row r="23" spans="1:4" x14ac:dyDescent="0.25">
      <c r="A23">
        <v>33</v>
      </c>
      <c r="B23" t="s">
        <v>7</v>
      </c>
      <c r="C23" t="s">
        <v>166</v>
      </c>
      <c r="D23" t="s">
        <v>3615</v>
      </c>
    </row>
    <row r="24" spans="1:4" x14ac:dyDescent="0.25">
      <c r="A24">
        <v>33</v>
      </c>
      <c r="B24" t="s">
        <v>7</v>
      </c>
      <c r="C24" t="s">
        <v>191</v>
      </c>
      <c r="D24" t="s">
        <v>8020</v>
      </c>
    </row>
    <row r="25" spans="1:4" x14ac:dyDescent="0.25">
      <c r="A25">
        <v>33</v>
      </c>
      <c r="B25" t="s">
        <v>7</v>
      </c>
      <c r="C25" t="s">
        <v>196</v>
      </c>
      <c r="D25" t="s">
        <v>8022</v>
      </c>
    </row>
    <row r="26" spans="1:4" x14ac:dyDescent="0.25">
      <c r="A26">
        <v>33</v>
      </c>
      <c r="B26" t="s">
        <v>7</v>
      </c>
      <c r="C26" t="s">
        <v>209</v>
      </c>
      <c r="D26" t="s">
        <v>3703</v>
      </c>
    </row>
    <row r="27" spans="1:4" x14ac:dyDescent="0.25">
      <c r="A27">
        <v>34</v>
      </c>
      <c r="B27" t="s">
        <v>9</v>
      </c>
      <c r="C27" t="s">
        <v>10</v>
      </c>
      <c r="D27" t="e">
        <v>#N/A</v>
      </c>
    </row>
    <row r="28" spans="1:4" x14ac:dyDescent="0.25">
      <c r="A28">
        <v>34</v>
      </c>
      <c r="B28" t="s">
        <v>9</v>
      </c>
      <c r="C28" t="s">
        <v>33</v>
      </c>
      <c r="D28" t="s">
        <v>2039</v>
      </c>
    </row>
    <row r="29" spans="1:4" x14ac:dyDescent="0.25">
      <c r="A29">
        <v>34</v>
      </c>
      <c r="B29" t="s">
        <v>9</v>
      </c>
      <c r="C29" t="s">
        <v>46</v>
      </c>
      <c r="D29" t="s">
        <v>5546</v>
      </c>
    </row>
    <row r="30" spans="1:4" x14ac:dyDescent="0.25">
      <c r="A30">
        <v>34</v>
      </c>
      <c r="B30" t="s">
        <v>9</v>
      </c>
      <c r="C30" t="s">
        <v>26</v>
      </c>
      <c r="D30" t="s">
        <v>2042</v>
      </c>
    </row>
    <row r="31" spans="1:4" x14ac:dyDescent="0.25">
      <c r="A31">
        <v>34</v>
      </c>
      <c r="B31" t="s">
        <v>9</v>
      </c>
      <c r="C31" t="s">
        <v>59</v>
      </c>
      <c r="D31" t="s">
        <v>2050</v>
      </c>
    </row>
    <row r="32" spans="1:4" x14ac:dyDescent="0.25">
      <c r="A32">
        <v>34</v>
      </c>
      <c r="B32" t="s">
        <v>9</v>
      </c>
      <c r="C32" t="s">
        <v>52</v>
      </c>
      <c r="D32" t="e">
        <v>#N/A</v>
      </c>
    </row>
    <row r="33" spans="1:4" x14ac:dyDescent="0.25">
      <c r="A33">
        <v>34</v>
      </c>
      <c r="B33" t="s">
        <v>9</v>
      </c>
      <c r="C33" t="s">
        <v>93</v>
      </c>
      <c r="D33" t="s">
        <v>2045</v>
      </c>
    </row>
    <row r="34" spans="1:4" x14ac:dyDescent="0.25">
      <c r="A34">
        <v>34</v>
      </c>
      <c r="B34" t="s">
        <v>9</v>
      </c>
      <c r="C34" t="s">
        <v>111</v>
      </c>
      <c r="D34" t="s">
        <v>5546</v>
      </c>
    </row>
    <row r="35" spans="1:4" x14ac:dyDescent="0.25">
      <c r="A35">
        <v>34</v>
      </c>
      <c r="B35" t="s">
        <v>9</v>
      </c>
      <c r="C35" t="s">
        <v>74</v>
      </c>
      <c r="D35" t="s">
        <v>2042</v>
      </c>
    </row>
    <row r="36" spans="1:4" x14ac:dyDescent="0.25">
      <c r="A36">
        <v>34</v>
      </c>
      <c r="B36" t="s">
        <v>9</v>
      </c>
      <c r="C36" t="s">
        <v>120</v>
      </c>
      <c r="D36" t="s">
        <v>2050</v>
      </c>
    </row>
    <row r="37" spans="1:4" x14ac:dyDescent="0.25">
      <c r="A37">
        <v>34</v>
      </c>
      <c r="B37" t="s">
        <v>9</v>
      </c>
      <c r="C37" t="s">
        <v>106</v>
      </c>
      <c r="D37" t="e">
        <v>#N/A</v>
      </c>
    </row>
    <row r="38" spans="1:4" x14ac:dyDescent="0.25">
      <c r="A38">
        <v>35</v>
      </c>
      <c r="B38" t="s">
        <v>11</v>
      </c>
      <c r="C38" t="s">
        <v>60</v>
      </c>
      <c r="D38" t="s">
        <v>3863</v>
      </c>
    </row>
    <row r="39" spans="1:4" x14ac:dyDescent="0.25">
      <c r="A39">
        <v>35</v>
      </c>
      <c r="B39" t="s">
        <v>11</v>
      </c>
      <c r="C39" t="s">
        <v>38</v>
      </c>
      <c r="D39" t="s">
        <v>4534</v>
      </c>
    </row>
    <row r="40" spans="1:4" x14ac:dyDescent="0.25">
      <c r="A40">
        <v>35</v>
      </c>
      <c r="B40" t="s">
        <v>11</v>
      </c>
      <c r="C40" t="s">
        <v>12</v>
      </c>
      <c r="D40" t="s">
        <v>3863</v>
      </c>
    </row>
    <row r="41" spans="1:4" x14ac:dyDescent="0.25">
      <c r="A41">
        <v>35</v>
      </c>
      <c r="B41" t="s">
        <v>11</v>
      </c>
      <c r="C41" t="s">
        <v>121</v>
      </c>
      <c r="D41" t="s">
        <v>4326</v>
      </c>
    </row>
    <row r="42" spans="1:4" x14ac:dyDescent="0.25">
      <c r="A42">
        <v>35</v>
      </c>
      <c r="B42" t="s">
        <v>11</v>
      </c>
      <c r="C42" t="s">
        <v>98</v>
      </c>
      <c r="D42" t="s">
        <v>4114</v>
      </c>
    </row>
    <row r="43" spans="1:4" x14ac:dyDescent="0.25">
      <c r="A43">
        <v>35</v>
      </c>
      <c r="B43" t="s">
        <v>11</v>
      </c>
      <c r="C43" t="s">
        <v>75</v>
      </c>
      <c r="D43" t="s">
        <v>4326</v>
      </c>
    </row>
    <row r="44" spans="1:4" x14ac:dyDescent="0.25">
      <c r="A44">
        <v>35</v>
      </c>
      <c r="B44" t="s">
        <v>11</v>
      </c>
      <c r="C44" t="s">
        <v>219</v>
      </c>
      <c r="D44" t="e">
        <v>#N/A</v>
      </c>
    </row>
    <row r="45" spans="1:4" x14ac:dyDescent="0.25">
      <c r="A45">
        <v>35</v>
      </c>
      <c r="B45" t="s">
        <v>11</v>
      </c>
      <c r="C45" t="s">
        <v>221</v>
      </c>
      <c r="D45" t="e">
        <v>#N/A</v>
      </c>
    </row>
    <row r="46" spans="1:4" x14ac:dyDescent="0.25">
      <c r="A46">
        <v>36</v>
      </c>
      <c r="B46" t="s">
        <v>13</v>
      </c>
      <c r="C46" t="s">
        <v>27</v>
      </c>
      <c r="D46" t="e">
        <v>#N/A</v>
      </c>
    </row>
    <row r="47" spans="1:4" x14ac:dyDescent="0.25">
      <c r="A47">
        <v>36</v>
      </c>
      <c r="B47" t="s">
        <v>13</v>
      </c>
      <c r="C47" t="s">
        <v>66</v>
      </c>
      <c r="D47" t="e">
        <v>#N/A</v>
      </c>
    </row>
    <row r="48" spans="1:4" x14ac:dyDescent="0.25">
      <c r="A48">
        <v>36</v>
      </c>
      <c r="B48" t="s">
        <v>13</v>
      </c>
      <c r="C48" t="s">
        <v>87</v>
      </c>
      <c r="D48" t="e">
        <v>#N/A</v>
      </c>
    </row>
    <row r="49" spans="1:4" x14ac:dyDescent="0.25">
      <c r="A49">
        <v>36</v>
      </c>
      <c r="B49" t="s">
        <v>13</v>
      </c>
      <c r="C49" t="s">
        <v>129</v>
      </c>
      <c r="D49" t="e">
        <v>#N/A</v>
      </c>
    </row>
    <row r="50" spans="1:4" x14ac:dyDescent="0.25">
      <c r="A50">
        <v>36</v>
      </c>
      <c r="B50" t="s">
        <v>13</v>
      </c>
      <c r="C50" t="s">
        <v>14</v>
      </c>
      <c r="D50" t="e">
        <v>#N/A</v>
      </c>
    </row>
    <row r="51" spans="1:4" x14ac:dyDescent="0.25">
      <c r="A51">
        <v>36</v>
      </c>
      <c r="B51" t="s">
        <v>13</v>
      </c>
      <c r="C51" t="s">
        <v>61</v>
      </c>
      <c r="D51" t="e">
        <v>#N/A</v>
      </c>
    </row>
    <row r="52" spans="1:4" x14ac:dyDescent="0.25">
      <c r="A52">
        <v>36</v>
      </c>
      <c r="B52" t="s">
        <v>13</v>
      </c>
      <c r="C52" t="s">
        <v>76</v>
      </c>
      <c r="D52" t="e">
        <v>#N/A</v>
      </c>
    </row>
    <row r="53" spans="1:4" x14ac:dyDescent="0.25">
      <c r="A53">
        <v>36</v>
      </c>
      <c r="B53" t="s">
        <v>13</v>
      </c>
      <c r="C53" t="s">
        <v>122</v>
      </c>
      <c r="D53" t="e">
        <v>#N/A</v>
      </c>
    </row>
    <row r="54" spans="1:4" x14ac:dyDescent="0.25">
      <c r="A54">
        <v>37</v>
      </c>
      <c r="B54" t="s">
        <v>15</v>
      </c>
      <c r="C54" t="s">
        <v>42</v>
      </c>
      <c r="D54" t="s">
        <v>2926</v>
      </c>
    </row>
    <row r="55" spans="1:4" x14ac:dyDescent="0.25">
      <c r="A55">
        <v>37</v>
      </c>
      <c r="B55" t="s">
        <v>15</v>
      </c>
      <c r="C55" t="s">
        <v>102</v>
      </c>
      <c r="D55" t="s">
        <v>736</v>
      </c>
    </row>
    <row r="56" spans="1:4" x14ac:dyDescent="0.25">
      <c r="A56">
        <v>37</v>
      </c>
      <c r="B56" t="s">
        <v>15</v>
      </c>
      <c r="C56" t="s">
        <v>62</v>
      </c>
      <c r="D56" t="s">
        <v>4630</v>
      </c>
    </row>
    <row r="57" spans="1:4" x14ac:dyDescent="0.25">
      <c r="A57">
        <v>37</v>
      </c>
      <c r="B57" t="s">
        <v>15</v>
      </c>
      <c r="C57" t="s">
        <v>16</v>
      </c>
      <c r="D57" t="s">
        <v>4792</v>
      </c>
    </row>
    <row r="58" spans="1:4" x14ac:dyDescent="0.25">
      <c r="A58">
        <v>37</v>
      </c>
      <c r="B58" t="s">
        <v>15</v>
      </c>
      <c r="C58" t="s">
        <v>47</v>
      </c>
      <c r="D58" t="e">
        <v>#N/A</v>
      </c>
    </row>
    <row r="59" spans="1:4" x14ac:dyDescent="0.25">
      <c r="A59">
        <v>37</v>
      </c>
      <c r="B59" t="s">
        <v>15</v>
      </c>
      <c r="C59" t="s">
        <v>123</v>
      </c>
      <c r="D59" t="e">
        <v>#N/A</v>
      </c>
    </row>
    <row r="60" spans="1:4" x14ac:dyDescent="0.25">
      <c r="A60">
        <v>37</v>
      </c>
      <c r="B60" t="s">
        <v>15</v>
      </c>
      <c r="C60" t="s">
        <v>77</v>
      </c>
      <c r="D60" t="e">
        <v>#N/A</v>
      </c>
    </row>
    <row r="61" spans="1:4" x14ac:dyDescent="0.25">
      <c r="A61">
        <v>37</v>
      </c>
      <c r="B61" t="s">
        <v>15</v>
      </c>
      <c r="C61" t="s">
        <v>107</v>
      </c>
      <c r="D61" t="e">
        <v>#N/A</v>
      </c>
    </row>
    <row r="62" spans="1:4" x14ac:dyDescent="0.25">
      <c r="A62">
        <v>38</v>
      </c>
      <c r="B62" t="s">
        <v>17</v>
      </c>
      <c r="C62" t="s">
        <v>18</v>
      </c>
      <c r="D62" t="s">
        <v>5028</v>
      </c>
    </row>
    <row r="63" spans="1:4" x14ac:dyDescent="0.25">
      <c r="A63">
        <v>38</v>
      </c>
      <c r="B63" t="s">
        <v>17</v>
      </c>
      <c r="C63" t="s">
        <v>108</v>
      </c>
      <c r="D63" t="s">
        <v>5132</v>
      </c>
    </row>
    <row r="64" spans="1:4" x14ac:dyDescent="0.25">
      <c r="A64">
        <v>38</v>
      </c>
      <c r="B64" t="s">
        <v>17</v>
      </c>
      <c r="C64" t="s">
        <v>78</v>
      </c>
      <c r="D64" t="s">
        <v>5065</v>
      </c>
    </row>
    <row r="65" spans="1:4" x14ac:dyDescent="0.25">
      <c r="A65">
        <v>39</v>
      </c>
      <c r="B65" t="s">
        <v>19</v>
      </c>
      <c r="C65" t="s">
        <v>48</v>
      </c>
      <c r="D65" t="e">
        <v>#N/A</v>
      </c>
    </row>
    <row r="66" spans="1:4" x14ac:dyDescent="0.25">
      <c r="A66">
        <v>39</v>
      </c>
      <c r="B66" t="s">
        <v>19</v>
      </c>
      <c r="C66" t="s">
        <v>50</v>
      </c>
      <c r="D66" t="e">
        <v>#N/A</v>
      </c>
    </row>
    <row r="67" spans="1:4" x14ac:dyDescent="0.25">
      <c r="A67">
        <v>39</v>
      </c>
      <c r="B67" t="s">
        <v>19</v>
      </c>
      <c r="C67" t="s">
        <v>20</v>
      </c>
      <c r="D67" t="e">
        <v>#N/A</v>
      </c>
    </row>
    <row r="68" spans="1:4" x14ac:dyDescent="0.25">
      <c r="A68">
        <v>39</v>
      </c>
      <c r="B68" t="s">
        <v>19</v>
      </c>
      <c r="C68" t="s">
        <v>28</v>
      </c>
      <c r="D68" t="e">
        <v>#N/A</v>
      </c>
    </row>
    <row r="69" spans="1:4" x14ac:dyDescent="0.25">
      <c r="A69">
        <v>39</v>
      </c>
      <c r="B69" t="s">
        <v>19</v>
      </c>
      <c r="C69" t="s">
        <v>23</v>
      </c>
      <c r="D69" t="e">
        <v>#N/A</v>
      </c>
    </row>
    <row r="70" spans="1:4" x14ac:dyDescent="0.25">
      <c r="A70">
        <v>39</v>
      </c>
      <c r="B70" t="s">
        <v>19</v>
      </c>
      <c r="C70" t="s">
        <v>31</v>
      </c>
      <c r="D70" t="e">
        <v>#N/A</v>
      </c>
    </row>
    <row r="71" spans="1:4" x14ac:dyDescent="0.25">
      <c r="A71">
        <v>39</v>
      </c>
      <c r="B71" t="s">
        <v>19</v>
      </c>
      <c r="C71" t="s">
        <v>63</v>
      </c>
      <c r="D71" t="e">
        <v>#N/A</v>
      </c>
    </row>
    <row r="72" spans="1:4" x14ac:dyDescent="0.25">
      <c r="A72">
        <v>39</v>
      </c>
      <c r="B72" t="s">
        <v>19</v>
      </c>
      <c r="C72" t="s">
        <v>67</v>
      </c>
      <c r="D72" t="e">
        <v>#N/A</v>
      </c>
    </row>
    <row r="73" spans="1:4" x14ac:dyDescent="0.25">
      <c r="A73">
        <v>39</v>
      </c>
      <c r="B73" t="s">
        <v>19</v>
      </c>
      <c r="C73" t="s">
        <v>34</v>
      </c>
      <c r="D73" t="e">
        <v>#N/A</v>
      </c>
    </row>
    <row r="74" spans="1:4" x14ac:dyDescent="0.25">
      <c r="A74">
        <v>39</v>
      </c>
      <c r="B74" t="s">
        <v>19</v>
      </c>
      <c r="C74" t="s">
        <v>225</v>
      </c>
      <c r="D74" t="s">
        <v>7985</v>
      </c>
    </row>
    <row r="75" spans="1:4" x14ac:dyDescent="0.25">
      <c r="A75">
        <v>39</v>
      </c>
      <c r="B75" t="s">
        <v>19</v>
      </c>
      <c r="C75" t="s">
        <v>223</v>
      </c>
      <c r="D75" t="s">
        <v>5347</v>
      </c>
    </row>
    <row r="76" spans="1:4" x14ac:dyDescent="0.25">
      <c r="A76">
        <v>39</v>
      </c>
      <c r="B76" t="s">
        <v>19</v>
      </c>
      <c r="C76" t="s">
        <v>227</v>
      </c>
      <c r="D76" t="s">
        <v>5309</v>
      </c>
    </row>
    <row r="77" spans="1:4" x14ac:dyDescent="0.25">
      <c r="A77">
        <v>39</v>
      </c>
      <c r="B77" t="s">
        <v>19</v>
      </c>
      <c r="C77" t="s">
        <v>109</v>
      </c>
      <c r="D77" t="e">
        <v>#N/A</v>
      </c>
    </row>
    <row r="78" spans="1:4" x14ac:dyDescent="0.25">
      <c r="A78">
        <v>39</v>
      </c>
      <c r="B78" t="s">
        <v>19</v>
      </c>
      <c r="C78" t="s">
        <v>112</v>
      </c>
      <c r="D78" t="e">
        <v>#N/A</v>
      </c>
    </row>
    <row r="79" spans="1:4" x14ac:dyDescent="0.25">
      <c r="A79">
        <v>39</v>
      </c>
      <c r="B79" t="s">
        <v>19</v>
      </c>
      <c r="C79" t="s">
        <v>79</v>
      </c>
      <c r="D79" t="e">
        <v>#N/A</v>
      </c>
    </row>
    <row r="80" spans="1:4" x14ac:dyDescent="0.25">
      <c r="A80">
        <v>39</v>
      </c>
      <c r="B80" t="s">
        <v>19</v>
      </c>
      <c r="C80" t="s">
        <v>88</v>
      </c>
      <c r="D80" t="s">
        <v>3883</v>
      </c>
    </row>
    <row r="81" spans="1:4" x14ac:dyDescent="0.25">
      <c r="A81">
        <v>39</v>
      </c>
      <c r="B81" t="s">
        <v>19</v>
      </c>
      <c r="C81" t="s">
        <v>82</v>
      </c>
      <c r="D81" t="e">
        <v>#N/A</v>
      </c>
    </row>
    <row r="82" spans="1:4" x14ac:dyDescent="0.25">
      <c r="A82">
        <v>39</v>
      </c>
      <c r="B82" t="s">
        <v>19</v>
      </c>
      <c r="C82" t="s">
        <v>91</v>
      </c>
      <c r="D82" t="e">
        <v>#N/A</v>
      </c>
    </row>
    <row r="83" spans="1:4" x14ac:dyDescent="0.25">
      <c r="A83">
        <v>39</v>
      </c>
      <c r="B83" t="s">
        <v>19</v>
      </c>
      <c r="C83" t="s">
        <v>124</v>
      </c>
      <c r="D83" t="e">
        <v>#N/A</v>
      </c>
    </row>
    <row r="84" spans="1:4" x14ac:dyDescent="0.25">
      <c r="A84">
        <v>39</v>
      </c>
      <c r="B84" t="s">
        <v>19</v>
      </c>
      <c r="C84" t="s">
        <v>127</v>
      </c>
      <c r="D84" t="e">
        <v>#N/A</v>
      </c>
    </row>
    <row r="85" spans="1:4" x14ac:dyDescent="0.25">
      <c r="A85">
        <v>39</v>
      </c>
      <c r="B85" t="s">
        <v>19</v>
      </c>
      <c r="C85" t="s">
        <v>94</v>
      </c>
      <c r="D85" t="e">
        <v>#N/A</v>
      </c>
    </row>
    <row r="86" spans="1:4" x14ac:dyDescent="0.25">
      <c r="A86">
        <v>39</v>
      </c>
      <c r="B86" t="s">
        <v>19</v>
      </c>
      <c r="C86" t="s">
        <v>231</v>
      </c>
      <c r="D86" t="s">
        <v>7997</v>
      </c>
    </row>
    <row r="87" spans="1:4" x14ac:dyDescent="0.25">
      <c r="A87">
        <v>39</v>
      </c>
      <c r="B87" t="s">
        <v>19</v>
      </c>
      <c r="C87" t="s">
        <v>229</v>
      </c>
      <c r="D87" t="s">
        <v>5226</v>
      </c>
    </row>
    <row r="88" spans="1:4" x14ac:dyDescent="0.25">
      <c r="A88">
        <v>39</v>
      </c>
      <c r="B88" t="s">
        <v>19</v>
      </c>
      <c r="C88" t="s">
        <v>233</v>
      </c>
      <c r="D88" t="s">
        <v>5311</v>
      </c>
    </row>
    <row r="89" spans="1:4" x14ac:dyDescent="0.25">
      <c r="A89">
        <v>39</v>
      </c>
      <c r="B89" t="s">
        <v>19</v>
      </c>
      <c r="C89" t="s">
        <v>135</v>
      </c>
      <c r="D89" t="e">
        <v>#N/A</v>
      </c>
    </row>
    <row r="90" spans="1:4" x14ac:dyDescent="0.25">
      <c r="A90">
        <v>39</v>
      </c>
      <c r="B90" t="s">
        <v>19</v>
      </c>
      <c r="C90" t="s">
        <v>138</v>
      </c>
      <c r="D90" t="e">
        <v>#N/A</v>
      </c>
    </row>
    <row r="91" spans="1:4" x14ac:dyDescent="0.25">
      <c r="A91">
        <v>39</v>
      </c>
      <c r="B91" t="s">
        <v>19</v>
      </c>
      <c r="C91" t="s">
        <v>141</v>
      </c>
      <c r="D91" t="e">
        <v>#N/A</v>
      </c>
    </row>
    <row r="92" spans="1:4" x14ac:dyDescent="0.25">
      <c r="A92">
        <v>39</v>
      </c>
      <c r="B92" t="s">
        <v>19</v>
      </c>
      <c r="C92" t="s">
        <v>151</v>
      </c>
      <c r="D92" t="e">
        <v>#N/A</v>
      </c>
    </row>
    <row r="93" spans="1:4" x14ac:dyDescent="0.25">
      <c r="A93">
        <v>39</v>
      </c>
      <c r="B93" t="s">
        <v>19</v>
      </c>
      <c r="C93" t="s">
        <v>144</v>
      </c>
      <c r="D93" t="e">
        <v>#N/A</v>
      </c>
    </row>
    <row r="94" spans="1:4" x14ac:dyDescent="0.25">
      <c r="A94">
        <v>39</v>
      </c>
      <c r="B94" t="s">
        <v>19</v>
      </c>
      <c r="C94" t="s">
        <v>154</v>
      </c>
      <c r="D94" t="e">
        <v>#N/A</v>
      </c>
    </row>
    <row r="95" spans="1:4" x14ac:dyDescent="0.25">
      <c r="A95">
        <v>39</v>
      </c>
      <c r="B95" t="s">
        <v>19</v>
      </c>
      <c r="C95" t="s">
        <v>163</v>
      </c>
      <c r="D95" t="e">
        <v>#N/A</v>
      </c>
    </row>
    <row r="96" spans="1:4" x14ac:dyDescent="0.25">
      <c r="A96">
        <v>39</v>
      </c>
      <c r="B96" t="s">
        <v>19</v>
      </c>
      <c r="C96" t="s">
        <v>167</v>
      </c>
      <c r="D96" t="e">
        <v>#N/A</v>
      </c>
    </row>
    <row r="97" spans="1:4" x14ac:dyDescent="0.25">
      <c r="A97">
        <v>39</v>
      </c>
      <c r="B97" t="s">
        <v>19</v>
      </c>
      <c r="C97" t="s">
        <v>149</v>
      </c>
      <c r="D97" t="e">
        <v>#N/A</v>
      </c>
    </row>
    <row r="98" spans="1:4" x14ac:dyDescent="0.25">
      <c r="A98">
        <v>39</v>
      </c>
      <c r="B98" t="s">
        <v>19</v>
      </c>
      <c r="C98" t="s">
        <v>237</v>
      </c>
      <c r="D98" t="s">
        <v>8008</v>
      </c>
    </row>
    <row r="99" spans="1:4" x14ac:dyDescent="0.25">
      <c r="A99">
        <v>39</v>
      </c>
      <c r="B99" t="s">
        <v>19</v>
      </c>
      <c r="C99" t="s">
        <v>235</v>
      </c>
      <c r="D99" t="s">
        <v>5243</v>
      </c>
    </row>
    <row r="100" spans="1:4" x14ac:dyDescent="0.25">
      <c r="A100">
        <v>39</v>
      </c>
      <c r="B100" t="s">
        <v>19</v>
      </c>
      <c r="C100" t="s">
        <v>239</v>
      </c>
      <c r="D100" t="s">
        <v>5313</v>
      </c>
    </row>
    <row r="101" spans="1:4" x14ac:dyDescent="0.25">
      <c r="A101">
        <v>39</v>
      </c>
      <c r="B101" t="s">
        <v>19</v>
      </c>
      <c r="C101" t="s">
        <v>177</v>
      </c>
      <c r="D101" t="e">
        <v>#N/A</v>
      </c>
    </row>
    <row r="102" spans="1:4" x14ac:dyDescent="0.25">
      <c r="A102">
        <v>39</v>
      </c>
      <c r="B102" t="s">
        <v>19</v>
      </c>
      <c r="C102" t="s">
        <v>180</v>
      </c>
      <c r="D102" t="e">
        <v>#N/A</v>
      </c>
    </row>
    <row r="103" spans="1:4" x14ac:dyDescent="0.25">
      <c r="A103">
        <v>39</v>
      </c>
      <c r="B103" t="s">
        <v>19</v>
      </c>
      <c r="C103" t="s">
        <v>183</v>
      </c>
      <c r="D103" t="e">
        <v>#N/A</v>
      </c>
    </row>
    <row r="104" spans="1:4" x14ac:dyDescent="0.25">
      <c r="A104">
        <v>39</v>
      </c>
      <c r="B104" t="s">
        <v>19</v>
      </c>
      <c r="C104" t="s">
        <v>194</v>
      </c>
      <c r="D104" t="e">
        <v>#N/A</v>
      </c>
    </row>
    <row r="105" spans="1:4" x14ac:dyDescent="0.25">
      <c r="A105">
        <v>39</v>
      </c>
      <c r="B105" t="s">
        <v>19</v>
      </c>
      <c r="C105" t="s">
        <v>186</v>
      </c>
      <c r="D105" t="e">
        <v>#N/A</v>
      </c>
    </row>
    <row r="106" spans="1:4" x14ac:dyDescent="0.25">
      <c r="A106">
        <v>39</v>
      </c>
      <c r="B106" t="s">
        <v>19</v>
      </c>
      <c r="C106" t="s">
        <v>197</v>
      </c>
      <c r="D106" t="e">
        <v>#N/A</v>
      </c>
    </row>
    <row r="107" spans="1:4" x14ac:dyDescent="0.25">
      <c r="A107">
        <v>39</v>
      </c>
      <c r="B107" t="s">
        <v>19</v>
      </c>
      <c r="C107" t="s">
        <v>206</v>
      </c>
      <c r="D107" t="e">
        <v>#N/A</v>
      </c>
    </row>
    <row r="108" spans="1:4" x14ac:dyDescent="0.25">
      <c r="A108">
        <v>39</v>
      </c>
      <c r="B108" t="s">
        <v>19</v>
      </c>
      <c r="C108" t="s">
        <v>210</v>
      </c>
      <c r="D108" t="e">
        <v>#N/A</v>
      </c>
    </row>
    <row r="109" spans="1:4" x14ac:dyDescent="0.25">
      <c r="A109">
        <v>39</v>
      </c>
      <c r="B109" t="s">
        <v>19</v>
      </c>
      <c r="C109" t="s">
        <v>192</v>
      </c>
      <c r="D109" t="e">
        <v>#N/A</v>
      </c>
    </row>
    <row r="110" spans="1:4" x14ac:dyDescent="0.25">
      <c r="A110">
        <v>39</v>
      </c>
      <c r="B110" t="s">
        <v>19</v>
      </c>
      <c r="C110" t="s">
        <v>243</v>
      </c>
      <c r="D110" t="s">
        <v>8018</v>
      </c>
    </row>
    <row r="111" spans="1:4" x14ac:dyDescent="0.25">
      <c r="A111">
        <v>39</v>
      </c>
      <c r="B111" t="s">
        <v>19</v>
      </c>
      <c r="C111" t="s">
        <v>241</v>
      </c>
      <c r="D111" t="s">
        <v>5275</v>
      </c>
    </row>
    <row r="112" spans="1:4" x14ac:dyDescent="0.25">
      <c r="A112">
        <v>39</v>
      </c>
      <c r="B112" t="s">
        <v>19</v>
      </c>
      <c r="C112" t="s">
        <v>245</v>
      </c>
      <c r="D112" t="s">
        <v>5315</v>
      </c>
    </row>
  </sheetData>
  <sortState xmlns:xlrd2="http://schemas.microsoft.com/office/spreadsheetml/2017/richdata2" ref="A2:D112">
    <sortCondition ref="A2:A112"/>
    <sortCondition ref="C2:C1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D924-D0C7-46E9-A4EB-765FF795596E}">
  <dimension ref="A1:M39"/>
  <sheetViews>
    <sheetView tabSelected="1" topLeftCell="A10" workbookViewId="0">
      <selection activeCell="E22" sqref="E22"/>
    </sheetView>
  </sheetViews>
  <sheetFormatPr defaultRowHeight="15" x14ac:dyDescent="0.25"/>
  <cols>
    <col min="1" max="1" width="51.85546875" bestFit="1" customWidth="1"/>
    <col min="2" max="2" width="20.28515625" bestFit="1" customWidth="1"/>
    <col min="3" max="3" width="20.28515625" customWidth="1"/>
    <col min="5" max="5" width="31.42578125" bestFit="1" customWidth="1"/>
    <col min="7" max="7" width="6" hidden="1" customWidth="1"/>
    <col min="8" max="8" width="6.42578125" hidden="1" customWidth="1"/>
    <col min="9" max="9" width="3" hidden="1" customWidth="1"/>
    <col min="10" max="10" width="15.7109375" bestFit="1" customWidth="1"/>
    <col min="11" max="11" width="21.85546875" bestFit="1" customWidth="1"/>
    <col min="12" max="12" width="5.28515625" bestFit="1" customWidth="1"/>
    <col min="13" max="13" width="28.28515625" bestFit="1" customWidth="1"/>
  </cols>
  <sheetData>
    <row r="1" spans="1:13" x14ac:dyDescent="0.25">
      <c r="A1" t="s">
        <v>8673</v>
      </c>
      <c r="B1" t="str">
        <f>MID(A1,FIND("""",A1,1)+1,15)</f>
        <v>PCPE23942IN01.H</v>
      </c>
      <c r="C1" t="s">
        <v>25</v>
      </c>
      <c r="D1">
        <v>1</v>
      </c>
      <c r="E1" t="str">
        <f>VLOOKUP(B1,Sheet4!$A$3:$X$2306,4,FALSE)</f>
        <v>INSERT RH EBONY SOHO</v>
      </c>
    </row>
    <row r="2" spans="1:13" x14ac:dyDescent="0.25">
      <c r="A2" t="s">
        <v>8674</v>
      </c>
      <c r="B2" t="str">
        <f t="shared" ref="B2:B6" si="0">MID(A2,FIND("""",A2,1)+1,15)</f>
        <v>PCPE27406IN01.H</v>
      </c>
      <c r="C2" t="s">
        <v>148</v>
      </c>
      <c r="D2">
        <v>2</v>
      </c>
      <c r="E2" t="str">
        <f>VLOOKUP(B2,Sheet4!$A$3:$X$2306,4,FALSE)</f>
        <v>P703 INSERT RH EBONY SOHO</v>
      </c>
    </row>
    <row r="3" spans="1:13" x14ac:dyDescent="0.25">
      <c r="A3" t="s">
        <v>8675</v>
      </c>
      <c r="B3" t="str">
        <f t="shared" si="0"/>
        <v>PCPE23942IN02.H</v>
      </c>
      <c r="C3" t="s">
        <v>30</v>
      </c>
      <c r="D3">
        <v>3</v>
      </c>
      <c r="E3" t="str">
        <f>VLOOKUP(B3,Sheet4!$A$3:$X$2306,4,FALSE)</f>
        <v>INSERT RH SAND SOHO</v>
      </c>
    </row>
    <row r="4" spans="1:13" x14ac:dyDescent="0.25">
      <c r="A4" t="s">
        <v>8676</v>
      </c>
      <c r="B4" t="str">
        <f t="shared" si="0"/>
        <v>PCPE23942IN03.H</v>
      </c>
      <c r="C4" t="s">
        <v>65</v>
      </c>
      <c r="D4">
        <v>4</v>
      </c>
      <c r="E4" t="str">
        <f>VLOOKUP(B4,Sheet4!$A$3:$X$2306,4,FALSE)</f>
        <v>INSERT RH EBONY SUPER SMOOTH</v>
      </c>
      <c r="G4" t="s">
        <v>146</v>
      </c>
      <c r="H4" t="s">
        <v>134</v>
      </c>
      <c r="I4">
        <v>39</v>
      </c>
      <c r="J4" t="s">
        <v>19</v>
      </c>
      <c r="K4" t="s">
        <v>144</v>
      </c>
      <c r="L4" t="e">
        <f>VLOOKUP(K4,'Rack Guide'!$C$1:$E$39,2,FALSE)</f>
        <v>#N/A</v>
      </c>
      <c r="M4" t="e">
        <f>VLOOKUP(K4,Sheet4!$A$3:$X$2306,4,FALSE)</f>
        <v>#N/A</v>
      </c>
    </row>
    <row r="5" spans="1:13" x14ac:dyDescent="0.25">
      <c r="A5" t="s">
        <v>8677</v>
      </c>
      <c r="B5" t="str">
        <f t="shared" si="0"/>
        <v>PCPE27406IN02.H</v>
      </c>
      <c r="C5" t="s">
        <v>153</v>
      </c>
      <c r="D5">
        <v>5</v>
      </c>
      <c r="E5" t="str">
        <f>VLOOKUP(B5,Sheet4!$A$3:$X$2306,4,FALSE)</f>
        <v>P703 INSERT RH SAND STONE</v>
      </c>
      <c r="G5" t="s">
        <v>146</v>
      </c>
      <c r="H5" t="s">
        <v>134</v>
      </c>
      <c r="I5">
        <v>33</v>
      </c>
      <c r="J5" t="s">
        <v>7</v>
      </c>
      <c r="K5" t="s">
        <v>143</v>
      </c>
      <c r="L5" t="e">
        <f>VLOOKUP(K5,'Rack Guide'!$C$1:$E$39,2,FALSE)</f>
        <v>#N/A</v>
      </c>
      <c r="M5" t="e">
        <f>VLOOKUP(K5,Sheet4!$A$3:$X$2306,4,FALSE)</f>
        <v>#N/A</v>
      </c>
    </row>
    <row r="6" spans="1:13" x14ac:dyDescent="0.25">
      <c r="A6" t="s">
        <v>8678</v>
      </c>
      <c r="B6" t="str">
        <f t="shared" si="0"/>
        <v>PCPE27406IN03.H</v>
      </c>
      <c r="C6" t="s">
        <v>166</v>
      </c>
      <c r="D6">
        <v>6</v>
      </c>
      <c r="E6" t="str">
        <f>VLOOKUP(B6,Sheet4!$A$3:$X$2306,4,FALSE)</f>
        <v>P703 INSERT RH EBONY S.SMOOTH</v>
      </c>
    </row>
    <row r="7" spans="1:13" x14ac:dyDescent="0.25">
      <c r="A7" t="s">
        <v>8679</v>
      </c>
      <c r="B7" t="str">
        <f t="shared" ref="B7:B39" si="1">MID(A7,FIND("""",A7,1)+1,18)</f>
        <v>",d:""},</v>
      </c>
      <c r="C7" t="s">
        <v>8712</v>
      </c>
      <c r="D7">
        <v>7</v>
      </c>
      <c r="E7" t="e">
        <f>VLOOKUP(B7,Sheet4!$A$3:$X$2306,4,FALSE)</f>
        <v>#N/A</v>
      </c>
      <c r="G7" t="s">
        <v>5</v>
      </c>
      <c r="H7" t="s">
        <v>6</v>
      </c>
      <c r="I7">
        <v>33</v>
      </c>
      <c r="J7" t="s">
        <v>7</v>
      </c>
      <c r="K7" t="s">
        <v>8</v>
      </c>
      <c r="L7" t="e">
        <f>VLOOKUP(K7,'Rack Guide'!$C$1:$E$39,2,FALSE)</f>
        <v>#N/A</v>
      </c>
      <c r="M7" t="e">
        <f>VLOOKUP(K7,Sheet4!$A$3:$X$2306,4,FALSE)</f>
        <v>#N/A</v>
      </c>
    </row>
    <row r="8" spans="1:13" x14ac:dyDescent="0.25">
      <c r="A8" t="s">
        <v>8680</v>
      </c>
      <c r="B8" t="str">
        <f t="shared" si="1"/>
        <v>",d:""},</v>
      </c>
      <c r="C8" t="s">
        <v>8712</v>
      </c>
      <c r="D8">
        <v>8</v>
      </c>
      <c r="E8" t="e">
        <f>VLOOKUP(B8,Sheet4!$A$3:$X$2306,4,FALSE)</f>
        <v>#N/A</v>
      </c>
      <c r="G8" t="s">
        <v>5</v>
      </c>
      <c r="H8" t="s">
        <v>6</v>
      </c>
      <c r="I8">
        <v>34</v>
      </c>
      <c r="J8" t="s">
        <v>9</v>
      </c>
      <c r="K8" t="s">
        <v>10</v>
      </c>
      <c r="L8" t="e">
        <f>VLOOKUP(K8,'Rack Guide'!$C$1:$E$39,2,FALSE)</f>
        <v>#N/A</v>
      </c>
      <c r="M8" t="e">
        <f>VLOOKUP(K8,Sheet4!$A$3:$X$2306,4,FALSE)</f>
        <v>#N/A</v>
      </c>
    </row>
    <row r="9" spans="1:13" x14ac:dyDescent="0.25">
      <c r="A9" t="s">
        <v>8681</v>
      </c>
      <c r="B9" t="str">
        <f>MID(A9,FIND("""",A9,1)+1,15)&amp;"A"</f>
        <v>PCPE27406AR01.HA</v>
      </c>
      <c r="C9" t="s">
        <v>138</v>
      </c>
      <c r="D9">
        <v>9</v>
      </c>
      <c r="E9" t="str">
        <f>VLOOKUP(B9,Sheet4!$A$3:$X$2306,4,FALSE)</f>
        <v>P703 RR DR RH EBONY NO/STITCH</v>
      </c>
      <c r="G9" t="s">
        <v>5</v>
      </c>
      <c r="H9" t="s">
        <v>6</v>
      </c>
      <c r="I9">
        <v>35</v>
      </c>
      <c r="J9" t="s">
        <v>11</v>
      </c>
      <c r="K9" t="s">
        <v>12</v>
      </c>
      <c r="L9">
        <f>VLOOKUP(K9,'Rack Guide'!$C$1:$E$39,2,FALSE)</f>
        <v>18</v>
      </c>
      <c r="M9" t="str">
        <f>VLOOKUP(K9,Sheet4!$A$3:$X$2306,4,FALSE)</f>
        <v>P703 FRONT APPLIQUE RH</v>
      </c>
    </row>
    <row r="10" spans="1:13" x14ac:dyDescent="0.25">
      <c r="A10" t="s">
        <v>8682</v>
      </c>
      <c r="B10" t="str">
        <f t="shared" ref="B10:B12" si="2">MID(A10,FIND("""",A10,1)+1,15)&amp;"A"</f>
        <v>PCPE27406AR02.HA</v>
      </c>
      <c r="C10" t="s">
        <v>151</v>
      </c>
      <c r="D10">
        <v>10</v>
      </c>
      <c r="E10" t="str">
        <f>VLOOKUP(B10,Sheet4!$A$3:$X$2306,4,FALSE)</f>
        <v>P703 RR DR RH EBONY W/STITCH</v>
      </c>
      <c r="G10" t="s">
        <v>5</v>
      </c>
      <c r="H10" t="s">
        <v>6</v>
      </c>
      <c r="I10">
        <v>36</v>
      </c>
      <c r="J10" t="s">
        <v>13</v>
      </c>
      <c r="K10" t="s">
        <v>14</v>
      </c>
      <c r="L10" t="e">
        <f>VLOOKUP(K10,'Rack Guide'!$C$1:$E$39,2,FALSE)</f>
        <v>#N/A</v>
      </c>
      <c r="M10" t="e">
        <f>VLOOKUP(K10,Sheet4!$A$3:$X$2306,4,FALSE)</f>
        <v>#N/A</v>
      </c>
    </row>
    <row r="11" spans="1:13" x14ac:dyDescent="0.25">
      <c r="A11" t="s">
        <v>8683</v>
      </c>
      <c r="B11" t="str">
        <f t="shared" si="2"/>
        <v>PCPE27406AR05.HA</v>
      </c>
      <c r="C11" t="s">
        <v>149</v>
      </c>
      <c r="D11">
        <v>11</v>
      </c>
      <c r="E11" t="str">
        <f>VLOOKUP(B11,Sheet4!$A$3:$X$2306,4,FALSE)</f>
        <v>P703 REAR DR RH BLACK PACK</v>
      </c>
      <c r="G11" t="s">
        <v>5</v>
      </c>
      <c r="H11" t="s">
        <v>6</v>
      </c>
      <c r="I11">
        <v>37</v>
      </c>
      <c r="J11" t="s">
        <v>15</v>
      </c>
      <c r="K11" t="s">
        <v>16</v>
      </c>
      <c r="L11">
        <f>VLOOKUP(K11,'Rack Guide'!$C$1:$E$39,2,FALSE)</f>
        <v>24</v>
      </c>
      <c r="M11" t="str">
        <f>VLOOKUP(K11,Sheet4!$A$3:$X$2306,4,FALSE)</f>
        <v>P703 I/P EXTENSION JA6  RH</v>
      </c>
    </row>
    <row r="12" spans="1:13" x14ac:dyDescent="0.25">
      <c r="A12" t="s">
        <v>8684</v>
      </c>
      <c r="B12" t="str">
        <f t="shared" si="2"/>
        <v>PCPE27406AR04.HA</v>
      </c>
      <c r="C12" t="s">
        <v>167</v>
      </c>
      <c r="D12">
        <v>12</v>
      </c>
      <c r="E12" t="str">
        <f>VLOOKUP(B12,Sheet4!$A$3:$X$2306,4,FALSE)</f>
        <v>P703 RR DR RH S.SMOOTH</v>
      </c>
      <c r="G12" t="s">
        <v>5</v>
      </c>
      <c r="H12" t="s">
        <v>6</v>
      </c>
      <c r="I12">
        <v>38</v>
      </c>
      <c r="J12" t="s">
        <v>17</v>
      </c>
      <c r="K12" t="s">
        <v>18</v>
      </c>
      <c r="L12" t="e">
        <f>VLOOKUP(K12,'Rack Guide'!$C$1:$E$39,2,FALSE)</f>
        <v>#N/A</v>
      </c>
      <c r="M12" t="str">
        <f>VLOOKUP(K12,Sheet4!$A$3:$X$2306,4,FALSE)</f>
        <v>FRONT DOOR LOCK SWITCH RH</v>
      </c>
    </row>
    <row r="13" spans="1:13" x14ac:dyDescent="0.25">
      <c r="A13" t="s">
        <v>8685</v>
      </c>
      <c r="B13" s="53" t="str">
        <f>MID(A13,FIND("""",A13,1)+1,10)&amp;"F"</f>
        <v>PCP14E072AF</v>
      </c>
      <c r="C13" s="53" t="s">
        <v>8713</v>
      </c>
      <c r="D13">
        <v>13</v>
      </c>
      <c r="E13" t="str">
        <f>VLOOKUP(B13,Sheet4!$A$3:$X$2306,4,FALSE)</f>
        <v>P703 AMBIENT LIGHT RH BLUE</v>
      </c>
      <c r="G13" t="s">
        <v>5</v>
      </c>
      <c r="H13" t="s">
        <v>6</v>
      </c>
      <c r="I13">
        <v>39</v>
      </c>
      <c r="J13" t="s">
        <v>19</v>
      </c>
      <c r="K13" t="s">
        <v>20</v>
      </c>
      <c r="L13" t="e">
        <f>VLOOKUP(K13,'Rack Guide'!$C$1:$E$39,2,FALSE)</f>
        <v>#N/A</v>
      </c>
      <c r="M13" t="e">
        <f>VLOOKUP(K13,Sheet4!$A$3:$X$2306,4,FALSE)</f>
        <v>#N/A</v>
      </c>
    </row>
    <row r="14" spans="1:13" x14ac:dyDescent="0.25">
      <c r="A14" t="s">
        <v>8686</v>
      </c>
      <c r="B14" t="str">
        <f t="shared" si="1"/>
        <v>",d:""},</v>
      </c>
      <c r="C14" t="s">
        <v>8712</v>
      </c>
      <c r="D14">
        <v>14</v>
      </c>
      <c r="E14" t="e">
        <f>VLOOKUP(B14,Sheet4!$A$3:$X$2306,4,FALSE)</f>
        <v>#N/A</v>
      </c>
    </row>
    <row r="15" spans="1:13" x14ac:dyDescent="0.25">
      <c r="A15" t="s">
        <v>8687</v>
      </c>
      <c r="B15" s="53" t="str">
        <f>MID(A15,FIND("""",A15,1)+1,10)&amp;"F"</f>
        <v>PCP14E072AF</v>
      </c>
      <c r="C15" s="53" t="s">
        <v>8713</v>
      </c>
      <c r="D15">
        <v>15</v>
      </c>
      <c r="E15" t="str">
        <f>VLOOKUP(B15,Sheet4!$A$3:$X$2306,4,FALSE)</f>
        <v>P703 AMBIENT LIGHT RH BLUE</v>
      </c>
      <c r="G15" t="s">
        <v>161</v>
      </c>
      <c r="H15" t="s">
        <v>134</v>
      </c>
      <c r="I15">
        <v>33</v>
      </c>
      <c r="J15" t="s">
        <v>7</v>
      </c>
      <c r="K15" t="s">
        <v>162</v>
      </c>
      <c r="L15" t="e">
        <f>VLOOKUP(K15,'Rack Guide'!$C$1:$E$39,2,FALSE)</f>
        <v>#N/A</v>
      </c>
      <c r="M15" t="e">
        <f>VLOOKUP(K15,Sheet4!$A$3:$X$2306,4,FALSE)</f>
        <v>#N/A</v>
      </c>
    </row>
    <row r="16" spans="1:13" x14ac:dyDescent="0.25">
      <c r="A16" t="s">
        <v>8688</v>
      </c>
      <c r="B16" t="str">
        <f>MID(A16,FIND("""",A16,1)+1,11)</f>
        <v>PCP14E072EF</v>
      </c>
      <c r="C16" t="s">
        <v>8714</v>
      </c>
      <c r="D16">
        <v>16</v>
      </c>
      <c r="E16" t="str">
        <f>VLOOKUP(B16,Sheet4!$A$3:$X$2306,4,FALSE)</f>
        <v>P703 AMBIENT LIGHT RH ORANGE</v>
      </c>
      <c r="G16" t="s">
        <v>161</v>
      </c>
      <c r="H16" t="s">
        <v>134</v>
      </c>
      <c r="I16">
        <v>39</v>
      </c>
      <c r="J16" t="s">
        <v>19</v>
      </c>
      <c r="K16" t="s">
        <v>163</v>
      </c>
      <c r="L16" t="e">
        <f>VLOOKUP(K16,'Rack Guide'!$C$1:$E$39,2,FALSE)</f>
        <v>#N/A</v>
      </c>
      <c r="M16" t="e">
        <f>VLOOKUP(K16,Sheet4!$A$3:$X$2306,4,FALSE)</f>
        <v>#N/A</v>
      </c>
    </row>
    <row r="17" spans="1:13" x14ac:dyDescent="0.25">
      <c r="A17" t="s">
        <v>8710</v>
      </c>
      <c r="B17" t="str">
        <f>MID(A17,FIND("""",A17,1)+1,16)</f>
        <v>PCPE237W28APIA70</v>
      </c>
      <c r="C17" t="s">
        <v>60</v>
      </c>
      <c r="D17">
        <v>17</v>
      </c>
      <c r="E17" t="str">
        <f>VLOOKUP(B17,Sheet4!$A$3:$X$2306,4,FALSE)</f>
        <v>P703 FRONT APPLIQUE RH</v>
      </c>
    </row>
    <row r="18" spans="1:13" x14ac:dyDescent="0.25">
      <c r="A18" t="s">
        <v>8711</v>
      </c>
      <c r="B18" t="str">
        <f>MID(A18,FIND("""",A18,1)+1,16)</f>
        <v>PCPE237W28APIA91</v>
      </c>
      <c r="C18" t="s">
        <v>12</v>
      </c>
      <c r="D18">
        <v>18</v>
      </c>
      <c r="E18" t="str">
        <f>VLOOKUP(B18,Sheet4!$A$3:$X$2306,4,FALSE)</f>
        <v>P703 FRONT APPLIQUE RH</v>
      </c>
      <c r="G18" t="s">
        <v>32</v>
      </c>
      <c r="H18" t="s">
        <v>6</v>
      </c>
      <c r="I18">
        <v>33</v>
      </c>
      <c r="J18" t="s">
        <v>7</v>
      </c>
      <c r="K18" t="s">
        <v>25</v>
      </c>
      <c r="L18">
        <f>VLOOKUP(K18,'Rack Guide'!$C$1:$E$39,2,FALSE)</f>
        <v>1</v>
      </c>
      <c r="M18" t="str">
        <f>VLOOKUP(K18,Sheet4!$A$3:$X$2306,4,FALSE)</f>
        <v>INSERT RH EBONY SOHO</v>
      </c>
    </row>
    <row r="19" spans="1:13" x14ac:dyDescent="0.25">
      <c r="A19" t="s">
        <v>8689</v>
      </c>
      <c r="B19" t="str">
        <f t="shared" si="1"/>
        <v>",d:""},</v>
      </c>
      <c r="C19" t="s">
        <v>8712</v>
      </c>
      <c r="D19">
        <v>19</v>
      </c>
      <c r="E19" t="e">
        <f>VLOOKUP(B19,Sheet4!$A$3:$X$2306,4,FALSE)</f>
        <v>#N/A</v>
      </c>
      <c r="G19" t="s">
        <v>32</v>
      </c>
      <c r="H19" t="s">
        <v>6</v>
      </c>
      <c r="I19">
        <v>34</v>
      </c>
      <c r="J19" t="s">
        <v>9</v>
      </c>
      <c r="K19" t="s">
        <v>33</v>
      </c>
      <c r="L19" t="e">
        <f>VLOOKUP(K19,'Rack Guide'!$C$1:$E$39,2,FALSE)</f>
        <v>#N/A</v>
      </c>
      <c r="M19" t="str">
        <f>VLOOKUP(K19,Sheet4!$A$3:$X$2306,4,FALSE)</f>
        <v>P703 BLACK PACK VERSION.</v>
      </c>
    </row>
    <row r="20" spans="1:13" x14ac:dyDescent="0.25">
      <c r="A20" t="s">
        <v>8690</v>
      </c>
      <c r="B20" t="str">
        <f>MID(A20,FIND("""",A20,1)+1,16)</f>
        <v>PCPE23942APIA30A</v>
      </c>
      <c r="C20" t="s">
        <v>8715</v>
      </c>
      <c r="D20">
        <v>20</v>
      </c>
      <c r="E20" t="str">
        <f>VLOOKUP(B20,Sheet4!$A$3:$X$2306,4,FALSE)</f>
        <v>FRT RH I/P EXTENSION MIC</v>
      </c>
      <c r="G20" t="s">
        <v>32</v>
      </c>
      <c r="H20" t="s">
        <v>6</v>
      </c>
      <c r="I20">
        <v>35</v>
      </c>
      <c r="J20" t="s">
        <v>11</v>
      </c>
      <c r="K20" t="s">
        <v>12</v>
      </c>
      <c r="L20">
        <f>VLOOKUP(K20,'Rack Guide'!$C$1:$E$39,2,FALSE)</f>
        <v>18</v>
      </c>
      <c r="M20" t="str">
        <f>VLOOKUP(K20,Sheet4!$A$3:$X$2306,4,FALSE)</f>
        <v>P703 FRONT APPLIQUE RH</v>
      </c>
    </row>
    <row r="21" spans="1:13" x14ac:dyDescent="0.25">
      <c r="A21" t="s">
        <v>8691</v>
      </c>
      <c r="B21" t="str">
        <f t="shared" si="1"/>
        <v>",d:""},</v>
      </c>
      <c r="C21" t="s">
        <v>8712</v>
      </c>
      <c r="D21">
        <v>21</v>
      </c>
      <c r="E21" t="e">
        <f>VLOOKUP(B21,Sheet4!$A$3:$X$2306,4,FALSE)</f>
        <v>#N/A</v>
      </c>
      <c r="G21" t="s">
        <v>32</v>
      </c>
      <c r="H21" t="s">
        <v>6</v>
      </c>
      <c r="I21">
        <v>36</v>
      </c>
      <c r="J21" t="s">
        <v>13</v>
      </c>
      <c r="K21" t="s">
        <v>27</v>
      </c>
      <c r="L21" t="e">
        <f>VLOOKUP(K21,'Rack Guide'!$C$1:$E$39,2,FALSE)</f>
        <v>#N/A</v>
      </c>
      <c r="M21" t="e">
        <f>VLOOKUP(K21,Sheet4!$A$3:$X$2306,4,FALSE)</f>
        <v>#N/A</v>
      </c>
    </row>
    <row r="22" spans="1:13" x14ac:dyDescent="0.25">
      <c r="A22" t="s">
        <v>8692</v>
      </c>
      <c r="B22" t="str">
        <f t="shared" si="1"/>
        <v>PCPE23942APIA201MY</v>
      </c>
      <c r="C22" t="s">
        <v>62</v>
      </c>
      <c r="D22">
        <v>22</v>
      </c>
      <c r="E22" t="str">
        <f>VLOOKUP(B22,Sheet4!$A$3:$X$2306,4,FALSE)</f>
        <v>P703 I/P  EXTENSION 1MY RH</v>
      </c>
      <c r="G22" t="s">
        <v>32</v>
      </c>
      <c r="H22" t="s">
        <v>6</v>
      </c>
      <c r="I22">
        <v>37</v>
      </c>
      <c r="J22" t="s">
        <v>15</v>
      </c>
      <c r="K22" t="s">
        <v>16</v>
      </c>
      <c r="L22">
        <f>VLOOKUP(K22,'Rack Guide'!$C$1:$E$39,2,FALSE)</f>
        <v>24</v>
      </c>
      <c r="M22" t="str">
        <f>VLOOKUP(K22,Sheet4!$A$3:$X$2306,4,FALSE)</f>
        <v>P703 I/P EXTENSION JA6  RH</v>
      </c>
    </row>
    <row r="23" spans="1:13" x14ac:dyDescent="0.25">
      <c r="A23" t="s">
        <v>8693</v>
      </c>
      <c r="B23" t="str">
        <f t="shared" si="1"/>
        <v>",d:""},</v>
      </c>
      <c r="C23" t="s">
        <v>8712</v>
      </c>
      <c r="D23">
        <v>23</v>
      </c>
      <c r="E23" t="e">
        <f>VLOOKUP(B23,Sheet4!$A$3:$X$2306,4,FALSE)</f>
        <v>#N/A</v>
      </c>
      <c r="G23" t="s">
        <v>32</v>
      </c>
      <c r="H23" t="s">
        <v>6</v>
      </c>
      <c r="I23">
        <v>38</v>
      </c>
      <c r="J23" t="s">
        <v>17</v>
      </c>
      <c r="K23" t="s">
        <v>18</v>
      </c>
      <c r="L23" t="e">
        <f>VLOOKUP(K23,'Rack Guide'!$C$1:$E$39,2,FALSE)</f>
        <v>#N/A</v>
      </c>
      <c r="M23" t="str">
        <f>VLOOKUP(K23,Sheet4!$A$3:$X$2306,4,FALSE)</f>
        <v>FRONT DOOR LOCK SWITCH RH</v>
      </c>
    </row>
    <row r="24" spans="1:13" x14ac:dyDescent="0.25">
      <c r="A24" t="s">
        <v>8694</v>
      </c>
      <c r="B24" t="str">
        <f t="shared" si="1"/>
        <v>PCPE23942APIA20JA6</v>
      </c>
      <c r="C24" t="s">
        <v>16</v>
      </c>
      <c r="D24">
        <v>24</v>
      </c>
      <c r="E24" t="str">
        <f>VLOOKUP(B24,Sheet4!$A$3:$X$2306,4,FALSE)</f>
        <v>P703 I/P EXTENSION JA6  RH</v>
      </c>
      <c r="G24" t="s">
        <v>32</v>
      </c>
      <c r="H24" t="s">
        <v>6</v>
      </c>
      <c r="I24">
        <v>39</v>
      </c>
      <c r="J24" t="s">
        <v>19</v>
      </c>
      <c r="K24" t="s">
        <v>34</v>
      </c>
      <c r="L24">
        <f>VLOOKUP(K24,'Rack Guide'!$C$1:$E$39,2,FALSE)</f>
        <v>31</v>
      </c>
      <c r="M24" t="e">
        <f>VLOOKUP(K24,Sheet4!$A$3:$X$2306,4,FALSE)</f>
        <v>#N/A</v>
      </c>
    </row>
    <row r="25" spans="1:13" x14ac:dyDescent="0.25">
      <c r="A25" t="s">
        <v>8695</v>
      </c>
      <c r="B25" t="str">
        <f t="shared" si="1"/>
        <v>",d:""},</v>
      </c>
      <c r="C25" t="s">
        <v>8712</v>
      </c>
      <c r="D25">
        <v>25</v>
      </c>
      <c r="E25" t="e">
        <f>VLOOKUP(B25,Sheet4!$A$3:$X$2306,4,FALSE)</f>
        <v>#N/A</v>
      </c>
    </row>
    <row r="26" spans="1:13" x14ac:dyDescent="0.25">
      <c r="A26" t="s">
        <v>8696</v>
      </c>
      <c r="B26" t="str">
        <f t="shared" si="1"/>
        <v>",d:""},</v>
      </c>
      <c r="C26" t="s">
        <v>8712</v>
      </c>
      <c r="D26">
        <v>26</v>
      </c>
      <c r="E26" t="e">
        <f>VLOOKUP(B26,Sheet4!$A$3:$X$2306,4,FALSE)</f>
        <v>#N/A</v>
      </c>
      <c r="G26" t="s">
        <v>157</v>
      </c>
      <c r="H26" t="s">
        <v>134</v>
      </c>
      <c r="I26">
        <v>39</v>
      </c>
      <c r="J26" t="s">
        <v>19</v>
      </c>
      <c r="K26" t="s">
        <v>154</v>
      </c>
      <c r="L26" t="e">
        <f>VLOOKUP(K26,'Rack Guide'!$C$1:$E$39,2,FALSE)</f>
        <v>#N/A</v>
      </c>
      <c r="M26" t="e">
        <f>VLOOKUP(K26,Sheet4!$A$3:$X$2306,4,FALSE)</f>
        <v>#N/A</v>
      </c>
    </row>
    <row r="27" spans="1:13" x14ac:dyDescent="0.25">
      <c r="A27" t="s">
        <v>8697</v>
      </c>
      <c r="B27" t="str">
        <f t="shared" si="1"/>
        <v>",d:""},</v>
      </c>
      <c r="C27" t="s">
        <v>8712</v>
      </c>
      <c r="D27">
        <v>27</v>
      </c>
      <c r="E27" t="e">
        <f>VLOOKUP(B27,Sheet4!$A$3:$X$2306,4,FALSE)</f>
        <v>#N/A</v>
      </c>
    </row>
    <row r="28" spans="1:13" x14ac:dyDescent="0.25">
      <c r="A28" t="s">
        <v>8698</v>
      </c>
      <c r="B28" t="str">
        <f>MID(A28,FIND("""",A28,1)+1,15)&amp;"A"</f>
        <v>PCPE23942AR01.HA</v>
      </c>
      <c r="C28" t="s">
        <v>50</v>
      </c>
      <c r="D28">
        <v>28</v>
      </c>
      <c r="E28" t="str">
        <f>VLOOKUP(B28,Sheet4!$A$3:$X$2306,4,FALSE)</f>
        <v>P703 FRT DR RH EBONY NO-STICH</v>
      </c>
      <c r="G28" t="s">
        <v>49</v>
      </c>
      <c r="H28" t="s">
        <v>6</v>
      </c>
      <c r="I28">
        <v>34</v>
      </c>
      <c r="J28" t="s">
        <v>9</v>
      </c>
      <c r="K28" t="s">
        <v>46</v>
      </c>
      <c r="L28">
        <f>VLOOKUP(K28,'Rack Guide'!$C$1:$E$39,2,FALSE)</f>
        <v>38</v>
      </c>
      <c r="M28" t="str">
        <f>VLOOKUP(K28,Sheet4!$A$3:$X$2306,4,FALSE)</f>
        <v>P703 Hard Top Roll W REINF</v>
      </c>
    </row>
    <row r="29" spans="1:13" x14ac:dyDescent="0.25">
      <c r="A29" t="s">
        <v>8699</v>
      </c>
      <c r="B29" t="str">
        <f t="shared" ref="B29:B32" si="3">MID(A29,FIND("""",A29,1)+1,15)&amp;"A"</f>
        <v>PCPE23942AR02.HA</v>
      </c>
      <c r="C29" t="s">
        <v>28</v>
      </c>
      <c r="D29">
        <v>29</v>
      </c>
      <c r="E29" t="str">
        <f>VLOOKUP(B29,Sheet4!$A$3:$X$2306,4,FALSE)</f>
        <v>P703 FRT DR RH EBONY W/STITCH</v>
      </c>
      <c r="G29" t="s">
        <v>49</v>
      </c>
      <c r="H29" t="s">
        <v>6</v>
      </c>
      <c r="I29">
        <v>37</v>
      </c>
      <c r="J29" t="s">
        <v>15</v>
      </c>
      <c r="K29" t="s">
        <v>47</v>
      </c>
      <c r="L29" t="e">
        <f>VLOOKUP(K29,'Rack Guide'!$C$1:$E$39,2,FALSE)</f>
        <v>#N/A</v>
      </c>
      <c r="M29" t="e">
        <f>VLOOKUP(K29,Sheet4!$A$3:$X$2306,4,FALSE)</f>
        <v>#N/A</v>
      </c>
    </row>
    <row r="30" spans="1:13" x14ac:dyDescent="0.25">
      <c r="A30" t="s">
        <v>8700</v>
      </c>
      <c r="B30" t="str">
        <f t="shared" si="3"/>
        <v>PCPE23942AR04.HA</v>
      </c>
      <c r="C30" t="s">
        <v>67</v>
      </c>
      <c r="D30">
        <v>30</v>
      </c>
      <c r="E30" t="str">
        <f>VLOOKUP(B30,Sheet4!$A$3:$X$2306,4,FALSE)</f>
        <v>P703 FRT DR RH S.SMOOTH</v>
      </c>
      <c r="G30" t="s">
        <v>49</v>
      </c>
      <c r="H30" t="s">
        <v>6</v>
      </c>
      <c r="I30">
        <v>38</v>
      </c>
      <c r="J30" t="s">
        <v>17</v>
      </c>
      <c r="K30" t="s">
        <v>18</v>
      </c>
      <c r="L30" t="e">
        <f>VLOOKUP(K30,'Rack Guide'!$C$1:$E$39,2,FALSE)</f>
        <v>#N/A</v>
      </c>
      <c r="M30" t="str">
        <f>VLOOKUP(K30,Sheet4!$A$3:$X$2306,4,FALSE)</f>
        <v>FRONT DOOR LOCK SWITCH RH</v>
      </c>
    </row>
    <row r="31" spans="1:13" x14ac:dyDescent="0.25">
      <c r="A31" t="s">
        <v>8701</v>
      </c>
      <c r="B31" t="str">
        <f t="shared" si="3"/>
        <v>PCPE23942AR05.HA</v>
      </c>
      <c r="C31" t="s">
        <v>34</v>
      </c>
      <c r="D31">
        <v>31</v>
      </c>
      <c r="E31" t="str">
        <f>VLOOKUP(B31,Sheet4!$A$3:$X$2306,4,FALSE)</f>
        <v>P703 FRT DR RH BLACK PACK</v>
      </c>
      <c r="G31" t="s">
        <v>49</v>
      </c>
      <c r="H31" t="s">
        <v>6</v>
      </c>
      <c r="I31">
        <v>39</v>
      </c>
      <c r="J31" t="s">
        <v>19</v>
      </c>
      <c r="K31" t="s">
        <v>50</v>
      </c>
      <c r="L31">
        <f>VLOOKUP(K31,'Rack Guide'!$C$1:$E$39,2,FALSE)</f>
        <v>28</v>
      </c>
      <c r="M31" t="e">
        <f>VLOOKUP(K31,Sheet4!$A$3:$X$2306,4,FALSE)</f>
        <v>#N/A</v>
      </c>
    </row>
    <row r="32" spans="1:13" x14ac:dyDescent="0.25">
      <c r="A32" t="s">
        <v>8702</v>
      </c>
      <c r="B32" t="str">
        <f t="shared" si="3"/>
        <v>PCPE23942AR03.HA</v>
      </c>
      <c r="C32" t="s">
        <v>31</v>
      </c>
      <c r="D32">
        <v>32</v>
      </c>
      <c r="E32" t="str">
        <f>VLOOKUP(B32,Sheet4!$A$3:$X$2306,4,FALSE)</f>
        <v>P703 FRT DR SAND W/STITCH</v>
      </c>
    </row>
    <row r="33" spans="1:13" x14ac:dyDescent="0.25">
      <c r="A33" t="s">
        <v>8703</v>
      </c>
      <c r="B33" t="str">
        <f t="shared" si="1"/>
        <v>",d:""},</v>
      </c>
      <c r="C33" t="s">
        <v>8712</v>
      </c>
      <c r="D33">
        <v>33</v>
      </c>
      <c r="E33" t="e">
        <f>VLOOKUP(B33,Sheet4!$A$3:$X$2306,4,FALSE)</f>
        <v>#N/A</v>
      </c>
      <c r="G33" t="s">
        <v>168</v>
      </c>
      <c r="H33" t="s">
        <v>134</v>
      </c>
      <c r="I33">
        <v>39</v>
      </c>
      <c r="J33" t="s">
        <v>19</v>
      </c>
      <c r="K33" t="s">
        <v>141</v>
      </c>
      <c r="L33" t="e">
        <f>VLOOKUP(K33,'Rack Guide'!$C$1:$E$39,2,FALSE)</f>
        <v>#N/A</v>
      </c>
      <c r="M33" t="e">
        <f>VLOOKUP(K33,Sheet4!$A$3:$X$2306,4,FALSE)</f>
        <v>#N/A</v>
      </c>
    </row>
    <row r="34" spans="1:13" x14ac:dyDescent="0.25">
      <c r="A34" t="s">
        <v>8704</v>
      </c>
      <c r="B34" t="str">
        <f t="shared" si="1"/>
        <v>",d:""},</v>
      </c>
      <c r="C34" t="s">
        <v>8712</v>
      </c>
      <c r="D34">
        <v>34</v>
      </c>
      <c r="E34" t="e">
        <f>VLOOKUP(B34,Sheet4!$A$3:$X$2306,4,FALSE)</f>
        <v>#N/A</v>
      </c>
    </row>
    <row r="35" spans="1:13" x14ac:dyDescent="0.25">
      <c r="A35" t="s">
        <v>8705</v>
      </c>
      <c r="B35" t="str">
        <f t="shared" si="1"/>
        <v>",d:""},</v>
      </c>
      <c r="C35" t="s">
        <v>8712</v>
      </c>
      <c r="D35">
        <v>35</v>
      </c>
      <c r="E35" t="e">
        <f>VLOOKUP(B35,Sheet4!$A$3:$X$2306,4,FALSE)</f>
        <v>#N/A</v>
      </c>
      <c r="G35" t="s">
        <v>51</v>
      </c>
      <c r="H35" t="s">
        <v>6</v>
      </c>
      <c r="I35">
        <v>34</v>
      </c>
      <c r="J35" t="s">
        <v>9</v>
      </c>
      <c r="K35" t="s">
        <v>52</v>
      </c>
      <c r="L35" t="e">
        <f>VLOOKUP(K35,'Rack Guide'!$C$1:$E$39,2,FALSE)</f>
        <v>#N/A</v>
      </c>
      <c r="M35" t="e">
        <f>VLOOKUP(K35,Sheet4!$A$3:$X$2306,4,FALSE)</f>
        <v>#N/A</v>
      </c>
    </row>
    <row r="36" spans="1:13" x14ac:dyDescent="0.25">
      <c r="A36" t="s">
        <v>8706</v>
      </c>
      <c r="B36" t="s">
        <v>26</v>
      </c>
      <c r="C36" t="s">
        <v>26</v>
      </c>
      <c r="D36">
        <v>36</v>
      </c>
      <c r="E36" t="str">
        <f>VLOOKUP(B36,Sheet4!$A$3:$X$2306,4,FALSE)</f>
        <v>P703 Soho Ebony W/ Urban Gray</v>
      </c>
      <c r="G36" t="s">
        <v>51</v>
      </c>
      <c r="H36" t="s">
        <v>6</v>
      </c>
      <c r="I36">
        <v>37</v>
      </c>
      <c r="J36" t="s">
        <v>15</v>
      </c>
      <c r="K36" t="s">
        <v>47</v>
      </c>
      <c r="L36" t="e">
        <f>VLOOKUP(K36,'Rack Guide'!$C$1:$E$39,2,FALSE)</f>
        <v>#N/A</v>
      </c>
      <c r="M36" t="e">
        <f>VLOOKUP(K36,Sheet4!$A$3:$X$2306,4,FALSE)</f>
        <v>#N/A</v>
      </c>
    </row>
    <row r="37" spans="1:13" x14ac:dyDescent="0.25">
      <c r="A37" t="s">
        <v>8707</v>
      </c>
      <c r="B37" t="s">
        <v>59</v>
      </c>
      <c r="C37" t="s">
        <v>59</v>
      </c>
      <c r="D37">
        <v>37</v>
      </c>
      <c r="E37" t="str">
        <f>VLOOKUP(B37,Sheet4!$A$3:$X$2306,4,FALSE)</f>
        <v>P703 Terra Suede Ebony W/ BLK</v>
      </c>
      <c r="G37" t="s">
        <v>51</v>
      </c>
      <c r="H37" t="s">
        <v>6</v>
      </c>
      <c r="I37">
        <v>38</v>
      </c>
      <c r="J37" t="s">
        <v>17</v>
      </c>
      <c r="K37" t="s">
        <v>18</v>
      </c>
      <c r="L37" t="e">
        <f>VLOOKUP(K37,'Rack Guide'!$C$1:$E$39,2,FALSE)</f>
        <v>#N/A</v>
      </c>
      <c r="M37" t="str">
        <f>VLOOKUP(K37,Sheet4!$A$3:$X$2306,4,FALSE)</f>
        <v>FRONT DOOR LOCK SWITCH RH</v>
      </c>
    </row>
    <row r="38" spans="1:13" x14ac:dyDescent="0.25">
      <c r="A38" t="s">
        <v>8708</v>
      </c>
      <c r="B38" t="s">
        <v>46</v>
      </c>
      <c r="C38" t="s">
        <v>46</v>
      </c>
      <c r="D38">
        <v>38</v>
      </c>
      <c r="E38" t="str">
        <f>VLOOKUP(B38,Sheet4!$A$3:$X$2306,4,FALSE)</f>
        <v>P703 Hard Top Roll W REINF</v>
      </c>
      <c r="G38" t="s">
        <v>51</v>
      </c>
      <c r="H38" t="s">
        <v>6</v>
      </c>
      <c r="I38">
        <v>39</v>
      </c>
      <c r="J38" t="s">
        <v>19</v>
      </c>
      <c r="K38" t="s">
        <v>20</v>
      </c>
      <c r="L38" t="e">
        <f>VLOOKUP(K38,'Rack Guide'!$C$1:$E$39,2,FALSE)</f>
        <v>#N/A</v>
      </c>
      <c r="M38" t="e">
        <f>VLOOKUP(K38,Sheet4!$A$3:$X$2306,4,FALSE)</f>
        <v>#N/A</v>
      </c>
    </row>
    <row r="39" spans="1:13" x14ac:dyDescent="0.25">
      <c r="A39" t="s">
        <v>8709</v>
      </c>
      <c r="B39" t="str">
        <f t="shared" si="1"/>
        <v>",d:""}</v>
      </c>
      <c r="C39" t="s">
        <v>8716</v>
      </c>
      <c r="D39">
        <v>39</v>
      </c>
      <c r="E39" t="e">
        <f>VLOOKUP(B39,Sheet4!$A$3:$X$2306,4,FALSE)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47EF0-AC27-4D28-AE01-DAB24EECF964}">
  <dimension ref="A1:E112"/>
  <sheetViews>
    <sheetView topLeftCell="A8" zoomScaleNormal="100" workbookViewId="0">
      <selection activeCell="C61" sqref="C61"/>
    </sheetView>
  </sheetViews>
  <sheetFormatPr defaultRowHeight="15" x14ac:dyDescent="0.25"/>
  <cols>
    <col min="1" max="1" width="10.28515625" bestFit="1" customWidth="1"/>
    <col min="2" max="2" width="15.7109375" bestFit="1" customWidth="1"/>
    <col min="3" max="3" width="21.85546875" bestFit="1" customWidth="1"/>
    <col min="4" max="4" width="33.28515625" bestFit="1" customWidth="1"/>
    <col min="5" max="5" width="31.28515625" bestFit="1" customWidth="1"/>
  </cols>
  <sheetData>
    <row r="1" spans="1:5" x14ac:dyDescent="0.25">
      <c r="A1" t="s">
        <v>2</v>
      </c>
      <c r="B1" t="s">
        <v>3</v>
      </c>
      <c r="C1" t="s">
        <v>4</v>
      </c>
    </row>
    <row r="2" spans="1:5" x14ac:dyDescent="0.25">
      <c r="A2">
        <v>34</v>
      </c>
      <c r="B2" t="s">
        <v>9</v>
      </c>
      <c r="C2" t="s">
        <v>10</v>
      </c>
      <c r="D2" t="e">
        <f>VLOOKUP(C2,Sheet4!$A$3:$X$2306,4,FALSE)</f>
        <v>#N/A</v>
      </c>
      <c r="E2" t="e">
        <f>VLOOKUP(C2,Sheet3!$C$4:$X$900,3,FALSE)</f>
        <v>#N/A</v>
      </c>
    </row>
    <row r="3" spans="1:5" x14ac:dyDescent="0.25">
      <c r="A3">
        <v>33</v>
      </c>
      <c r="B3" t="s">
        <v>7</v>
      </c>
      <c r="C3" t="s">
        <v>58</v>
      </c>
      <c r="D3" t="e">
        <f>VLOOKUP(C3,Sheet4!$A$3:$X$2306,4,FALSE)</f>
        <v>#N/A</v>
      </c>
      <c r="E3" t="e">
        <f>VLOOKUP(C3,Sheet3!$C$4:$X$900,3,FALSE)</f>
        <v>#N/A</v>
      </c>
    </row>
    <row r="4" spans="1:5" x14ac:dyDescent="0.25">
      <c r="A4">
        <v>33</v>
      </c>
      <c r="B4" t="s">
        <v>7</v>
      </c>
      <c r="C4" t="s">
        <v>22</v>
      </c>
      <c r="D4" t="e">
        <f>VLOOKUP(C4,Sheet4!$A$3:$X$2306,4,FALSE)</f>
        <v>#N/A</v>
      </c>
      <c r="E4" t="e">
        <f>VLOOKUP(C4,Sheet3!$C$4:$X$900,3,FALSE)</f>
        <v>#N/A</v>
      </c>
    </row>
    <row r="5" spans="1:5" x14ac:dyDescent="0.25">
      <c r="A5">
        <v>33</v>
      </c>
      <c r="B5" t="s">
        <v>7</v>
      </c>
      <c r="C5" t="s">
        <v>73</v>
      </c>
      <c r="D5" t="e">
        <f>VLOOKUP(C5,Sheet4!$A$3:$X$2306,4,FALSE)</f>
        <v>#N/A</v>
      </c>
      <c r="E5" t="e">
        <f>VLOOKUP(C5,Sheet3!$C$4:$X$900,3,FALSE)</f>
        <v>#N/A</v>
      </c>
    </row>
    <row r="6" spans="1:5" x14ac:dyDescent="0.25">
      <c r="A6">
        <v>33</v>
      </c>
      <c r="B6" t="s">
        <v>7</v>
      </c>
      <c r="C6" t="s">
        <v>119</v>
      </c>
      <c r="D6" t="e">
        <f>VLOOKUP(C6,Sheet4!$A$3:$X$2306,4,FALSE)</f>
        <v>#N/A</v>
      </c>
      <c r="E6" t="e">
        <f>VLOOKUP(C6,Sheet3!$C$4:$X$900,3,FALSE)</f>
        <v>#N/A</v>
      </c>
    </row>
    <row r="7" spans="1:5" x14ac:dyDescent="0.25">
      <c r="A7">
        <v>33</v>
      </c>
      <c r="B7" t="s">
        <v>7</v>
      </c>
      <c r="C7" t="s">
        <v>81</v>
      </c>
      <c r="D7" t="e">
        <f>VLOOKUP(C7,Sheet4!$A$3:$X$2306,4,FALSE)</f>
        <v>#N/A</v>
      </c>
      <c r="E7" t="e">
        <f>VLOOKUP(C7,Sheet3!$C$4:$X$900,3,FALSE)</f>
        <v>#N/A</v>
      </c>
    </row>
    <row r="8" spans="1:5" x14ac:dyDescent="0.25">
      <c r="A8">
        <v>34</v>
      </c>
      <c r="B8" t="s">
        <v>9</v>
      </c>
      <c r="C8" t="s">
        <v>33</v>
      </c>
      <c r="D8" t="str">
        <f>VLOOKUP(C8,Sheet4!$A$3:$X$2306,4,FALSE)</f>
        <v>P703 BLACK PACK VERSION.</v>
      </c>
      <c r="E8" t="str">
        <f>VLOOKUP(C8,Sheet3!$C$4:$X$900,3,FALSE)</f>
        <v xml:space="preserve">P703 BLACK PACK VERSION.      </v>
      </c>
    </row>
    <row r="9" spans="1:5" x14ac:dyDescent="0.25">
      <c r="A9">
        <v>34</v>
      </c>
      <c r="B9" t="s">
        <v>9</v>
      </c>
      <c r="C9" t="s">
        <v>46</v>
      </c>
      <c r="D9" t="str">
        <f>VLOOKUP(C9,Sheet4!$A$3:$X$2306,4,FALSE)</f>
        <v>P703 Hard Top Roll W REINF</v>
      </c>
      <c r="E9" t="str">
        <f>VLOOKUP(C9,Sheet3!$C$4:$X$900,3,FALSE)</f>
        <v xml:space="preserve">P703 Hard Top Roll W REINF    </v>
      </c>
    </row>
    <row r="10" spans="1:5" x14ac:dyDescent="0.25">
      <c r="A10">
        <v>34</v>
      </c>
      <c r="B10" t="s">
        <v>9</v>
      </c>
      <c r="C10" t="s">
        <v>26</v>
      </c>
      <c r="D10" t="str">
        <f>VLOOKUP(C10,Sheet4!$A$3:$X$2306,4,FALSE)</f>
        <v>P703 Soho Ebony W/ Urban Gray</v>
      </c>
      <c r="E10" t="str">
        <f>VLOOKUP(C10,Sheet3!$C$4:$X$900,3,FALSE)</f>
        <v xml:space="preserve">P703 Soho Ebony W/ Urban Gray </v>
      </c>
    </row>
    <row r="11" spans="1:5" x14ac:dyDescent="0.25">
      <c r="A11">
        <v>34</v>
      </c>
      <c r="B11" t="s">
        <v>9</v>
      </c>
      <c r="C11" t="s">
        <v>59</v>
      </c>
      <c r="D11" t="str">
        <f>VLOOKUP(C11,Sheet4!$A$3:$X$2306,4,FALSE)</f>
        <v>P703 Terra Suede Ebony W/ BLK</v>
      </c>
      <c r="E11" t="str">
        <f>VLOOKUP(C11,Sheet3!$C$4:$X$900,3,FALSE)</f>
        <v xml:space="preserve">P703 Terra Suede Ebony W/ BLK </v>
      </c>
    </row>
    <row r="12" spans="1:5" x14ac:dyDescent="0.25">
      <c r="A12">
        <v>34</v>
      </c>
      <c r="B12" t="s">
        <v>9</v>
      </c>
      <c r="C12" t="s">
        <v>52</v>
      </c>
      <c r="D12" t="e">
        <f>VLOOKUP(C12,Sheet4!$A$3:$X$2306,4,FALSE)</f>
        <v>#N/A</v>
      </c>
      <c r="E12" t="e">
        <f>VLOOKUP(C12,Sheet3!$C$4:$X$900,3,FALSE)</f>
        <v>#N/A</v>
      </c>
    </row>
    <row r="13" spans="1:5" x14ac:dyDescent="0.25">
      <c r="A13">
        <v>34</v>
      </c>
      <c r="B13" t="s">
        <v>9</v>
      </c>
      <c r="C13" t="s">
        <v>93</v>
      </c>
      <c r="D13" t="str">
        <f>VLOOKUP(C13,Sheet4!$A$3:$X$2306,4,FALSE)</f>
        <v>P703 BLACK PACK VERSION</v>
      </c>
      <c r="E13" t="str">
        <f>VLOOKUP(C13,Sheet3!$C$4:$X$900,3,FALSE)</f>
        <v xml:space="preserve">P703 BLACK PACK VERSION       </v>
      </c>
    </row>
    <row r="14" spans="1:5" x14ac:dyDescent="0.25">
      <c r="A14">
        <v>34</v>
      </c>
      <c r="B14" t="s">
        <v>9</v>
      </c>
      <c r="C14" t="s">
        <v>111</v>
      </c>
      <c r="D14" t="str">
        <f>VLOOKUP(C14,Sheet4!$A$3:$X$2306,4,FALSE)</f>
        <v>P703 Hard Top Roll W REINF</v>
      </c>
      <c r="E14" t="str">
        <f>VLOOKUP(C14,Sheet3!$C$4:$X$900,3,FALSE)</f>
        <v xml:space="preserve">P703 Hard Top Roll W REINF    </v>
      </c>
    </row>
    <row r="15" spans="1:5" x14ac:dyDescent="0.25">
      <c r="A15">
        <v>34</v>
      </c>
      <c r="B15" t="s">
        <v>9</v>
      </c>
      <c r="C15" t="s">
        <v>74</v>
      </c>
      <c r="D15" t="str">
        <f>VLOOKUP(C15,Sheet4!$A$3:$X$2306,4,FALSE)</f>
        <v>P703 Soho Ebony W/ Urban Gray</v>
      </c>
      <c r="E15" t="str">
        <f>VLOOKUP(C15,Sheet3!$C$4:$X$900,3,FALSE)</f>
        <v xml:space="preserve">P703 Soho Ebony W/ Urban Gray </v>
      </c>
    </row>
    <row r="16" spans="1:5" x14ac:dyDescent="0.25">
      <c r="A16">
        <v>34</v>
      </c>
      <c r="B16" t="s">
        <v>9</v>
      </c>
      <c r="C16" t="s">
        <v>120</v>
      </c>
      <c r="D16" t="str">
        <f>VLOOKUP(C16,Sheet4!$A$3:$X$2306,4,FALSE)</f>
        <v>P703 Terra Suede Ebony W/ BLK</v>
      </c>
      <c r="E16" t="str">
        <f>VLOOKUP(C16,Sheet3!$C$4:$X$900,3,FALSE)</f>
        <v xml:space="preserve">P703 Terra Suede Ebony W/ BLK </v>
      </c>
    </row>
    <row r="17" spans="1:5" x14ac:dyDescent="0.25">
      <c r="A17">
        <v>34</v>
      </c>
      <c r="B17" t="s">
        <v>9</v>
      </c>
      <c r="C17" t="s">
        <v>106</v>
      </c>
      <c r="D17" t="e">
        <f>VLOOKUP(C17,Sheet4!$A$3:$X$2306,4,FALSE)</f>
        <v>#N/A</v>
      </c>
      <c r="E17" t="e">
        <f>VLOOKUP(C17,Sheet3!$C$4:$X$900,3,FALSE)</f>
        <v>#N/A</v>
      </c>
    </row>
    <row r="18" spans="1:5" x14ac:dyDescent="0.25">
      <c r="A18">
        <v>33</v>
      </c>
      <c r="B18" t="s">
        <v>7</v>
      </c>
      <c r="C18" t="s">
        <v>8</v>
      </c>
      <c r="D18" t="e">
        <f>VLOOKUP(C18,Sheet4!$A$3:$X$2306,4,FALSE)</f>
        <v>#N/A</v>
      </c>
      <c r="E18" t="e">
        <f>VLOOKUP(C18,Sheet3!$C$4:$X$900,3,FALSE)</f>
        <v>#N/A</v>
      </c>
    </row>
    <row r="19" spans="1:5" x14ac:dyDescent="0.25">
      <c r="A19">
        <v>33</v>
      </c>
      <c r="B19" t="s">
        <v>7</v>
      </c>
      <c r="C19" t="s">
        <v>140</v>
      </c>
      <c r="D19" t="e">
        <f>VLOOKUP(C19,Sheet4!$A$3:$X$2306,4,FALSE)</f>
        <v>#N/A</v>
      </c>
      <c r="E19" t="e">
        <f>VLOOKUP(C19,Sheet3!$C$4:$X$900,3,FALSE)</f>
        <v>#N/A</v>
      </c>
    </row>
    <row r="20" spans="1:5" x14ac:dyDescent="0.25">
      <c r="A20">
        <v>33</v>
      </c>
      <c r="B20" t="s">
        <v>7</v>
      </c>
      <c r="C20" t="s">
        <v>143</v>
      </c>
      <c r="D20" t="e">
        <f>VLOOKUP(C20,Sheet4!$A$3:$X$2306,4,FALSE)</f>
        <v>#N/A</v>
      </c>
      <c r="E20" t="e">
        <f>VLOOKUP(C20,Sheet3!$C$4:$X$900,3,FALSE)</f>
        <v>#N/A</v>
      </c>
    </row>
    <row r="21" spans="1:5" x14ac:dyDescent="0.25">
      <c r="A21">
        <v>33</v>
      </c>
      <c r="B21" t="s">
        <v>7</v>
      </c>
      <c r="C21" t="s">
        <v>162</v>
      </c>
      <c r="D21" t="e">
        <f>VLOOKUP(C21,Sheet4!$A$3:$X$2306,4,FALSE)</f>
        <v>#N/A</v>
      </c>
      <c r="E21" t="e">
        <f>VLOOKUP(C21,Sheet3!$C$4:$X$900,3,FALSE)</f>
        <v>#N/A</v>
      </c>
    </row>
    <row r="22" spans="1:5" x14ac:dyDescent="0.25">
      <c r="A22">
        <v>33</v>
      </c>
      <c r="B22" t="s">
        <v>7</v>
      </c>
      <c r="C22" t="s">
        <v>182</v>
      </c>
      <c r="D22" t="e">
        <f>VLOOKUP(C22,Sheet4!$A$3:$X$2306,4,FALSE)</f>
        <v>#N/A</v>
      </c>
      <c r="E22" t="e">
        <f>VLOOKUP(C22,Sheet3!$C$4:$X$900,3,FALSE)</f>
        <v>#N/A</v>
      </c>
    </row>
    <row r="23" spans="1:5" x14ac:dyDescent="0.25">
      <c r="A23">
        <v>33</v>
      </c>
      <c r="B23" t="s">
        <v>7</v>
      </c>
      <c r="C23" t="s">
        <v>189</v>
      </c>
      <c r="D23" t="e">
        <f>VLOOKUP(C23,Sheet4!$A$3:$X$2306,4,FALSE)</f>
        <v>#N/A</v>
      </c>
      <c r="E23" t="e">
        <f>VLOOKUP(C23,Sheet3!$C$4:$X$900,3,FALSE)</f>
        <v>#N/A</v>
      </c>
    </row>
    <row r="24" spans="1:5" x14ac:dyDescent="0.25">
      <c r="A24">
        <v>33</v>
      </c>
      <c r="B24" t="s">
        <v>7</v>
      </c>
      <c r="C24" t="s">
        <v>205</v>
      </c>
      <c r="D24" t="e">
        <f>VLOOKUP(C24,Sheet4!$A$3:$X$2306,4,FALSE)</f>
        <v>#N/A</v>
      </c>
      <c r="E24" t="e">
        <f>VLOOKUP(C24,Sheet3!$C$4:$X$900,3,FALSE)</f>
        <v>#N/A</v>
      </c>
    </row>
    <row r="25" spans="1:5" x14ac:dyDescent="0.25">
      <c r="A25">
        <v>33</v>
      </c>
      <c r="B25" t="s">
        <v>7</v>
      </c>
      <c r="C25" t="s">
        <v>185</v>
      </c>
      <c r="D25" t="e">
        <f>VLOOKUP(C25,Sheet4!$A$3:$X$2306,4,FALSE)</f>
        <v>#N/A</v>
      </c>
      <c r="E25" t="e">
        <f>VLOOKUP(C25,Sheet3!$C$4:$X$900,3,FALSE)</f>
        <v>#N/A</v>
      </c>
    </row>
    <row r="26" spans="1:5" x14ac:dyDescent="0.25">
      <c r="A26">
        <v>37</v>
      </c>
      <c r="B26" t="s">
        <v>15</v>
      </c>
      <c r="C26" t="s">
        <v>42</v>
      </c>
      <c r="D26" t="str">
        <f>VLOOKUP(C26,Sheet4!$A$3:$X$2306,4,FALSE)</f>
        <v>P703 RH FRONT IP EXT MIC</v>
      </c>
      <c r="E26" t="str">
        <f>VLOOKUP(C26,Sheet3!$C$4:$X$900,3,FALSE)</f>
        <v xml:space="preserve">P703 RH FRONT IP EXT MIC      </v>
      </c>
    </row>
    <row r="27" spans="1:5" x14ac:dyDescent="0.25">
      <c r="A27">
        <v>37</v>
      </c>
      <c r="B27" t="s">
        <v>15</v>
      </c>
      <c r="C27" t="s">
        <v>102</v>
      </c>
      <c r="D27" t="str">
        <f>VLOOKUP(C27,Sheet4!$A$3:$X$2306,4,FALSE)</f>
        <v>P703 LH FRONT IP EXT MIC W/MEM</v>
      </c>
      <c r="E27" t="str">
        <f>VLOOKUP(C27,Sheet3!$C$4:$X$900,3,FALSE)</f>
        <v>P703 LH FRONT IP EXT MIC W/MEM</v>
      </c>
    </row>
    <row r="28" spans="1:5" x14ac:dyDescent="0.25">
      <c r="A28">
        <v>36</v>
      </c>
      <c r="B28" t="s">
        <v>13</v>
      </c>
      <c r="C28" t="s">
        <v>27</v>
      </c>
      <c r="D28" t="e">
        <f>VLOOKUP(C28,Sheet4!$A$3:$X$2306,4,FALSE)</f>
        <v>#N/A</v>
      </c>
      <c r="E28" t="e">
        <f>VLOOKUP(C28,Sheet3!$C$4:$X$900,3,FALSE)</f>
        <v>#N/A</v>
      </c>
    </row>
    <row r="29" spans="1:5" x14ac:dyDescent="0.25">
      <c r="A29">
        <v>36</v>
      </c>
      <c r="B29" t="s">
        <v>13</v>
      </c>
      <c r="C29" t="s">
        <v>66</v>
      </c>
      <c r="D29" t="e">
        <f>VLOOKUP(C29,Sheet4!$A$3:$X$2306,4,FALSE)</f>
        <v>#N/A</v>
      </c>
      <c r="E29" t="e">
        <f>VLOOKUP(C29,Sheet3!$C$4:$X$900,3,FALSE)</f>
        <v>#N/A</v>
      </c>
    </row>
    <row r="30" spans="1:5" x14ac:dyDescent="0.25">
      <c r="A30">
        <v>36</v>
      </c>
      <c r="B30" t="s">
        <v>13</v>
      </c>
      <c r="C30" t="s">
        <v>87</v>
      </c>
      <c r="D30" t="e">
        <f>VLOOKUP(C30,Sheet4!$A$3:$X$2306,4,FALSE)</f>
        <v>#N/A</v>
      </c>
      <c r="E30" t="e">
        <f>VLOOKUP(C30,Sheet3!$C$4:$X$900,3,FALSE)</f>
        <v>#N/A</v>
      </c>
    </row>
    <row r="31" spans="1:5" x14ac:dyDescent="0.25">
      <c r="A31">
        <v>36</v>
      </c>
      <c r="B31" t="s">
        <v>13</v>
      </c>
      <c r="C31" t="s">
        <v>129</v>
      </c>
      <c r="D31" t="e">
        <f>VLOOKUP(C31,Sheet4!$A$3:$X$2306,4,FALSE)</f>
        <v>#N/A</v>
      </c>
      <c r="E31" t="e">
        <f>VLOOKUP(C31,Sheet3!$C$4:$X$900,3,FALSE)</f>
        <v>#N/A</v>
      </c>
    </row>
    <row r="32" spans="1:5" x14ac:dyDescent="0.25">
      <c r="A32">
        <v>38</v>
      </c>
      <c r="B32" t="s">
        <v>17</v>
      </c>
      <c r="C32" t="s">
        <v>18</v>
      </c>
      <c r="D32" t="str">
        <f>VLOOKUP(C32,Sheet4!$A$3:$X$2306,4,FALSE)</f>
        <v>FRONT DOOR LOCK SWITCH RH</v>
      </c>
      <c r="E32" t="e">
        <f>VLOOKUP(C32,Sheet3!$C$4:$X$900,3,FALSE)</f>
        <v>#N/A</v>
      </c>
    </row>
    <row r="33" spans="1:5" x14ac:dyDescent="0.25">
      <c r="A33">
        <v>38</v>
      </c>
      <c r="B33" t="s">
        <v>17</v>
      </c>
      <c r="C33" t="s">
        <v>108</v>
      </c>
      <c r="D33" t="str">
        <f>VLOOKUP(C33,Sheet4!$A$3:$X$2306,4,FALSE)</f>
        <v>FRONT DOOR LOCK SWITCH LH</v>
      </c>
      <c r="E33" t="e">
        <f>VLOOKUP(C33,Sheet3!$C$4:$X$900,3,FALSE)</f>
        <v>#N/A</v>
      </c>
    </row>
    <row r="34" spans="1:5" x14ac:dyDescent="0.25">
      <c r="A34">
        <v>38</v>
      </c>
      <c r="B34" t="s">
        <v>17</v>
      </c>
      <c r="C34" t="s">
        <v>78</v>
      </c>
      <c r="D34" t="str">
        <f>VLOOKUP(C34,Sheet4!$A$3:$X$2306,4,FALSE)</f>
        <v>FRONT DR LOCK SWITCH W/MEMORY</v>
      </c>
      <c r="E34" t="e">
        <f>VLOOKUP(C34,Sheet3!$C$4:$X$900,3,FALSE)</f>
        <v>#N/A</v>
      </c>
    </row>
    <row r="35" spans="1:5" x14ac:dyDescent="0.25">
      <c r="A35">
        <v>36</v>
      </c>
      <c r="B35" t="s">
        <v>13</v>
      </c>
      <c r="C35" t="s">
        <v>14</v>
      </c>
      <c r="D35" t="e">
        <f>VLOOKUP(C35,Sheet4!$A$3:$X$2306,4,FALSE)</f>
        <v>#N/A</v>
      </c>
      <c r="E35" t="e">
        <f>VLOOKUP(C35,Sheet3!$C$4:$X$900,3,FALSE)</f>
        <v>#N/A</v>
      </c>
    </row>
    <row r="36" spans="1:5" x14ac:dyDescent="0.25">
      <c r="A36">
        <v>36</v>
      </c>
      <c r="B36" t="s">
        <v>13</v>
      </c>
      <c r="C36" t="s">
        <v>61</v>
      </c>
      <c r="D36" t="e">
        <f>VLOOKUP(C36,Sheet4!$A$3:$X$2306,4,FALSE)</f>
        <v>#N/A</v>
      </c>
      <c r="E36" t="e">
        <f>VLOOKUP(C36,Sheet3!$C$4:$X$900,3,FALSE)</f>
        <v>#N/A</v>
      </c>
    </row>
    <row r="37" spans="1:5" x14ac:dyDescent="0.25">
      <c r="A37">
        <v>36</v>
      </c>
      <c r="B37" t="s">
        <v>13</v>
      </c>
      <c r="C37" t="s">
        <v>76</v>
      </c>
      <c r="D37" t="e">
        <f>VLOOKUP(C37,Sheet4!$A$3:$X$2306,4,FALSE)</f>
        <v>#N/A</v>
      </c>
      <c r="E37" t="e">
        <f>VLOOKUP(C37,Sheet3!$C$4:$X$900,3,FALSE)</f>
        <v>#N/A</v>
      </c>
    </row>
    <row r="38" spans="1:5" x14ac:dyDescent="0.25">
      <c r="A38">
        <v>36</v>
      </c>
      <c r="B38" t="s">
        <v>13</v>
      </c>
      <c r="C38" t="s">
        <v>122</v>
      </c>
      <c r="D38" t="e">
        <f>VLOOKUP(C38,Sheet4!$A$3:$X$2306,4,FALSE)</f>
        <v>#N/A</v>
      </c>
      <c r="E38" t="e">
        <f>VLOOKUP(C38,Sheet3!$C$4:$X$900,3,FALSE)</f>
        <v>#N/A</v>
      </c>
    </row>
    <row r="39" spans="1:5" x14ac:dyDescent="0.25">
      <c r="A39">
        <v>35</v>
      </c>
      <c r="B39" t="s">
        <v>11</v>
      </c>
      <c r="C39" t="s">
        <v>60</v>
      </c>
      <c r="D39" t="str">
        <f>VLOOKUP(C39,Sheet4!$A$3:$X$2306,4,FALSE)</f>
        <v>P703 FRONT APPLIQUE RH</v>
      </c>
      <c r="E39" t="e">
        <f>VLOOKUP(C39,Sheet3!$C$4:$X$900,3,FALSE)</f>
        <v>#N/A</v>
      </c>
    </row>
    <row r="40" spans="1:5" x14ac:dyDescent="0.25">
      <c r="A40">
        <v>35</v>
      </c>
      <c r="B40" t="s">
        <v>11</v>
      </c>
      <c r="C40" t="s">
        <v>38</v>
      </c>
      <c r="D40" t="str">
        <f>VLOOKUP(C40,Sheet4!$A$3:$X$2306,4,FALSE)</f>
        <v>P703 RH MAGNALIUM 3659APPLIQUE</v>
      </c>
      <c r="E40" t="e">
        <f>VLOOKUP(C40,Sheet3!$C$4:$X$900,3,FALSE)</f>
        <v>#N/A</v>
      </c>
    </row>
    <row r="41" spans="1:5" x14ac:dyDescent="0.25">
      <c r="A41">
        <v>35</v>
      </c>
      <c r="B41" t="s">
        <v>11</v>
      </c>
      <c r="C41" t="s">
        <v>12</v>
      </c>
      <c r="D41" t="str">
        <f>VLOOKUP(C41,Sheet4!$A$3:$X$2306,4,FALSE)</f>
        <v>P703 FRONT APPLIQUE RH</v>
      </c>
      <c r="E41" t="e">
        <f>VLOOKUP(C41,Sheet3!$C$4:$X$900,3,FALSE)</f>
        <v>#N/A</v>
      </c>
    </row>
    <row r="42" spans="1:5" x14ac:dyDescent="0.25">
      <c r="A42">
        <v>35</v>
      </c>
      <c r="B42" t="s">
        <v>11</v>
      </c>
      <c r="C42" t="s">
        <v>121</v>
      </c>
      <c r="D42" t="str">
        <f>VLOOKUP(C42,Sheet4!$A$3:$X$2306,4,FALSE)</f>
        <v>P703 FRONT APPLIQUE LH</v>
      </c>
      <c r="E42" t="e">
        <f>VLOOKUP(C42,Sheet3!$C$4:$X$900,3,FALSE)</f>
        <v>#N/A</v>
      </c>
    </row>
    <row r="43" spans="1:5" x14ac:dyDescent="0.25">
      <c r="A43">
        <v>35</v>
      </c>
      <c r="B43" t="s">
        <v>11</v>
      </c>
      <c r="C43" t="s">
        <v>98</v>
      </c>
      <c r="D43" t="str">
        <f>VLOOKUP(C43,Sheet4!$A$3:$X$2306,4,FALSE)</f>
        <v>P703 LH MAGNALIUM 3659APPLIQUE</v>
      </c>
      <c r="E43" t="e">
        <f>VLOOKUP(C43,Sheet3!$C$4:$X$900,3,FALSE)</f>
        <v>#N/A</v>
      </c>
    </row>
    <row r="44" spans="1:5" x14ac:dyDescent="0.25">
      <c r="A44">
        <v>35</v>
      </c>
      <c r="B44" t="s">
        <v>11</v>
      </c>
      <c r="C44" t="s">
        <v>75</v>
      </c>
      <c r="D44" t="str">
        <f>VLOOKUP(C44,Sheet4!$A$3:$X$2306,4,FALSE)</f>
        <v>P703 FRONT APPLIQUE LH</v>
      </c>
      <c r="E44" t="e">
        <f>VLOOKUP(C44,Sheet3!$C$4:$X$900,3,FALSE)</f>
        <v>#N/A</v>
      </c>
    </row>
    <row r="45" spans="1:5" x14ac:dyDescent="0.25">
      <c r="A45">
        <v>35</v>
      </c>
      <c r="B45" t="s">
        <v>11</v>
      </c>
      <c r="C45" t="s">
        <v>219</v>
      </c>
      <c r="D45" t="e">
        <f>VLOOKUP(C45,Sheet4!$A$3:$X$2306,4,FALSE)</f>
        <v>#N/A</v>
      </c>
      <c r="E45" t="e">
        <f>VLOOKUP(C45,Sheet3!$C$4:$X$900,3,FALSE)</f>
        <v>#N/A</v>
      </c>
    </row>
    <row r="46" spans="1:5" x14ac:dyDescent="0.25">
      <c r="A46">
        <v>37</v>
      </c>
      <c r="B46" t="s">
        <v>15</v>
      </c>
      <c r="C46" t="s">
        <v>62</v>
      </c>
      <c r="D46" t="str">
        <f>VLOOKUP(C46,Sheet4!$A$3:$X$2306,4,FALSE)</f>
        <v>P703 I/P  EXTENSION 1MY RH</v>
      </c>
      <c r="E46" t="e">
        <f>VLOOKUP(C46,Sheet3!$C$4:$X$900,3,FALSE)</f>
        <v>#N/A</v>
      </c>
    </row>
    <row r="47" spans="1:5" x14ac:dyDescent="0.25">
      <c r="A47">
        <v>37</v>
      </c>
      <c r="B47" t="s">
        <v>15</v>
      </c>
      <c r="C47" t="s">
        <v>16</v>
      </c>
      <c r="D47" t="str">
        <f>VLOOKUP(C47,Sheet4!$A$3:$X$2306,4,FALSE)</f>
        <v>P703 I/P EXTENSION JA6  RH</v>
      </c>
      <c r="E47" t="e">
        <f>VLOOKUP(C47,Sheet3!$C$4:$X$900,3,FALSE)</f>
        <v>#N/A</v>
      </c>
    </row>
    <row r="48" spans="1:5" x14ac:dyDescent="0.25">
      <c r="A48">
        <v>37</v>
      </c>
      <c r="B48" t="s">
        <v>15</v>
      </c>
      <c r="C48" t="s">
        <v>47</v>
      </c>
      <c r="D48" t="e">
        <f>VLOOKUP(C48,Sheet4!$A$3:$X$2306,4,FALSE)</f>
        <v>#N/A</v>
      </c>
      <c r="E48" t="e">
        <f>VLOOKUP(C48,Sheet3!$C$4:$X$900,3,FALSE)</f>
        <v>#N/A</v>
      </c>
    </row>
    <row r="49" spans="1:5" x14ac:dyDescent="0.25">
      <c r="A49">
        <v>39</v>
      </c>
      <c r="B49" t="s">
        <v>19</v>
      </c>
      <c r="C49" t="s">
        <v>48</v>
      </c>
      <c r="D49" t="e">
        <f>VLOOKUP(C49,Sheet4!$A$3:$X$2306,4,FALSE)</f>
        <v>#N/A</v>
      </c>
      <c r="E49" t="e">
        <f>VLOOKUP(C49,Sheet3!$C$4:$X$900,3,FALSE)</f>
        <v>#N/A</v>
      </c>
    </row>
    <row r="50" spans="1:5" x14ac:dyDescent="0.25">
      <c r="A50">
        <v>39</v>
      </c>
      <c r="B50" t="s">
        <v>19</v>
      </c>
      <c r="C50" t="s">
        <v>50</v>
      </c>
      <c r="D50" t="e">
        <f>VLOOKUP(C50,Sheet4!$A$3:$X$2306,4,FALSE)</f>
        <v>#N/A</v>
      </c>
      <c r="E50" t="e">
        <f>VLOOKUP(C50,Sheet3!$C$4:$X$900,3,FALSE)</f>
        <v>#N/A</v>
      </c>
    </row>
    <row r="51" spans="1:5" x14ac:dyDescent="0.25">
      <c r="A51">
        <v>39</v>
      </c>
      <c r="B51" t="s">
        <v>19</v>
      </c>
      <c r="C51" t="s">
        <v>20</v>
      </c>
      <c r="D51" t="e">
        <f>VLOOKUP(C51,Sheet4!$A$3:$X$2306,4,FALSE)</f>
        <v>#N/A</v>
      </c>
      <c r="E51" t="e">
        <f>VLOOKUP(C51,Sheet3!$C$4:$X$900,3,FALSE)</f>
        <v>#N/A</v>
      </c>
    </row>
    <row r="52" spans="1:5" x14ac:dyDescent="0.25">
      <c r="A52">
        <v>39</v>
      </c>
      <c r="B52" t="s">
        <v>19</v>
      </c>
      <c r="C52" t="s">
        <v>28</v>
      </c>
      <c r="D52" t="e">
        <f>VLOOKUP(C52,Sheet4!$A$3:$X$2306,4,FALSE)</f>
        <v>#N/A</v>
      </c>
      <c r="E52" t="e">
        <f>VLOOKUP(C52,Sheet3!$C$4:$X$900,3,FALSE)</f>
        <v>#N/A</v>
      </c>
    </row>
    <row r="53" spans="1:5" x14ac:dyDescent="0.25">
      <c r="A53">
        <v>39</v>
      </c>
      <c r="B53" t="s">
        <v>19</v>
      </c>
      <c r="C53" t="s">
        <v>23</v>
      </c>
      <c r="D53" t="e">
        <f>VLOOKUP(C53,Sheet4!$A$3:$X$2306,4,FALSE)</f>
        <v>#N/A</v>
      </c>
      <c r="E53" t="e">
        <f>VLOOKUP(C53,Sheet3!$C$4:$X$900,3,FALSE)</f>
        <v>#N/A</v>
      </c>
    </row>
    <row r="54" spans="1:5" x14ac:dyDescent="0.25">
      <c r="A54">
        <v>39</v>
      </c>
      <c r="B54" t="s">
        <v>19</v>
      </c>
      <c r="C54" t="s">
        <v>31</v>
      </c>
      <c r="D54" t="e">
        <f>VLOOKUP(C54,Sheet4!$A$3:$X$2306,4,FALSE)</f>
        <v>#N/A</v>
      </c>
      <c r="E54" t="e">
        <f>VLOOKUP(C54,Sheet3!$C$4:$X$900,3,FALSE)</f>
        <v>#N/A</v>
      </c>
    </row>
    <row r="55" spans="1:5" x14ac:dyDescent="0.25">
      <c r="A55">
        <v>39</v>
      </c>
      <c r="B55" t="s">
        <v>19</v>
      </c>
      <c r="C55" t="s">
        <v>63</v>
      </c>
      <c r="D55" t="e">
        <f>VLOOKUP(C55,Sheet4!$A$3:$X$2306,4,FALSE)</f>
        <v>#N/A</v>
      </c>
      <c r="E55" t="e">
        <f>VLOOKUP(C55,Sheet3!$C$4:$X$900,3,FALSE)</f>
        <v>#N/A</v>
      </c>
    </row>
    <row r="56" spans="1:5" x14ac:dyDescent="0.25">
      <c r="A56">
        <v>39</v>
      </c>
      <c r="B56" t="s">
        <v>19</v>
      </c>
      <c r="C56" t="s">
        <v>67</v>
      </c>
      <c r="D56" t="e">
        <f>VLOOKUP(C56,Sheet4!$A$3:$X$2306,4,FALSE)</f>
        <v>#N/A</v>
      </c>
      <c r="E56" t="e">
        <f>VLOOKUP(C56,Sheet3!$C$4:$X$900,3,FALSE)</f>
        <v>#N/A</v>
      </c>
    </row>
    <row r="57" spans="1:5" x14ac:dyDescent="0.25">
      <c r="A57">
        <v>39</v>
      </c>
      <c r="B57" t="s">
        <v>19</v>
      </c>
      <c r="C57" t="s">
        <v>34</v>
      </c>
      <c r="D57" t="e">
        <f>VLOOKUP(C57,Sheet4!$A$3:$X$2306,4,FALSE)</f>
        <v>#N/A</v>
      </c>
      <c r="E57" t="e">
        <f>VLOOKUP(C57,Sheet3!$C$4:$X$900,3,FALSE)</f>
        <v>#N/A</v>
      </c>
    </row>
    <row r="58" spans="1:5" x14ac:dyDescent="0.25">
      <c r="A58">
        <v>39</v>
      </c>
      <c r="B58" t="s">
        <v>19</v>
      </c>
      <c r="C58" t="s">
        <v>225</v>
      </c>
      <c r="D58" t="str">
        <f>VLOOKUP(C58,Sheet4!$A$3:$X$2306,4,FALSE)</f>
        <v>P703 FRT DR RH SPACE GREY W/S</v>
      </c>
      <c r="E58" t="e">
        <f>VLOOKUP(C58,Sheet3!$C$4:$X$900,3,FALSE)</f>
        <v>#N/A</v>
      </c>
    </row>
    <row r="59" spans="1:5" x14ac:dyDescent="0.25">
      <c r="A59">
        <v>39</v>
      </c>
      <c r="B59" t="s">
        <v>19</v>
      </c>
      <c r="C59" t="s">
        <v>223</v>
      </c>
      <c r="D59" t="str">
        <f>VLOOKUP(C59,Sheet4!$A$3:$X$2306,4,FALSE)</f>
        <v>P703 FRT DR RH DARK SPACE GREY</v>
      </c>
      <c r="E59" t="e">
        <f>VLOOKUP(C59,Sheet3!$C$4:$X$900,3,FALSE)</f>
        <v>#N/A</v>
      </c>
    </row>
    <row r="60" spans="1:5" x14ac:dyDescent="0.25">
      <c r="A60">
        <v>39</v>
      </c>
      <c r="B60" t="s">
        <v>19</v>
      </c>
      <c r="C60" t="s">
        <v>227</v>
      </c>
      <c r="D60" t="str">
        <f>VLOOKUP(C60,Sheet4!$A$3:$X$2306,4,FALSE)</f>
        <v>P703 FRT DR RH ELECTRIC SPICE</v>
      </c>
      <c r="E60" t="e">
        <f>VLOOKUP(C60,Sheet3!$C$4:$X$900,3,FALSE)</f>
        <v>#N/A</v>
      </c>
    </row>
    <row r="61" spans="1:5" x14ac:dyDescent="0.25">
      <c r="A61">
        <v>33</v>
      </c>
      <c r="B61" t="s">
        <v>7</v>
      </c>
      <c r="C61" t="s">
        <v>25</v>
      </c>
      <c r="D61" t="str">
        <f>VLOOKUP(C61,Sheet4!$A$3:$X$2306,4,FALSE)</f>
        <v>INSERT RH EBONY SOHO</v>
      </c>
      <c r="E61" t="e">
        <f>VLOOKUP(C61,Sheet3!$C$4:$X$900,3,FALSE)</f>
        <v>#N/A</v>
      </c>
    </row>
    <row r="62" spans="1:5" x14ac:dyDescent="0.25">
      <c r="A62">
        <v>33</v>
      </c>
      <c r="B62" t="s">
        <v>7</v>
      </c>
      <c r="C62" t="s">
        <v>30</v>
      </c>
      <c r="D62" t="str">
        <f>VLOOKUP(C62,Sheet4!$A$3:$X$2306,4,FALSE)</f>
        <v>INSERT RH SAND SOHO</v>
      </c>
      <c r="E62" t="e">
        <f>VLOOKUP(C62,Sheet3!$C$4:$X$900,3,FALSE)</f>
        <v>#N/A</v>
      </c>
    </row>
    <row r="63" spans="1:5" x14ac:dyDescent="0.25">
      <c r="A63">
        <v>33</v>
      </c>
      <c r="B63" t="s">
        <v>7</v>
      </c>
      <c r="C63" t="s">
        <v>65</v>
      </c>
      <c r="D63" t="str">
        <f>VLOOKUP(C63,Sheet4!$A$3:$X$2306,4,FALSE)</f>
        <v>INSERT RH EBONY SUPER SMOOTH</v>
      </c>
      <c r="E63" t="e">
        <f>VLOOKUP(C63,Sheet3!$C$4:$X$900,3,FALSE)</f>
        <v>#N/A</v>
      </c>
    </row>
    <row r="64" spans="1:5" x14ac:dyDescent="0.25">
      <c r="A64">
        <v>35</v>
      </c>
      <c r="B64" t="s">
        <v>11</v>
      </c>
      <c r="C64" t="s">
        <v>221</v>
      </c>
      <c r="D64" t="e">
        <f>VLOOKUP(C64,Sheet4!$A$3:$X$2306,4,FALSE)</f>
        <v>#N/A</v>
      </c>
      <c r="E64" t="e">
        <f>VLOOKUP(C64,Sheet3!$C$4:$X$900,3,FALSE)</f>
        <v>#N/A</v>
      </c>
    </row>
    <row r="65" spans="1:5" x14ac:dyDescent="0.25">
      <c r="A65">
        <v>37</v>
      </c>
      <c r="B65" t="s">
        <v>15</v>
      </c>
      <c r="C65" t="s">
        <v>123</v>
      </c>
      <c r="D65" t="e">
        <f>VLOOKUP(C65,Sheet4!$A$3:$X$2306,4,FALSE)</f>
        <v>#N/A</v>
      </c>
      <c r="E65" t="e">
        <f>VLOOKUP(C65,Sheet3!$C$4:$X$900,3,FALSE)</f>
        <v>#N/A</v>
      </c>
    </row>
    <row r="66" spans="1:5" x14ac:dyDescent="0.25">
      <c r="A66">
        <v>37</v>
      </c>
      <c r="B66" t="s">
        <v>15</v>
      </c>
      <c r="C66" t="s">
        <v>77</v>
      </c>
      <c r="D66" t="e">
        <f>VLOOKUP(C66,Sheet4!$A$3:$X$2306,4,FALSE)</f>
        <v>#N/A</v>
      </c>
      <c r="E66" t="e">
        <f>VLOOKUP(C66,Sheet3!$C$4:$X$900,3,FALSE)</f>
        <v>#N/A</v>
      </c>
    </row>
    <row r="67" spans="1:5" x14ac:dyDescent="0.25">
      <c r="A67">
        <v>37</v>
      </c>
      <c r="B67" t="s">
        <v>15</v>
      </c>
      <c r="C67" t="s">
        <v>107</v>
      </c>
      <c r="D67" t="e">
        <f>VLOOKUP(C67,Sheet4!$A$3:$X$2306,4,FALSE)</f>
        <v>#N/A</v>
      </c>
      <c r="E67" t="e">
        <f>VLOOKUP(C67,Sheet3!$C$4:$X$900,3,FALSE)</f>
        <v>#N/A</v>
      </c>
    </row>
    <row r="68" spans="1:5" x14ac:dyDescent="0.25">
      <c r="A68">
        <v>39</v>
      </c>
      <c r="B68" t="s">
        <v>19</v>
      </c>
      <c r="C68" t="s">
        <v>109</v>
      </c>
      <c r="D68" t="e">
        <f>VLOOKUP(C68,Sheet4!$A$3:$X$2306,4,FALSE)</f>
        <v>#N/A</v>
      </c>
      <c r="E68" t="e">
        <f>VLOOKUP(C68,Sheet3!$C$4:$X$900,3,FALSE)</f>
        <v>#N/A</v>
      </c>
    </row>
    <row r="69" spans="1:5" x14ac:dyDescent="0.25">
      <c r="A69">
        <v>39</v>
      </c>
      <c r="B69" t="s">
        <v>19</v>
      </c>
      <c r="C69" t="s">
        <v>112</v>
      </c>
      <c r="D69" t="e">
        <f>VLOOKUP(C69,Sheet4!$A$3:$X$2306,4,FALSE)</f>
        <v>#N/A</v>
      </c>
      <c r="E69" t="e">
        <f>VLOOKUP(C69,Sheet3!$C$4:$X$900,3,FALSE)</f>
        <v>#N/A</v>
      </c>
    </row>
    <row r="70" spans="1:5" x14ac:dyDescent="0.25">
      <c r="A70">
        <v>39</v>
      </c>
      <c r="B70" t="s">
        <v>19</v>
      </c>
      <c r="C70" t="s">
        <v>79</v>
      </c>
      <c r="D70" t="e">
        <f>VLOOKUP(C70,Sheet4!$A$3:$X$2306,4,FALSE)</f>
        <v>#N/A</v>
      </c>
      <c r="E70" t="e">
        <f>VLOOKUP(C70,Sheet3!$C$4:$X$900,3,FALSE)</f>
        <v>#N/A</v>
      </c>
    </row>
    <row r="71" spans="1:5" x14ac:dyDescent="0.25">
      <c r="A71">
        <v>39</v>
      </c>
      <c r="B71" t="s">
        <v>19</v>
      </c>
      <c r="C71" t="s">
        <v>88</v>
      </c>
      <c r="D71" t="str">
        <f>VLOOKUP(C71,Sheet4!$A$3:$X$2306,4,FALSE)</f>
        <v>P703 FRT DR LH W/STITCH</v>
      </c>
      <c r="E71" t="e">
        <f>VLOOKUP(C71,Sheet3!$C$4:$X$900,3,FALSE)</f>
        <v>#N/A</v>
      </c>
    </row>
    <row r="72" spans="1:5" x14ac:dyDescent="0.25">
      <c r="A72">
        <v>39</v>
      </c>
      <c r="B72" t="s">
        <v>19</v>
      </c>
      <c r="C72" t="s">
        <v>82</v>
      </c>
      <c r="D72" t="e">
        <f>VLOOKUP(C72,Sheet4!$A$3:$X$2306,4,FALSE)</f>
        <v>#N/A</v>
      </c>
      <c r="E72" t="e">
        <f>VLOOKUP(C72,Sheet3!$C$4:$X$900,3,FALSE)</f>
        <v>#N/A</v>
      </c>
    </row>
    <row r="73" spans="1:5" x14ac:dyDescent="0.25">
      <c r="A73">
        <v>39</v>
      </c>
      <c r="B73" t="s">
        <v>19</v>
      </c>
      <c r="C73" t="s">
        <v>91</v>
      </c>
      <c r="D73" t="e">
        <f>VLOOKUP(C73,Sheet4!$A$3:$X$2306,4,FALSE)</f>
        <v>#N/A</v>
      </c>
      <c r="E73" t="e">
        <f>VLOOKUP(C73,Sheet3!$C$4:$X$900,3,FALSE)</f>
        <v>#N/A</v>
      </c>
    </row>
    <row r="74" spans="1:5" x14ac:dyDescent="0.25">
      <c r="A74">
        <v>39</v>
      </c>
      <c r="B74" t="s">
        <v>19</v>
      </c>
      <c r="C74" t="s">
        <v>124</v>
      </c>
      <c r="D74" t="e">
        <f>VLOOKUP(C74,Sheet4!$A$3:$X$2306,4,FALSE)</f>
        <v>#N/A</v>
      </c>
      <c r="E74" t="e">
        <f>VLOOKUP(C74,Sheet3!$C$4:$X$900,3,FALSE)</f>
        <v>#N/A</v>
      </c>
    </row>
    <row r="75" spans="1:5" x14ac:dyDescent="0.25">
      <c r="A75">
        <v>39</v>
      </c>
      <c r="B75" t="s">
        <v>19</v>
      </c>
      <c r="C75" t="s">
        <v>127</v>
      </c>
      <c r="D75" t="e">
        <f>VLOOKUP(C75,Sheet4!$A$3:$X$2306,4,FALSE)</f>
        <v>#N/A</v>
      </c>
      <c r="E75" t="e">
        <f>VLOOKUP(C75,Sheet3!$C$4:$X$900,3,FALSE)</f>
        <v>#N/A</v>
      </c>
    </row>
    <row r="76" spans="1:5" x14ac:dyDescent="0.25">
      <c r="A76">
        <v>39</v>
      </c>
      <c r="B76" t="s">
        <v>19</v>
      </c>
      <c r="C76" t="s">
        <v>94</v>
      </c>
      <c r="D76" t="e">
        <f>VLOOKUP(C76,Sheet4!$A$3:$X$2306,4,FALSE)</f>
        <v>#N/A</v>
      </c>
      <c r="E76" t="e">
        <f>VLOOKUP(C76,Sheet3!$C$4:$X$900,3,FALSE)</f>
        <v>#N/A</v>
      </c>
    </row>
    <row r="77" spans="1:5" x14ac:dyDescent="0.25">
      <c r="A77">
        <v>39</v>
      </c>
      <c r="B77" t="s">
        <v>19</v>
      </c>
      <c r="C77" t="s">
        <v>231</v>
      </c>
      <c r="D77" t="str">
        <f>VLOOKUP(C77,Sheet4!$A$3:$X$2306,4,FALSE)</f>
        <v>P703 FRT DR LH SPACE GREY W/S</v>
      </c>
      <c r="E77" t="e">
        <f>VLOOKUP(C77,Sheet3!$C$4:$X$900,3,FALSE)</f>
        <v>#N/A</v>
      </c>
    </row>
    <row r="78" spans="1:5" x14ac:dyDescent="0.25">
      <c r="A78">
        <v>39</v>
      </c>
      <c r="B78" t="s">
        <v>19</v>
      </c>
      <c r="C78" t="s">
        <v>229</v>
      </c>
      <c r="D78" t="str">
        <f>VLOOKUP(C78,Sheet4!$A$3:$X$2306,4,FALSE)</f>
        <v>P703 FRT DR LH DARK SPACE GREY</v>
      </c>
      <c r="E78" t="e">
        <f>VLOOKUP(C78,Sheet3!$C$4:$X$900,3,FALSE)</f>
        <v>#N/A</v>
      </c>
    </row>
    <row r="79" spans="1:5" x14ac:dyDescent="0.25">
      <c r="A79">
        <v>39</v>
      </c>
      <c r="B79" t="s">
        <v>19</v>
      </c>
      <c r="C79" t="s">
        <v>233</v>
      </c>
      <c r="D79" t="str">
        <f>VLOOKUP(C79,Sheet4!$A$3:$X$2306,4,FALSE)</f>
        <v>P703 FRT DR LH ELECTRIC SPICE</v>
      </c>
      <c r="E79" t="e">
        <f>VLOOKUP(C79,Sheet3!$C$4:$X$900,3,FALSE)</f>
        <v>#N/A</v>
      </c>
    </row>
    <row r="80" spans="1:5" x14ac:dyDescent="0.25">
      <c r="A80">
        <v>33</v>
      </c>
      <c r="B80" t="s">
        <v>7</v>
      </c>
      <c r="C80" t="s">
        <v>86</v>
      </c>
      <c r="D80" t="str">
        <f>VLOOKUP(C80,Sheet4!$A$3:$X$2306,4,FALSE)</f>
        <v>P703 INSERT LH ENONY SOHO</v>
      </c>
      <c r="E80" t="e">
        <f>VLOOKUP(C80,Sheet3!$C$4:$X$900,3,FALSE)</f>
        <v>#N/A</v>
      </c>
    </row>
    <row r="81" spans="1:5" x14ac:dyDescent="0.25">
      <c r="A81">
        <v>33</v>
      </c>
      <c r="B81" t="s">
        <v>7</v>
      </c>
      <c r="C81" t="s">
        <v>90</v>
      </c>
      <c r="D81" t="str">
        <f>VLOOKUP(C81,Sheet4!$A$3:$X$2306,4,FALSE)</f>
        <v>INSERT LH SAND SOHO</v>
      </c>
      <c r="E81" t="e">
        <f>VLOOKUP(C81,Sheet3!$C$4:$X$900,3,FALSE)</f>
        <v>#N/A</v>
      </c>
    </row>
    <row r="82" spans="1:5" x14ac:dyDescent="0.25">
      <c r="A82">
        <v>33</v>
      </c>
      <c r="B82" t="s">
        <v>7</v>
      </c>
      <c r="C82" t="s">
        <v>128</v>
      </c>
      <c r="D82" t="str">
        <f>VLOOKUP(C82,Sheet4!$A$3:$X$2306,4,FALSE)</f>
        <v>INSERT LH EBONY SUPER SMOOTH</v>
      </c>
      <c r="E82" t="e">
        <f>VLOOKUP(C82,Sheet3!$C$4:$X$900,3,FALSE)</f>
        <v>#N/A</v>
      </c>
    </row>
    <row r="83" spans="1:5" x14ac:dyDescent="0.25">
      <c r="A83">
        <v>39</v>
      </c>
      <c r="B83" t="s">
        <v>19</v>
      </c>
      <c r="C83" t="s">
        <v>135</v>
      </c>
      <c r="D83" t="e">
        <f>VLOOKUP(C83,Sheet4!$A$3:$X$2306,4,FALSE)</f>
        <v>#N/A</v>
      </c>
      <c r="E83" t="e">
        <f>VLOOKUP(C83,Sheet3!$C$4:$X$900,3,FALSE)</f>
        <v>#N/A</v>
      </c>
    </row>
    <row r="84" spans="1:5" x14ac:dyDescent="0.25">
      <c r="A84">
        <v>39</v>
      </c>
      <c r="B84" t="s">
        <v>19</v>
      </c>
      <c r="C84" t="s">
        <v>138</v>
      </c>
      <c r="D84" t="e">
        <f>VLOOKUP(C84,Sheet4!$A$3:$X$2306,4,FALSE)</f>
        <v>#N/A</v>
      </c>
      <c r="E84" t="e">
        <f>VLOOKUP(C84,Sheet3!$C$4:$X$900,3,FALSE)</f>
        <v>#N/A</v>
      </c>
    </row>
    <row r="85" spans="1:5" x14ac:dyDescent="0.25">
      <c r="A85">
        <v>39</v>
      </c>
      <c r="B85" t="s">
        <v>19</v>
      </c>
      <c r="C85" t="s">
        <v>141</v>
      </c>
      <c r="D85" t="e">
        <f>VLOOKUP(C85,Sheet4!$A$3:$X$2306,4,FALSE)</f>
        <v>#N/A</v>
      </c>
      <c r="E85" t="e">
        <f>VLOOKUP(C85,Sheet3!$C$4:$X$900,3,FALSE)</f>
        <v>#N/A</v>
      </c>
    </row>
    <row r="86" spans="1:5" x14ac:dyDescent="0.25">
      <c r="A86">
        <v>39</v>
      </c>
      <c r="B86" t="s">
        <v>19</v>
      </c>
      <c r="C86" t="s">
        <v>151</v>
      </c>
      <c r="D86" t="e">
        <f>VLOOKUP(C86,Sheet4!$A$3:$X$2306,4,FALSE)</f>
        <v>#N/A</v>
      </c>
      <c r="E86" t="e">
        <f>VLOOKUP(C86,Sheet3!$C$4:$X$900,3,FALSE)</f>
        <v>#N/A</v>
      </c>
    </row>
    <row r="87" spans="1:5" x14ac:dyDescent="0.25">
      <c r="A87">
        <v>39</v>
      </c>
      <c r="B87" t="s">
        <v>19</v>
      </c>
      <c r="C87" t="s">
        <v>144</v>
      </c>
      <c r="D87" t="e">
        <f>VLOOKUP(C87,Sheet4!$A$3:$X$2306,4,FALSE)</f>
        <v>#N/A</v>
      </c>
      <c r="E87" t="e">
        <f>VLOOKUP(C87,Sheet3!$C$4:$X$900,3,FALSE)</f>
        <v>#N/A</v>
      </c>
    </row>
    <row r="88" spans="1:5" x14ac:dyDescent="0.25">
      <c r="A88">
        <v>39</v>
      </c>
      <c r="B88" t="s">
        <v>19</v>
      </c>
      <c r="C88" t="s">
        <v>154</v>
      </c>
      <c r="D88" t="e">
        <f>VLOOKUP(C88,Sheet4!$A$3:$X$2306,4,FALSE)</f>
        <v>#N/A</v>
      </c>
      <c r="E88" t="e">
        <f>VLOOKUP(C88,Sheet3!$C$4:$X$900,3,FALSE)</f>
        <v>#N/A</v>
      </c>
    </row>
    <row r="89" spans="1:5" x14ac:dyDescent="0.25">
      <c r="A89">
        <v>39</v>
      </c>
      <c r="B89" t="s">
        <v>19</v>
      </c>
      <c r="C89" t="s">
        <v>163</v>
      </c>
      <c r="D89" t="e">
        <f>VLOOKUP(C89,Sheet4!$A$3:$X$2306,4,FALSE)</f>
        <v>#N/A</v>
      </c>
      <c r="E89" t="e">
        <f>VLOOKUP(C89,Sheet3!$C$4:$X$900,3,FALSE)</f>
        <v>#N/A</v>
      </c>
    </row>
    <row r="90" spans="1:5" x14ac:dyDescent="0.25">
      <c r="A90">
        <v>39</v>
      </c>
      <c r="B90" t="s">
        <v>19</v>
      </c>
      <c r="C90" t="s">
        <v>167</v>
      </c>
      <c r="D90" t="e">
        <f>VLOOKUP(C90,Sheet4!$A$3:$X$2306,4,FALSE)</f>
        <v>#N/A</v>
      </c>
      <c r="E90" t="e">
        <f>VLOOKUP(C90,Sheet3!$C$4:$X$900,3,FALSE)</f>
        <v>#N/A</v>
      </c>
    </row>
    <row r="91" spans="1:5" x14ac:dyDescent="0.25">
      <c r="A91">
        <v>39</v>
      </c>
      <c r="B91" t="s">
        <v>19</v>
      </c>
      <c r="C91" t="s">
        <v>149</v>
      </c>
      <c r="D91" t="e">
        <f>VLOOKUP(C91,Sheet4!$A$3:$X$2306,4,FALSE)</f>
        <v>#N/A</v>
      </c>
      <c r="E91" t="e">
        <f>VLOOKUP(C91,Sheet3!$C$4:$X$900,3,FALSE)</f>
        <v>#N/A</v>
      </c>
    </row>
    <row r="92" spans="1:5" x14ac:dyDescent="0.25">
      <c r="A92">
        <v>39</v>
      </c>
      <c r="B92" t="s">
        <v>19</v>
      </c>
      <c r="C92" t="s">
        <v>237</v>
      </c>
      <c r="D92" t="str">
        <f>VLOOKUP(C92,Sheet4!$A$3:$X$2306,4,FALSE)</f>
        <v>P703 RR DR RH SPACE GREY W/S</v>
      </c>
      <c r="E92" t="e">
        <f>VLOOKUP(C92,Sheet3!$C$4:$X$900,3,FALSE)</f>
        <v>#N/A</v>
      </c>
    </row>
    <row r="93" spans="1:5" x14ac:dyDescent="0.25">
      <c r="A93">
        <v>39</v>
      </c>
      <c r="B93" t="s">
        <v>19</v>
      </c>
      <c r="C93" t="s">
        <v>235</v>
      </c>
      <c r="D93" t="str">
        <f>VLOOKUP(C93,Sheet4!$A$3:$X$2306,4,FALSE)</f>
        <v>P703 RR DR RH DARK SPACE GREY</v>
      </c>
      <c r="E93" t="e">
        <f>VLOOKUP(C93,Sheet3!$C$4:$X$900,3,FALSE)</f>
        <v>#N/A</v>
      </c>
    </row>
    <row r="94" spans="1:5" x14ac:dyDescent="0.25">
      <c r="A94">
        <v>39</v>
      </c>
      <c r="B94" t="s">
        <v>19</v>
      </c>
      <c r="C94" t="s">
        <v>239</v>
      </c>
      <c r="D94" t="str">
        <f>VLOOKUP(C94,Sheet4!$A$3:$X$2306,4,FALSE)</f>
        <v>P703 RR DR RH ELECTRIC SPICE</v>
      </c>
      <c r="E94" t="e">
        <f>VLOOKUP(C94,Sheet3!$C$4:$X$900,3,FALSE)</f>
        <v>#N/A</v>
      </c>
    </row>
    <row r="95" spans="1:5" x14ac:dyDescent="0.25">
      <c r="A95">
        <v>33</v>
      </c>
      <c r="B95" t="s">
        <v>7</v>
      </c>
      <c r="C95" t="s">
        <v>148</v>
      </c>
      <c r="D95" t="str">
        <f>VLOOKUP(C95,Sheet4!$A$3:$X$2306,4,FALSE)</f>
        <v>P703 INSERT RH EBONY SOHO</v>
      </c>
      <c r="E95" t="e">
        <f>VLOOKUP(C95,Sheet3!$C$4:$X$900,3,FALSE)</f>
        <v>#N/A</v>
      </c>
    </row>
    <row r="96" spans="1:5" x14ac:dyDescent="0.25">
      <c r="A96">
        <v>33</v>
      </c>
      <c r="B96" t="s">
        <v>7</v>
      </c>
      <c r="C96" t="s">
        <v>153</v>
      </c>
      <c r="D96" t="str">
        <f>VLOOKUP(C96,Sheet4!$A$3:$X$2306,4,FALSE)</f>
        <v>P703 INSERT RH SAND STONE</v>
      </c>
      <c r="E96" t="e">
        <f>VLOOKUP(C96,Sheet3!$C$4:$X$900,3,FALSE)</f>
        <v>#N/A</v>
      </c>
    </row>
    <row r="97" spans="1:5" x14ac:dyDescent="0.25">
      <c r="A97">
        <v>33</v>
      </c>
      <c r="B97" t="s">
        <v>7</v>
      </c>
      <c r="C97" t="s">
        <v>166</v>
      </c>
      <c r="D97" t="str">
        <f>VLOOKUP(C97,Sheet4!$A$3:$X$2306,4,FALSE)</f>
        <v>P703 INSERT RH EBONY S.SMOOTH</v>
      </c>
      <c r="E97" t="e">
        <f>VLOOKUP(C97,Sheet3!$C$4:$X$900,3,FALSE)</f>
        <v>#N/A</v>
      </c>
    </row>
    <row r="98" spans="1:5" x14ac:dyDescent="0.25">
      <c r="A98">
        <v>39</v>
      </c>
      <c r="B98" t="s">
        <v>19</v>
      </c>
      <c r="C98" t="s">
        <v>177</v>
      </c>
      <c r="D98" t="e">
        <f>VLOOKUP(C98,Sheet4!$A$3:$X$2306,4,FALSE)</f>
        <v>#N/A</v>
      </c>
      <c r="E98" t="e">
        <f>VLOOKUP(C98,Sheet3!$C$4:$X$900,3,FALSE)</f>
        <v>#N/A</v>
      </c>
    </row>
    <row r="99" spans="1:5" x14ac:dyDescent="0.25">
      <c r="A99">
        <v>39</v>
      </c>
      <c r="B99" t="s">
        <v>19</v>
      </c>
      <c r="C99" t="s">
        <v>180</v>
      </c>
      <c r="D99" t="e">
        <f>VLOOKUP(C99,Sheet4!$A$3:$X$2306,4,FALSE)</f>
        <v>#N/A</v>
      </c>
      <c r="E99" t="e">
        <f>VLOOKUP(C99,Sheet3!$C$4:$X$900,3,FALSE)</f>
        <v>#N/A</v>
      </c>
    </row>
    <row r="100" spans="1:5" x14ac:dyDescent="0.25">
      <c r="A100">
        <v>39</v>
      </c>
      <c r="B100" t="s">
        <v>19</v>
      </c>
      <c r="C100" t="s">
        <v>183</v>
      </c>
      <c r="D100" t="e">
        <f>VLOOKUP(C100,Sheet4!$A$3:$X$2306,4,FALSE)</f>
        <v>#N/A</v>
      </c>
      <c r="E100" t="e">
        <f>VLOOKUP(C100,Sheet3!$C$4:$X$900,3,FALSE)</f>
        <v>#N/A</v>
      </c>
    </row>
    <row r="101" spans="1:5" x14ac:dyDescent="0.25">
      <c r="A101">
        <v>39</v>
      </c>
      <c r="B101" t="s">
        <v>19</v>
      </c>
      <c r="C101" t="s">
        <v>194</v>
      </c>
      <c r="D101" t="e">
        <f>VLOOKUP(C101,Sheet4!$A$3:$X$2306,4,FALSE)</f>
        <v>#N/A</v>
      </c>
      <c r="E101" t="e">
        <f>VLOOKUP(C101,Sheet3!$C$4:$X$900,3,FALSE)</f>
        <v>#N/A</v>
      </c>
    </row>
    <row r="102" spans="1:5" x14ac:dyDescent="0.25">
      <c r="A102">
        <v>39</v>
      </c>
      <c r="B102" t="s">
        <v>19</v>
      </c>
      <c r="C102" t="s">
        <v>186</v>
      </c>
      <c r="D102" t="e">
        <f>VLOOKUP(C102,Sheet4!$A$3:$X$2306,4,FALSE)</f>
        <v>#N/A</v>
      </c>
      <c r="E102" t="e">
        <f>VLOOKUP(C102,Sheet3!$C$4:$X$900,3,FALSE)</f>
        <v>#N/A</v>
      </c>
    </row>
    <row r="103" spans="1:5" x14ac:dyDescent="0.25">
      <c r="A103">
        <v>39</v>
      </c>
      <c r="B103" t="s">
        <v>19</v>
      </c>
      <c r="C103" t="s">
        <v>197</v>
      </c>
      <c r="D103" t="e">
        <f>VLOOKUP(C103,Sheet4!$A$3:$X$2306,4,FALSE)</f>
        <v>#N/A</v>
      </c>
      <c r="E103" t="e">
        <f>VLOOKUP(C103,Sheet3!$C$4:$X$900,3,FALSE)</f>
        <v>#N/A</v>
      </c>
    </row>
    <row r="104" spans="1:5" x14ac:dyDescent="0.25">
      <c r="A104">
        <v>39</v>
      </c>
      <c r="B104" t="s">
        <v>19</v>
      </c>
      <c r="C104" t="s">
        <v>206</v>
      </c>
      <c r="D104" t="e">
        <f>VLOOKUP(C104,Sheet4!$A$3:$X$2306,4,FALSE)</f>
        <v>#N/A</v>
      </c>
      <c r="E104" t="e">
        <f>VLOOKUP(C104,Sheet3!$C$4:$X$900,3,FALSE)</f>
        <v>#N/A</v>
      </c>
    </row>
    <row r="105" spans="1:5" x14ac:dyDescent="0.25">
      <c r="A105">
        <v>39</v>
      </c>
      <c r="B105" t="s">
        <v>19</v>
      </c>
      <c r="C105" t="s">
        <v>210</v>
      </c>
      <c r="D105" t="e">
        <f>VLOOKUP(C105,Sheet4!$A$3:$X$2306,4,FALSE)</f>
        <v>#N/A</v>
      </c>
      <c r="E105" t="e">
        <f>VLOOKUP(C105,Sheet3!$C$4:$X$900,3,FALSE)</f>
        <v>#N/A</v>
      </c>
    </row>
    <row r="106" spans="1:5" x14ac:dyDescent="0.25">
      <c r="A106">
        <v>39</v>
      </c>
      <c r="B106" t="s">
        <v>19</v>
      </c>
      <c r="C106" t="s">
        <v>192</v>
      </c>
      <c r="D106" t="e">
        <f>VLOOKUP(C106,Sheet4!$A$3:$X$2306,4,FALSE)</f>
        <v>#N/A</v>
      </c>
      <c r="E106" t="e">
        <f>VLOOKUP(C106,Sheet3!$C$4:$X$900,3,FALSE)</f>
        <v>#N/A</v>
      </c>
    </row>
    <row r="107" spans="1:5" x14ac:dyDescent="0.25">
      <c r="A107">
        <v>39</v>
      </c>
      <c r="B107" t="s">
        <v>19</v>
      </c>
      <c r="C107" t="s">
        <v>243</v>
      </c>
      <c r="D107" t="str">
        <f>VLOOKUP(C107,Sheet4!$A$3:$X$2306,4,FALSE)</f>
        <v>P703 RL DR LH SPACE GREY W/S</v>
      </c>
      <c r="E107" t="e">
        <f>VLOOKUP(C107,Sheet3!$C$4:$X$900,3,FALSE)</f>
        <v>#N/A</v>
      </c>
    </row>
    <row r="108" spans="1:5" x14ac:dyDescent="0.25">
      <c r="A108">
        <v>39</v>
      </c>
      <c r="B108" t="s">
        <v>19</v>
      </c>
      <c r="C108" t="s">
        <v>241</v>
      </c>
      <c r="D108" t="str">
        <f>VLOOKUP(C108,Sheet4!$A$3:$X$2306,4,FALSE)</f>
        <v>P703 RL DR LH DARK SPACE GREY</v>
      </c>
      <c r="E108" t="e">
        <f>VLOOKUP(C108,Sheet3!$C$4:$X$900,3,FALSE)</f>
        <v>#N/A</v>
      </c>
    </row>
    <row r="109" spans="1:5" x14ac:dyDescent="0.25">
      <c r="A109">
        <v>39</v>
      </c>
      <c r="B109" t="s">
        <v>19</v>
      </c>
      <c r="C109" t="s">
        <v>245</v>
      </c>
      <c r="D109" t="str">
        <f>VLOOKUP(C109,Sheet4!$A$3:$X$2306,4,FALSE)</f>
        <v>P703 RL DR LH ELECTRIC SPICE</v>
      </c>
      <c r="E109" t="e">
        <f>VLOOKUP(C109,Sheet3!$C$4:$X$900,3,FALSE)</f>
        <v>#N/A</v>
      </c>
    </row>
    <row r="110" spans="1:5" x14ac:dyDescent="0.25">
      <c r="A110">
        <v>33</v>
      </c>
      <c r="B110" t="s">
        <v>7</v>
      </c>
      <c r="C110" t="s">
        <v>191</v>
      </c>
      <c r="D110" t="str">
        <f>VLOOKUP(C110,Sheet4!$A$3:$X$2306,4,FALSE)</f>
        <v>P703 INSERT LH EBONY SOHO</v>
      </c>
      <c r="E110" t="e">
        <f>VLOOKUP(C110,Sheet3!$C$4:$X$900,3,FALSE)</f>
        <v>#N/A</v>
      </c>
    </row>
    <row r="111" spans="1:5" x14ac:dyDescent="0.25">
      <c r="A111">
        <v>33</v>
      </c>
      <c r="B111" t="s">
        <v>7</v>
      </c>
      <c r="C111" t="s">
        <v>196</v>
      </c>
      <c r="D111" t="str">
        <f>VLOOKUP(C111,Sheet4!$A$3:$X$2306,4,FALSE)</f>
        <v>P703 INSERT LH SAND SOHO</v>
      </c>
      <c r="E111" t="e">
        <f>VLOOKUP(C111,Sheet3!$C$4:$X$900,3,FALSE)</f>
        <v>#N/A</v>
      </c>
    </row>
    <row r="112" spans="1:5" x14ac:dyDescent="0.25">
      <c r="A112">
        <v>33</v>
      </c>
      <c r="B112" t="s">
        <v>7</v>
      </c>
      <c r="C112" t="s">
        <v>209</v>
      </c>
      <c r="D112" t="str">
        <f>VLOOKUP(C112,Sheet4!$A$3:$X$2306,4,FALSE)</f>
        <v>P703 INSERT LH EBONY S.SMOOTH</v>
      </c>
      <c r="E112" t="e">
        <f>VLOOKUP(C112,Sheet3!$C$4:$X$900,3,FALSE)</f>
        <v>#N/A</v>
      </c>
    </row>
  </sheetData>
  <sortState xmlns:xlrd2="http://schemas.microsoft.com/office/spreadsheetml/2017/richdata2" ref="A2:C446">
    <sortCondition ref="C2:C44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0463-7915-43CE-BA92-98B9B5A6B364}">
  <dimension ref="A1:AD893"/>
  <sheetViews>
    <sheetView topLeftCell="A341" workbookViewId="0">
      <selection activeCell="D358" sqref="D358"/>
    </sheetView>
  </sheetViews>
  <sheetFormatPr defaultRowHeight="15" x14ac:dyDescent="0.25"/>
  <cols>
    <col min="1" max="1" width="7.7109375" bestFit="1" customWidth="1"/>
    <col min="2" max="2" width="8.140625" bestFit="1" customWidth="1"/>
    <col min="3" max="3" width="8.140625" customWidth="1"/>
    <col min="4" max="4" width="19.140625" bestFit="1" customWidth="1"/>
    <col min="5" max="5" width="28.85546875" bestFit="1" customWidth="1"/>
    <col min="6" max="7" width="9.42578125" bestFit="1" customWidth="1"/>
    <col min="8" max="8" width="7.42578125" bestFit="1" customWidth="1"/>
    <col min="9" max="9" width="9.85546875" bestFit="1" customWidth="1"/>
    <col min="11" max="11" width="5.7109375" bestFit="1" customWidth="1"/>
    <col min="12" max="14" width="6.140625" bestFit="1" customWidth="1"/>
    <col min="15" max="15" width="5.7109375" bestFit="1" customWidth="1"/>
    <col min="16" max="18" width="6.140625" bestFit="1" customWidth="1"/>
    <col min="19" max="20" width="5.7109375" bestFit="1" customWidth="1"/>
    <col min="21" max="23" width="6.140625" bestFit="1" customWidth="1"/>
    <col min="24" max="24" width="5.7109375" bestFit="1" customWidth="1"/>
    <col min="25" max="27" width="6.140625" bestFit="1" customWidth="1"/>
    <col min="28" max="28" width="5.7109375" bestFit="1" customWidth="1"/>
    <col min="29" max="30" width="6.140625" bestFit="1" customWidth="1"/>
  </cols>
  <sheetData>
    <row r="1" spans="1:30" ht="18" x14ac:dyDescent="0.25">
      <c r="A1" s="14" t="s">
        <v>246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0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</row>
    <row r="3" spans="1:30" ht="15.75" thickBot="1" x14ac:dyDescent="0.3">
      <c r="A3" s="16" t="s">
        <v>247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spans="1:30" ht="15.75" thickBot="1" x14ac:dyDescent="0.3">
      <c r="A4" s="1" t="s">
        <v>248</v>
      </c>
      <c r="B4" s="1" t="s">
        <v>249</v>
      </c>
      <c r="C4" s="44" t="s">
        <v>8671</v>
      </c>
      <c r="D4" s="1" t="s">
        <v>250</v>
      </c>
      <c r="E4" s="1" t="s">
        <v>251</v>
      </c>
      <c r="F4" s="1" t="s">
        <v>252</v>
      </c>
      <c r="G4" s="1" t="s">
        <v>253</v>
      </c>
      <c r="H4" s="1" t="s">
        <v>254</v>
      </c>
      <c r="I4" s="1" t="s">
        <v>255</v>
      </c>
      <c r="J4" s="1" t="s">
        <v>256</v>
      </c>
      <c r="K4" s="2">
        <v>46087</v>
      </c>
      <c r="L4" s="2">
        <v>46094</v>
      </c>
      <c r="M4" s="2">
        <v>46101</v>
      </c>
      <c r="N4" s="2">
        <v>46108</v>
      </c>
      <c r="O4" s="2">
        <v>46115</v>
      </c>
      <c r="P4" s="2">
        <v>46122</v>
      </c>
      <c r="Q4" s="2">
        <v>46129</v>
      </c>
      <c r="R4" s="2">
        <v>46136</v>
      </c>
      <c r="S4" s="2">
        <v>46143</v>
      </c>
      <c r="T4" s="2">
        <v>46150</v>
      </c>
      <c r="U4" s="2">
        <v>46157</v>
      </c>
      <c r="V4" s="2">
        <v>46164</v>
      </c>
      <c r="W4" s="2">
        <v>46171</v>
      </c>
      <c r="X4" s="2">
        <v>46178</v>
      </c>
      <c r="Y4" s="2">
        <v>46185</v>
      </c>
      <c r="Z4" s="2">
        <v>46192</v>
      </c>
      <c r="AA4" s="2">
        <v>46199</v>
      </c>
      <c r="AB4" s="2">
        <v>46206</v>
      </c>
      <c r="AC4" s="2">
        <v>46213</v>
      </c>
      <c r="AD4" s="2">
        <v>46220</v>
      </c>
    </row>
    <row r="5" spans="1:30" ht="15.75" thickBot="1" x14ac:dyDescent="0.3">
      <c r="A5" s="3" t="s">
        <v>257</v>
      </c>
      <c r="B5" s="3" t="s">
        <v>258</v>
      </c>
      <c r="C5" s="45" t="str">
        <f>TRIM(D5)</f>
        <v>N1WB E03512 DE31NB</v>
      </c>
      <c r="D5" s="4" t="s">
        <v>259</v>
      </c>
      <c r="E5" s="4" t="s">
        <v>260</v>
      </c>
      <c r="F5" s="3" t="s">
        <v>261</v>
      </c>
      <c r="G5" s="3" t="s">
        <v>262</v>
      </c>
      <c r="H5" s="5">
        <v>73.469399999999993</v>
      </c>
      <c r="I5" s="6">
        <v>992</v>
      </c>
      <c r="J5" s="7">
        <v>0</v>
      </c>
      <c r="K5" s="7">
        <v>328</v>
      </c>
      <c r="L5" s="7">
        <v>964</v>
      </c>
      <c r="M5" s="7">
        <v>674</v>
      </c>
      <c r="N5" s="7">
        <v>898</v>
      </c>
      <c r="O5" s="7">
        <v>1134</v>
      </c>
      <c r="P5" s="7">
        <v>990</v>
      </c>
      <c r="Q5" s="7">
        <v>594</v>
      </c>
      <c r="R5" s="7">
        <v>752</v>
      </c>
      <c r="S5" s="7">
        <v>1041</v>
      </c>
      <c r="T5" s="7">
        <v>1056</v>
      </c>
      <c r="U5" s="7">
        <v>896</v>
      </c>
      <c r="V5" s="7">
        <v>978</v>
      </c>
      <c r="W5" s="7">
        <v>1478</v>
      </c>
      <c r="X5" s="7">
        <v>1360</v>
      </c>
      <c r="Y5" s="7">
        <v>1518</v>
      </c>
      <c r="Z5" s="7">
        <v>1266</v>
      </c>
      <c r="AA5" s="7">
        <v>0</v>
      </c>
      <c r="AB5" s="7">
        <v>582</v>
      </c>
      <c r="AC5" s="7">
        <v>1478</v>
      </c>
      <c r="AD5" s="7">
        <v>1466</v>
      </c>
    </row>
    <row r="6" spans="1:30" ht="15.75" thickBot="1" x14ac:dyDescent="0.3">
      <c r="A6" s="9" t="s">
        <v>257</v>
      </c>
      <c r="B6" s="9" t="s">
        <v>258</v>
      </c>
      <c r="C6" s="45" t="str">
        <f t="shared" ref="C6:C69" si="0">TRIM(D6)</f>
        <v>N1WB E03512 EE31NB</v>
      </c>
      <c r="D6" s="10" t="s">
        <v>263</v>
      </c>
      <c r="E6" s="10" t="s">
        <v>264</v>
      </c>
      <c r="F6" s="9" t="s">
        <v>261</v>
      </c>
      <c r="G6" s="9" t="s">
        <v>262</v>
      </c>
      <c r="H6" s="11">
        <v>73.469399999999993</v>
      </c>
      <c r="I6" s="12">
        <v>207</v>
      </c>
      <c r="J6" s="13">
        <v>0</v>
      </c>
      <c r="K6" s="13">
        <v>60</v>
      </c>
      <c r="L6" s="13">
        <v>212</v>
      </c>
      <c r="M6" s="13">
        <v>146</v>
      </c>
      <c r="N6" s="13">
        <v>118</v>
      </c>
      <c r="O6" s="13">
        <v>224</v>
      </c>
      <c r="P6" s="13">
        <v>212</v>
      </c>
      <c r="Q6" s="13">
        <v>132</v>
      </c>
      <c r="R6" s="13">
        <v>184</v>
      </c>
      <c r="S6" s="13">
        <v>238</v>
      </c>
      <c r="T6" s="13">
        <v>224</v>
      </c>
      <c r="U6" s="13">
        <v>238</v>
      </c>
      <c r="V6" s="13">
        <v>250</v>
      </c>
      <c r="W6" s="13">
        <v>330</v>
      </c>
      <c r="X6" s="13">
        <v>330</v>
      </c>
      <c r="Y6" s="13">
        <v>410</v>
      </c>
      <c r="Z6" s="13">
        <v>322</v>
      </c>
      <c r="AA6" s="13">
        <v>0</v>
      </c>
      <c r="AB6" s="13">
        <v>132</v>
      </c>
      <c r="AC6" s="13">
        <v>330</v>
      </c>
      <c r="AD6" s="13">
        <v>330</v>
      </c>
    </row>
    <row r="7" spans="1:30" ht="15.75" thickBot="1" x14ac:dyDescent="0.3">
      <c r="A7" s="9" t="s">
        <v>257</v>
      </c>
      <c r="B7" s="9" t="s">
        <v>258</v>
      </c>
      <c r="C7" s="45" t="str">
        <f t="shared" si="0"/>
        <v>N1WB E03512 EE3ZHE</v>
      </c>
      <c r="D7" s="10" t="s">
        <v>265</v>
      </c>
      <c r="E7" s="10" t="s">
        <v>264</v>
      </c>
      <c r="F7" s="9" t="s">
        <v>261</v>
      </c>
      <c r="G7" s="9" t="s">
        <v>262</v>
      </c>
      <c r="H7" s="11">
        <v>73.469399999999993</v>
      </c>
      <c r="I7" s="12">
        <v>587</v>
      </c>
      <c r="J7" s="13">
        <v>0</v>
      </c>
      <c r="K7" s="13">
        <v>0</v>
      </c>
      <c r="L7" s="13">
        <v>0</v>
      </c>
      <c r="M7" s="13">
        <v>75</v>
      </c>
      <c r="N7" s="13">
        <v>132</v>
      </c>
      <c r="O7" s="13">
        <v>106</v>
      </c>
      <c r="P7" s="13">
        <v>144</v>
      </c>
      <c r="Q7" s="13">
        <v>264</v>
      </c>
      <c r="R7" s="13">
        <v>238</v>
      </c>
      <c r="S7" s="13">
        <v>238</v>
      </c>
      <c r="T7" s="13">
        <v>264</v>
      </c>
      <c r="U7" s="13">
        <v>212</v>
      </c>
      <c r="V7" s="13">
        <v>184</v>
      </c>
      <c r="W7" s="13">
        <v>264</v>
      </c>
      <c r="X7" s="13">
        <v>238</v>
      </c>
      <c r="Y7" s="13">
        <v>304</v>
      </c>
      <c r="Z7" s="13">
        <v>292</v>
      </c>
      <c r="AA7" s="13">
        <v>0</v>
      </c>
      <c r="AB7" s="13">
        <v>106</v>
      </c>
      <c r="AC7" s="13">
        <v>264</v>
      </c>
      <c r="AD7" s="13">
        <v>238</v>
      </c>
    </row>
    <row r="8" spans="1:30" ht="15.75" thickBot="1" x14ac:dyDescent="0.3">
      <c r="A8" s="9" t="s">
        <v>257</v>
      </c>
      <c r="B8" s="9" t="s">
        <v>258</v>
      </c>
      <c r="C8" s="45" t="str">
        <f t="shared" si="0"/>
        <v>N1WB E03512 EEW-01</v>
      </c>
      <c r="D8" s="10" t="s">
        <v>266</v>
      </c>
      <c r="E8" s="10" t="s">
        <v>264</v>
      </c>
      <c r="F8" s="9" t="s">
        <v>261</v>
      </c>
      <c r="G8" s="9" t="s">
        <v>262</v>
      </c>
      <c r="H8" s="11">
        <v>73.469399999999993</v>
      </c>
      <c r="I8" s="8"/>
      <c r="J8" s="13">
        <v>3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</row>
    <row r="9" spans="1:30" ht="15.75" thickBot="1" x14ac:dyDescent="0.3">
      <c r="A9" s="9" t="s">
        <v>257</v>
      </c>
      <c r="B9" s="9" t="s">
        <v>258</v>
      </c>
      <c r="C9" s="45" t="str">
        <f t="shared" si="0"/>
        <v>N1WB E03513 DG31NB</v>
      </c>
      <c r="D9" s="10" t="s">
        <v>267</v>
      </c>
      <c r="E9" s="10" t="s">
        <v>268</v>
      </c>
      <c r="F9" s="9" t="s">
        <v>261</v>
      </c>
      <c r="G9" s="9" t="s">
        <v>262</v>
      </c>
      <c r="H9" s="11">
        <v>73.469399999999993</v>
      </c>
      <c r="I9" s="12">
        <v>61</v>
      </c>
      <c r="J9" s="13">
        <v>0</v>
      </c>
      <c r="K9" s="13">
        <v>328</v>
      </c>
      <c r="L9" s="13">
        <v>964</v>
      </c>
      <c r="M9" s="13">
        <v>674</v>
      </c>
      <c r="N9" s="13">
        <v>898</v>
      </c>
      <c r="O9" s="13">
        <v>1134</v>
      </c>
      <c r="P9" s="13">
        <v>990</v>
      </c>
      <c r="Q9" s="13">
        <v>594</v>
      </c>
      <c r="R9" s="13">
        <v>752</v>
      </c>
      <c r="S9" s="13">
        <v>1041</v>
      </c>
      <c r="T9" s="13">
        <v>1056</v>
      </c>
      <c r="U9" s="13">
        <v>896</v>
      </c>
      <c r="V9" s="13">
        <v>978</v>
      </c>
      <c r="W9" s="13">
        <v>1478</v>
      </c>
      <c r="X9" s="13">
        <v>1360</v>
      </c>
      <c r="Y9" s="13">
        <v>1518</v>
      </c>
      <c r="Z9" s="13">
        <v>1266</v>
      </c>
      <c r="AA9" s="13">
        <v>0</v>
      </c>
      <c r="AB9" s="13">
        <v>582</v>
      </c>
      <c r="AC9" s="13">
        <v>1478</v>
      </c>
      <c r="AD9" s="13">
        <v>1466</v>
      </c>
    </row>
    <row r="10" spans="1:30" ht="15.75" thickBot="1" x14ac:dyDescent="0.3">
      <c r="A10" s="9" t="s">
        <v>257</v>
      </c>
      <c r="B10" s="9" t="s">
        <v>258</v>
      </c>
      <c r="C10" s="45" t="str">
        <f t="shared" si="0"/>
        <v>N1WB E03513 DH31NB</v>
      </c>
      <c r="D10" s="10" t="s">
        <v>269</v>
      </c>
      <c r="E10" s="10" t="s">
        <v>268</v>
      </c>
      <c r="F10" s="9" t="s">
        <v>261</v>
      </c>
      <c r="G10" s="9" t="s">
        <v>262</v>
      </c>
      <c r="H10" s="11">
        <v>73.469399999999993</v>
      </c>
      <c r="I10" s="12">
        <v>704</v>
      </c>
      <c r="J10" s="13">
        <v>0</v>
      </c>
      <c r="K10" s="13">
        <v>550</v>
      </c>
      <c r="L10" s="13">
        <v>924</v>
      </c>
      <c r="M10" s="13">
        <v>701</v>
      </c>
      <c r="N10" s="13">
        <v>884</v>
      </c>
      <c r="O10" s="13">
        <v>1148</v>
      </c>
      <c r="P10" s="13">
        <v>976</v>
      </c>
      <c r="Q10" s="13">
        <v>623</v>
      </c>
      <c r="R10" s="13">
        <v>712</v>
      </c>
      <c r="S10" s="13">
        <v>1044</v>
      </c>
      <c r="T10" s="13">
        <v>1096</v>
      </c>
      <c r="U10" s="13">
        <v>896</v>
      </c>
      <c r="V10" s="13">
        <v>993</v>
      </c>
      <c r="W10" s="13">
        <v>1452</v>
      </c>
      <c r="X10" s="13">
        <v>1346</v>
      </c>
      <c r="Y10" s="13">
        <v>1558</v>
      </c>
      <c r="Z10" s="13">
        <v>1281</v>
      </c>
      <c r="AA10" s="13">
        <v>0</v>
      </c>
      <c r="AB10" s="13">
        <v>582</v>
      </c>
      <c r="AC10" s="13">
        <v>1478</v>
      </c>
      <c r="AD10" s="13">
        <v>1438</v>
      </c>
    </row>
    <row r="11" spans="1:30" ht="15.75" thickBot="1" x14ac:dyDescent="0.3">
      <c r="A11" s="9" t="s">
        <v>257</v>
      </c>
      <c r="B11" s="9" t="s">
        <v>258</v>
      </c>
      <c r="C11" s="45" t="str">
        <f t="shared" si="0"/>
        <v>N1WB E03513 EG31NB</v>
      </c>
      <c r="D11" s="10" t="s">
        <v>270</v>
      </c>
      <c r="E11" s="10" t="s">
        <v>271</v>
      </c>
      <c r="F11" s="9" t="s">
        <v>261</v>
      </c>
      <c r="G11" s="9" t="s">
        <v>262</v>
      </c>
      <c r="H11" s="11">
        <v>73.469399999999993</v>
      </c>
      <c r="I11" s="12">
        <v>40</v>
      </c>
      <c r="J11" s="13">
        <v>0</v>
      </c>
      <c r="K11" s="13">
        <v>60</v>
      </c>
      <c r="L11" s="13">
        <v>212</v>
      </c>
      <c r="M11" s="13">
        <v>146</v>
      </c>
      <c r="N11" s="13">
        <v>118</v>
      </c>
      <c r="O11" s="13">
        <v>224</v>
      </c>
      <c r="P11" s="13">
        <v>212</v>
      </c>
      <c r="Q11" s="13">
        <v>132</v>
      </c>
      <c r="R11" s="13">
        <v>184</v>
      </c>
      <c r="S11" s="13">
        <v>238</v>
      </c>
      <c r="T11" s="13">
        <v>224</v>
      </c>
      <c r="U11" s="13">
        <v>238</v>
      </c>
      <c r="V11" s="13">
        <v>250</v>
      </c>
      <c r="W11" s="13">
        <v>330</v>
      </c>
      <c r="X11" s="13">
        <v>330</v>
      </c>
      <c r="Y11" s="13">
        <v>410</v>
      </c>
      <c r="Z11" s="13">
        <v>322</v>
      </c>
      <c r="AA11" s="13">
        <v>0</v>
      </c>
      <c r="AB11" s="13">
        <v>132</v>
      </c>
      <c r="AC11" s="13">
        <v>330</v>
      </c>
      <c r="AD11" s="13">
        <v>330</v>
      </c>
    </row>
    <row r="12" spans="1:30" ht="15.75" thickBot="1" x14ac:dyDescent="0.3">
      <c r="A12" s="9" t="s">
        <v>257</v>
      </c>
      <c r="B12" s="9" t="s">
        <v>258</v>
      </c>
      <c r="C12" s="45" t="str">
        <f t="shared" si="0"/>
        <v>N1WB E03513 EG3ZHE</v>
      </c>
      <c r="D12" s="10" t="s">
        <v>272</v>
      </c>
      <c r="E12" s="10" t="s">
        <v>271</v>
      </c>
      <c r="F12" s="9" t="s">
        <v>261</v>
      </c>
      <c r="G12" s="9" t="s">
        <v>262</v>
      </c>
      <c r="H12" s="11">
        <v>73.469399999999993</v>
      </c>
      <c r="I12" s="8"/>
      <c r="J12" s="13">
        <v>0</v>
      </c>
      <c r="K12" s="13">
        <v>0</v>
      </c>
      <c r="L12" s="13">
        <v>0</v>
      </c>
      <c r="M12" s="13">
        <v>75</v>
      </c>
      <c r="N12" s="13">
        <v>132</v>
      </c>
      <c r="O12" s="13">
        <v>106</v>
      </c>
      <c r="P12" s="13">
        <v>144</v>
      </c>
      <c r="Q12" s="13">
        <v>264</v>
      </c>
      <c r="R12" s="13">
        <v>238</v>
      </c>
      <c r="S12" s="13">
        <v>238</v>
      </c>
      <c r="T12" s="13">
        <v>264</v>
      </c>
      <c r="U12" s="13">
        <v>212</v>
      </c>
      <c r="V12" s="13">
        <v>184</v>
      </c>
      <c r="W12" s="13">
        <v>264</v>
      </c>
      <c r="X12" s="13">
        <v>238</v>
      </c>
      <c r="Y12" s="13">
        <v>304</v>
      </c>
      <c r="Z12" s="13">
        <v>292</v>
      </c>
      <c r="AA12" s="13">
        <v>0</v>
      </c>
      <c r="AB12" s="13">
        <v>106</v>
      </c>
      <c r="AC12" s="13">
        <v>264</v>
      </c>
      <c r="AD12" s="13">
        <v>238</v>
      </c>
    </row>
    <row r="13" spans="1:30" ht="15.75" thickBot="1" x14ac:dyDescent="0.3">
      <c r="A13" s="9" t="s">
        <v>257</v>
      </c>
      <c r="B13" s="9" t="s">
        <v>258</v>
      </c>
      <c r="C13" s="45" t="str">
        <f t="shared" si="0"/>
        <v>N1WB E03513 EH31NB</v>
      </c>
      <c r="D13" s="10" t="s">
        <v>273</v>
      </c>
      <c r="E13" s="10" t="s">
        <v>271</v>
      </c>
      <c r="F13" s="9" t="s">
        <v>261</v>
      </c>
      <c r="G13" s="9" t="s">
        <v>262</v>
      </c>
      <c r="H13" s="11">
        <v>73.469399999999993</v>
      </c>
      <c r="I13" s="12">
        <v>254</v>
      </c>
      <c r="J13" s="13">
        <v>0</v>
      </c>
      <c r="K13" s="13">
        <v>13</v>
      </c>
      <c r="L13" s="13">
        <v>212</v>
      </c>
      <c r="M13" s="13">
        <v>172</v>
      </c>
      <c r="N13" s="13">
        <v>132</v>
      </c>
      <c r="O13" s="13">
        <v>192</v>
      </c>
      <c r="P13" s="13">
        <v>238</v>
      </c>
      <c r="Q13" s="13">
        <v>172</v>
      </c>
      <c r="R13" s="13">
        <v>158</v>
      </c>
      <c r="S13" s="13">
        <v>231</v>
      </c>
      <c r="T13" s="13">
        <v>264</v>
      </c>
      <c r="U13" s="13">
        <v>212</v>
      </c>
      <c r="V13" s="13">
        <v>247</v>
      </c>
      <c r="W13" s="13">
        <v>368</v>
      </c>
      <c r="X13" s="13">
        <v>330</v>
      </c>
      <c r="Y13" s="13">
        <v>384</v>
      </c>
      <c r="Z13" s="13">
        <v>285</v>
      </c>
      <c r="AA13" s="13">
        <v>0</v>
      </c>
      <c r="AB13" s="13">
        <v>160</v>
      </c>
      <c r="AC13" s="13">
        <v>368</v>
      </c>
      <c r="AD13" s="13">
        <v>330</v>
      </c>
    </row>
    <row r="14" spans="1:30" ht="15.75" thickBot="1" x14ac:dyDescent="0.3">
      <c r="A14" s="9" t="s">
        <v>257</v>
      </c>
      <c r="B14" s="9" t="s">
        <v>258</v>
      </c>
      <c r="C14" s="45" t="str">
        <f t="shared" si="0"/>
        <v>N1WB E03513 EH3ZHE</v>
      </c>
      <c r="D14" s="10" t="s">
        <v>274</v>
      </c>
      <c r="E14" s="10" t="s">
        <v>271</v>
      </c>
      <c r="F14" s="9" t="s">
        <v>261</v>
      </c>
      <c r="G14" s="9" t="s">
        <v>262</v>
      </c>
      <c r="H14" s="11">
        <v>73.469399999999993</v>
      </c>
      <c r="I14" s="12">
        <v>388</v>
      </c>
      <c r="J14" s="13">
        <v>0</v>
      </c>
      <c r="K14" s="13">
        <v>0</v>
      </c>
      <c r="L14" s="13">
        <v>128</v>
      </c>
      <c r="M14" s="13">
        <v>132</v>
      </c>
      <c r="N14" s="13">
        <v>136</v>
      </c>
      <c r="O14" s="13">
        <v>106</v>
      </c>
      <c r="P14" s="13">
        <v>144</v>
      </c>
      <c r="Q14" s="13">
        <v>264</v>
      </c>
      <c r="R14" s="13">
        <v>243</v>
      </c>
      <c r="S14" s="13">
        <v>224</v>
      </c>
      <c r="T14" s="13">
        <v>264</v>
      </c>
      <c r="U14" s="13">
        <v>212</v>
      </c>
      <c r="V14" s="13">
        <v>189</v>
      </c>
      <c r="W14" s="13">
        <v>238</v>
      </c>
      <c r="X14" s="13">
        <v>224</v>
      </c>
      <c r="Y14" s="13">
        <v>344</v>
      </c>
      <c r="Z14" s="13">
        <v>280</v>
      </c>
      <c r="AA14" s="13">
        <v>0</v>
      </c>
      <c r="AB14" s="13">
        <v>106</v>
      </c>
      <c r="AC14" s="13">
        <v>238</v>
      </c>
      <c r="AD14" s="13">
        <v>224</v>
      </c>
    </row>
    <row r="15" spans="1:30" ht="15.75" thickBot="1" x14ac:dyDescent="0.3">
      <c r="A15" s="9" t="s">
        <v>257</v>
      </c>
      <c r="B15" s="9" t="s">
        <v>258</v>
      </c>
      <c r="C15" s="45" t="str">
        <f t="shared" si="0"/>
        <v>N1WB E03513 EHW-01</v>
      </c>
      <c r="D15" s="10" t="s">
        <v>275</v>
      </c>
      <c r="E15" s="10" t="s">
        <v>271</v>
      </c>
      <c r="F15" s="9" t="s">
        <v>261</v>
      </c>
      <c r="G15" s="9" t="s">
        <v>262</v>
      </c>
      <c r="H15" s="11">
        <v>73.469399999999993</v>
      </c>
      <c r="I15" s="8"/>
      <c r="J15" s="13">
        <v>3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</row>
    <row r="16" spans="1:30" ht="15.75" thickBot="1" x14ac:dyDescent="0.3">
      <c r="A16" s="9" t="s">
        <v>257</v>
      </c>
      <c r="B16" s="9" t="s">
        <v>276</v>
      </c>
      <c r="C16" s="45" t="str">
        <f t="shared" si="0"/>
        <v>N1WB E13201 DA3ZHE</v>
      </c>
      <c r="D16" s="10" t="s">
        <v>277</v>
      </c>
      <c r="E16" s="10" t="s">
        <v>278</v>
      </c>
      <c r="F16" s="9" t="s">
        <v>261</v>
      </c>
      <c r="G16" s="9" t="s">
        <v>262</v>
      </c>
      <c r="H16" s="11">
        <v>71.287099999999995</v>
      </c>
      <c r="I16" s="12">
        <v>317</v>
      </c>
      <c r="J16" s="13">
        <v>43</v>
      </c>
      <c r="K16" s="13">
        <v>1584</v>
      </c>
      <c r="L16" s="13">
        <v>1362</v>
      </c>
      <c r="M16" s="13">
        <v>1000</v>
      </c>
      <c r="N16" s="13">
        <v>1160</v>
      </c>
      <c r="O16" s="13">
        <v>1432</v>
      </c>
      <c r="P16" s="13">
        <v>1368</v>
      </c>
      <c r="Q16" s="13">
        <v>986</v>
      </c>
      <c r="R16" s="13">
        <v>1132</v>
      </c>
      <c r="S16" s="13">
        <v>1518</v>
      </c>
      <c r="T16" s="13">
        <v>1570</v>
      </c>
      <c r="U16" s="13">
        <v>1318</v>
      </c>
      <c r="V16" s="13">
        <v>1404</v>
      </c>
      <c r="W16" s="13">
        <v>2066</v>
      </c>
      <c r="X16" s="13">
        <v>1930</v>
      </c>
      <c r="Y16" s="13">
        <v>2254</v>
      </c>
      <c r="Z16" s="13">
        <v>1860</v>
      </c>
      <c r="AA16" s="13">
        <v>0</v>
      </c>
      <c r="AB16" s="13">
        <v>822</v>
      </c>
      <c r="AC16" s="13">
        <v>2066</v>
      </c>
      <c r="AD16" s="13">
        <v>2016</v>
      </c>
    </row>
    <row r="17" spans="1:30" ht="15.75" thickBot="1" x14ac:dyDescent="0.3">
      <c r="A17" s="9" t="s">
        <v>257</v>
      </c>
      <c r="B17" s="9" t="s">
        <v>276</v>
      </c>
      <c r="C17" s="45" t="str">
        <f t="shared" si="0"/>
        <v>N1WB E243A53 ED3ZHE</v>
      </c>
      <c r="D17" s="10" t="s">
        <v>279</v>
      </c>
      <c r="E17" s="10" t="s">
        <v>280</v>
      </c>
      <c r="F17" s="9" t="s">
        <v>261</v>
      </c>
      <c r="G17" s="9" t="s">
        <v>262</v>
      </c>
      <c r="H17" s="11">
        <v>66.666600000000003</v>
      </c>
      <c r="I17" s="12">
        <v>488</v>
      </c>
      <c r="J17" s="13">
        <v>0</v>
      </c>
      <c r="K17" s="13">
        <v>1510</v>
      </c>
      <c r="L17" s="13">
        <v>1210</v>
      </c>
      <c r="M17" s="13">
        <v>998</v>
      </c>
      <c r="N17" s="13">
        <v>1170</v>
      </c>
      <c r="O17" s="13">
        <v>1432</v>
      </c>
      <c r="P17" s="13">
        <v>1368</v>
      </c>
      <c r="Q17" s="13">
        <v>994</v>
      </c>
      <c r="R17" s="13">
        <v>1144</v>
      </c>
      <c r="S17" s="13">
        <v>1502</v>
      </c>
      <c r="T17" s="13">
        <v>1572</v>
      </c>
      <c r="U17" s="13">
        <v>1332</v>
      </c>
      <c r="V17" s="13">
        <v>1394</v>
      </c>
      <c r="W17" s="13">
        <v>2058</v>
      </c>
      <c r="X17" s="13">
        <v>1934</v>
      </c>
      <c r="Y17" s="13">
        <v>2268</v>
      </c>
      <c r="Z17" s="13">
        <v>1856</v>
      </c>
      <c r="AA17" s="13">
        <v>0</v>
      </c>
      <c r="AB17" s="13">
        <v>828</v>
      </c>
      <c r="AC17" s="13">
        <v>2070</v>
      </c>
      <c r="AD17" s="13">
        <v>2014</v>
      </c>
    </row>
    <row r="18" spans="1:30" ht="15.75" thickBot="1" x14ac:dyDescent="0.3">
      <c r="A18" s="9" t="s">
        <v>257</v>
      </c>
      <c r="B18" s="9" t="s">
        <v>276</v>
      </c>
      <c r="C18" s="45" t="str">
        <f t="shared" si="0"/>
        <v>N1WB E31007 EB3ZHE</v>
      </c>
      <c r="D18" s="10" t="s">
        <v>281</v>
      </c>
      <c r="E18" s="10" t="s">
        <v>282</v>
      </c>
      <c r="F18" s="9" t="s">
        <v>261</v>
      </c>
      <c r="G18" s="9" t="s">
        <v>262</v>
      </c>
      <c r="H18" s="11">
        <v>85.714200000000005</v>
      </c>
      <c r="I18" s="12">
        <v>105</v>
      </c>
      <c r="J18" s="13">
        <v>203</v>
      </c>
      <c r="K18" s="13">
        <v>1584</v>
      </c>
      <c r="L18" s="13">
        <v>1360</v>
      </c>
      <c r="M18" s="13">
        <v>1004</v>
      </c>
      <c r="N18" s="13">
        <v>1160</v>
      </c>
      <c r="O18" s="13">
        <v>1436</v>
      </c>
      <c r="P18" s="13">
        <v>1376</v>
      </c>
      <c r="Q18" s="13">
        <v>990</v>
      </c>
      <c r="R18" s="13">
        <v>1136</v>
      </c>
      <c r="S18" s="13">
        <v>1496</v>
      </c>
      <c r="T18" s="13">
        <v>1570</v>
      </c>
      <c r="U18" s="13">
        <v>1338</v>
      </c>
      <c r="V18" s="13">
        <v>1400</v>
      </c>
      <c r="W18" s="13">
        <v>2054</v>
      </c>
      <c r="X18" s="13">
        <v>1928</v>
      </c>
      <c r="Y18" s="13">
        <v>2260</v>
      </c>
      <c r="Z18" s="13">
        <v>1852</v>
      </c>
      <c r="AA18" s="13">
        <v>0</v>
      </c>
      <c r="AB18" s="13">
        <v>828</v>
      </c>
      <c r="AC18" s="13">
        <v>2076</v>
      </c>
      <c r="AD18" s="13">
        <v>2020</v>
      </c>
    </row>
    <row r="19" spans="1:30" ht="15.75" thickBot="1" x14ac:dyDescent="0.3">
      <c r="A19" s="9" t="s">
        <v>257</v>
      </c>
      <c r="B19" s="9" t="s">
        <v>283</v>
      </c>
      <c r="C19" s="45" t="str">
        <f t="shared" si="0"/>
        <v>N1WB 17D568 EF3JA6</v>
      </c>
      <c r="D19" s="10" t="s">
        <v>284</v>
      </c>
      <c r="E19" s="10" t="s">
        <v>285</v>
      </c>
      <c r="F19" s="9" t="s">
        <v>261</v>
      </c>
      <c r="G19" s="9" t="s">
        <v>262</v>
      </c>
      <c r="H19" s="11">
        <v>83.7209</v>
      </c>
      <c r="I19" s="12">
        <v>618</v>
      </c>
      <c r="J19" s="13">
        <v>0</v>
      </c>
      <c r="K19" s="13">
        <v>1497</v>
      </c>
      <c r="L19" s="13">
        <v>1335</v>
      </c>
      <c r="M19" s="13">
        <v>969</v>
      </c>
      <c r="N19" s="13">
        <v>1220</v>
      </c>
      <c r="O19" s="13">
        <v>1334</v>
      </c>
      <c r="P19" s="13">
        <v>1478</v>
      </c>
      <c r="Q19" s="13">
        <v>1075</v>
      </c>
      <c r="R19" s="13">
        <v>1066</v>
      </c>
      <c r="S19" s="13">
        <v>1573</v>
      </c>
      <c r="T19" s="13">
        <v>1545</v>
      </c>
      <c r="U19" s="13">
        <v>1469</v>
      </c>
      <c r="V19" s="13">
        <v>1300</v>
      </c>
      <c r="W19" s="13">
        <v>2074</v>
      </c>
      <c r="X19" s="13">
        <v>2025</v>
      </c>
      <c r="Y19" s="13">
        <v>1901</v>
      </c>
      <c r="Z19" s="13">
        <v>2310</v>
      </c>
      <c r="AA19" s="13">
        <v>58</v>
      </c>
      <c r="AB19" s="13">
        <v>643</v>
      </c>
      <c r="AC19" s="13">
        <v>2074</v>
      </c>
      <c r="AD19" s="13">
        <v>2073</v>
      </c>
    </row>
    <row r="20" spans="1:30" ht="15.75" thickBot="1" x14ac:dyDescent="0.3">
      <c r="A20" s="9" t="s">
        <v>257</v>
      </c>
      <c r="B20" s="9" t="s">
        <v>283</v>
      </c>
      <c r="C20" s="45" t="str">
        <f t="shared" si="0"/>
        <v>N1WB 17D568 EFW-01</v>
      </c>
      <c r="D20" s="10" t="s">
        <v>286</v>
      </c>
      <c r="E20" s="10" t="s">
        <v>285</v>
      </c>
      <c r="F20" s="9" t="s">
        <v>261</v>
      </c>
      <c r="G20" s="9" t="s">
        <v>262</v>
      </c>
      <c r="H20" s="11">
        <v>83.7209</v>
      </c>
      <c r="I20" s="8"/>
      <c r="J20" s="13">
        <v>3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</row>
    <row r="21" spans="1:30" ht="15.75" thickBot="1" x14ac:dyDescent="0.3">
      <c r="A21" s="9" t="s">
        <v>257</v>
      </c>
      <c r="B21" s="9" t="s">
        <v>287</v>
      </c>
      <c r="C21" s="45" t="str">
        <f t="shared" si="0"/>
        <v>ASYE025B85B</v>
      </c>
      <c r="D21" s="10" t="s">
        <v>288</v>
      </c>
      <c r="E21" s="10" t="s">
        <v>289</v>
      </c>
      <c r="F21" s="9" t="s">
        <v>261</v>
      </c>
      <c r="G21" s="9" t="s">
        <v>262</v>
      </c>
      <c r="H21" s="11">
        <v>87.8048</v>
      </c>
      <c r="I21" s="12">
        <v>205</v>
      </c>
      <c r="J21" s="13">
        <v>0</v>
      </c>
      <c r="K21" s="13">
        <v>0</v>
      </c>
      <c r="L21" s="13">
        <v>0</v>
      </c>
      <c r="M21" s="13">
        <v>130</v>
      </c>
      <c r="N21" s="13">
        <v>268</v>
      </c>
      <c r="O21" s="13">
        <v>212</v>
      </c>
      <c r="P21" s="13">
        <v>288</v>
      </c>
      <c r="Q21" s="13">
        <v>528</v>
      </c>
      <c r="R21" s="13">
        <v>481</v>
      </c>
      <c r="S21" s="13">
        <v>462</v>
      </c>
      <c r="T21" s="13">
        <v>528</v>
      </c>
      <c r="U21" s="13">
        <v>424</v>
      </c>
      <c r="V21" s="13">
        <v>373</v>
      </c>
      <c r="W21" s="13">
        <v>502</v>
      </c>
      <c r="X21" s="13">
        <v>462</v>
      </c>
      <c r="Y21" s="13">
        <v>648</v>
      </c>
      <c r="Z21" s="13">
        <v>572</v>
      </c>
      <c r="AA21" s="13">
        <v>0</v>
      </c>
      <c r="AB21" s="13">
        <v>212</v>
      </c>
      <c r="AC21" s="13">
        <v>502</v>
      </c>
      <c r="AD21" s="13">
        <v>462</v>
      </c>
    </row>
    <row r="22" spans="1:30" ht="15.75" thickBot="1" x14ac:dyDescent="0.3">
      <c r="A22" s="9" t="s">
        <v>257</v>
      </c>
      <c r="B22" s="9" t="s">
        <v>287</v>
      </c>
      <c r="C22" s="45" t="str">
        <f t="shared" si="0"/>
        <v>ASYE025B85B1NB</v>
      </c>
      <c r="D22" s="10" t="s">
        <v>290</v>
      </c>
      <c r="E22" s="10" t="s">
        <v>289</v>
      </c>
      <c r="F22" s="9" t="s">
        <v>261</v>
      </c>
      <c r="G22" s="9" t="s">
        <v>262</v>
      </c>
      <c r="H22" s="11">
        <v>87.8048</v>
      </c>
      <c r="I22" s="12">
        <v>-483</v>
      </c>
      <c r="J22" s="13">
        <v>483</v>
      </c>
      <c r="K22" s="13">
        <v>73</v>
      </c>
      <c r="L22" s="13">
        <v>424</v>
      </c>
      <c r="M22" s="13">
        <v>318</v>
      </c>
      <c r="N22" s="13">
        <v>250</v>
      </c>
      <c r="O22" s="13">
        <v>416</v>
      </c>
      <c r="P22" s="13">
        <v>450</v>
      </c>
      <c r="Q22" s="13">
        <v>304</v>
      </c>
      <c r="R22" s="13">
        <v>342</v>
      </c>
      <c r="S22" s="13">
        <v>469</v>
      </c>
      <c r="T22" s="13">
        <v>488</v>
      </c>
      <c r="U22" s="13">
        <v>450</v>
      </c>
      <c r="V22" s="13">
        <v>497</v>
      </c>
      <c r="W22" s="13">
        <v>698</v>
      </c>
      <c r="X22" s="13">
        <v>660</v>
      </c>
      <c r="Y22" s="13">
        <v>794</v>
      </c>
      <c r="Z22" s="13">
        <v>607</v>
      </c>
      <c r="AA22" s="13">
        <v>0</v>
      </c>
      <c r="AB22" s="13">
        <v>292</v>
      </c>
      <c r="AC22" s="13">
        <v>698</v>
      </c>
      <c r="AD22" s="13">
        <v>660</v>
      </c>
    </row>
    <row r="23" spans="1:30" ht="15.75" thickBot="1" x14ac:dyDescent="0.3">
      <c r="A23" s="9" t="s">
        <v>257</v>
      </c>
      <c r="B23" s="9" t="s">
        <v>291</v>
      </c>
      <c r="C23" s="45" t="str">
        <f t="shared" si="0"/>
        <v>N1WB E41018 CD</v>
      </c>
      <c r="D23" s="10" t="s">
        <v>292</v>
      </c>
      <c r="E23" s="10" t="s">
        <v>293</v>
      </c>
      <c r="F23" s="9" t="s">
        <v>261</v>
      </c>
      <c r="G23" s="9" t="s">
        <v>262</v>
      </c>
      <c r="H23" s="12">
        <v>160</v>
      </c>
      <c r="I23" s="12">
        <v>183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189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202</v>
      </c>
      <c r="AA23" s="13">
        <v>0</v>
      </c>
      <c r="AB23" s="13">
        <v>0</v>
      </c>
      <c r="AC23" s="13">
        <v>0</v>
      </c>
      <c r="AD23" s="13">
        <v>0</v>
      </c>
    </row>
    <row r="24" spans="1:30" ht="15.75" thickBot="1" x14ac:dyDescent="0.3">
      <c r="A24" s="9" t="s">
        <v>257</v>
      </c>
      <c r="B24" s="9" t="s">
        <v>291</v>
      </c>
      <c r="C24" s="45" t="str">
        <f t="shared" si="0"/>
        <v>R1WB E41018 CA</v>
      </c>
      <c r="D24" s="10" t="s">
        <v>294</v>
      </c>
      <c r="E24" s="10" t="s">
        <v>293</v>
      </c>
      <c r="F24" s="9" t="s">
        <v>261</v>
      </c>
      <c r="G24" s="9" t="s">
        <v>262</v>
      </c>
      <c r="H24" s="11">
        <v>66.666600000000003</v>
      </c>
      <c r="I24" s="12">
        <v>1674</v>
      </c>
      <c r="J24" s="13">
        <v>0</v>
      </c>
      <c r="K24" s="13">
        <v>126</v>
      </c>
      <c r="L24" s="13">
        <v>1380</v>
      </c>
      <c r="M24" s="13">
        <v>960</v>
      </c>
      <c r="N24" s="13">
        <v>1220</v>
      </c>
      <c r="O24" s="13">
        <v>1340</v>
      </c>
      <c r="P24" s="13">
        <v>1420</v>
      </c>
      <c r="Q24" s="13">
        <v>1060</v>
      </c>
      <c r="R24" s="13">
        <v>1020</v>
      </c>
      <c r="S24" s="13">
        <v>1530</v>
      </c>
      <c r="T24" s="13">
        <v>1600</v>
      </c>
      <c r="U24" s="13">
        <v>1480</v>
      </c>
      <c r="V24" s="13">
        <v>1237</v>
      </c>
      <c r="W24" s="13">
        <v>2080</v>
      </c>
      <c r="X24" s="13">
        <v>1940</v>
      </c>
      <c r="Y24" s="13">
        <v>1920</v>
      </c>
      <c r="Z24" s="13">
        <v>2259</v>
      </c>
      <c r="AA24" s="13">
        <v>60</v>
      </c>
      <c r="AB24" s="13">
        <v>660</v>
      </c>
      <c r="AC24" s="13">
        <v>2100</v>
      </c>
      <c r="AD24" s="13">
        <v>2060</v>
      </c>
    </row>
    <row r="25" spans="1:30" ht="15.75" thickBot="1" x14ac:dyDescent="0.3">
      <c r="A25" s="9" t="s">
        <v>257</v>
      </c>
      <c r="B25" s="9" t="s">
        <v>295</v>
      </c>
      <c r="C25" s="45" t="str">
        <f t="shared" si="0"/>
        <v>KTN1WB 16L559 DB</v>
      </c>
      <c r="D25" s="10" t="s">
        <v>296</v>
      </c>
      <c r="E25" s="10" t="s">
        <v>297</v>
      </c>
      <c r="F25" s="9" t="s">
        <v>261</v>
      </c>
      <c r="G25" s="9" t="s">
        <v>262</v>
      </c>
      <c r="H25" s="12">
        <v>80</v>
      </c>
      <c r="I25" s="12">
        <v>970</v>
      </c>
      <c r="J25" s="13">
        <v>0</v>
      </c>
      <c r="K25" s="13">
        <v>710</v>
      </c>
      <c r="L25" s="13">
        <v>1346</v>
      </c>
      <c r="M25" s="13">
        <v>928</v>
      </c>
      <c r="N25" s="13">
        <v>1264</v>
      </c>
      <c r="O25" s="13">
        <v>1344</v>
      </c>
      <c r="P25" s="13">
        <v>1072</v>
      </c>
      <c r="Q25" s="13">
        <v>768</v>
      </c>
      <c r="R25" s="13">
        <v>1456</v>
      </c>
      <c r="S25" s="13">
        <v>1152</v>
      </c>
      <c r="T25" s="13">
        <v>1168</v>
      </c>
      <c r="U25" s="13">
        <v>1248</v>
      </c>
      <c r="V25" s="13">
        <v>1536</v>
      </c>
      <c r="W25" s="13">
        <v>1488</v>
      </c>
      <c r="X25" s="13">
        <v>1392</v>
      </c>
      <c r="Y25" s="13">
        <v>1680</v>
      </c>
      <c r="Z25" s="13">
        <v>1008</v>
      </c>
      <c r="AA25" s="13">
        <v>0</v>
      </c>
      <c r="AB25" s="13">
        <v>736</v>
      </c>
      <c r="AC25" s="13">
        <v>1840</v>
      </c>
      <c r="AD25" s="13">
        <v>1776</v>
      </c>
    </row>
    <row r="26" spans="1:30" ht="15.75" thickBot="1" x14ac:dyDescent="0.3">
      <c r="A26" s="9" t="s">
        <v>257</v>
      </c>
      <c r="B26" s="9" t="s">
        <v>295</v>
      </c>
      <c r="C26" s="45" t="str">
        <f t="shared" si="0"/>
        <v>KTN1WB 16L559 FB</v>
      </c>
      <c r="D26" s="10" t="s">
        <v>298</v>
      </c>
      <c r="E26" s="10" t="s">
        <v>297</v>
      </c>
      <c r="F26" s="9" t="s">
        <v>261</v>
      </c>
      <c r="G26" s="9" t="s">
        <v>262</v>
      </c>
      <c r="H26" s="12">
        <v>80</v>
      </c>
      <c r="I26" s="12">
        <v>888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100</v>
      </c>
      <c r="P26" s="13">
        <v>192</v>
      </c>
      <c r="Q26" s="13">
        <v>160</v>
      </c>
      <c r="R26" s="13">
        <v>368</v>
      </c>
      <c r="S26" s="13">
        <v>224</v>
      </c>
      <c r="T26" s="13">
        <v>176</v>
      </c>
      <c r="U26" s="13">
        <v>256</v>
      </c>
      <c r="V26" s="13">
        <v>192</v>
      </c>
      <c r="W26" s="13">
        <v>208</v>
      </c>
      <c r="X26" s="13">
        <v>224</v>
      </c>
      <c r="Y26" s="13">
        <v>320</v>
      </c>
      <c r="Z26" s="13">
        <v>192</v>
      </c>
      <c r="AA26" s="13">
        <v>0</v>
      </c>
      <c r="AB26" s="13">
        <v>96</v>
      </c>
      <c r="AC26" s="13">
        <v>240</v>
      </c>
      <c r="AD26" s="13">
        <v>240</v>
      </c>
    </row>
    <row r="27" spans="1:30" ht="15.75" thickBot="1" x14ac:dyDescent="0.3">
      <c r="A27" s="9" t="s">
        <v>257</v>
      </c>
      <c r="B27" s="9" t="s">
        <v>299</v>
      </c>
      <c r="C27" s="45" t="str">
        <f t="shared" si="0"/>
        <v>N1WB 17C790 GA</v>
      </c>
      <c r="D27" s="10" t="s">
        <v>300</v>
      </c>
      <c r="E27" s="10" t="s">
        <v>301</v>
      </c>
      <c r="F27" s="9" t="s">
        <v>261</v>
      </c>
      <c r="G27" s="9" t="s">
        <v>262</v>
      </c>
      <c r="H27" s="11">
        <v>116.129</v>
      </c>
      <c r="I27" s="12">
        <v>-4</v>
      </c>
      <c r="J27" s="13">
        <v>4</v>
      </c>
      <c r="K27" s="13">
        <v>540</v>
      </c>
      <c r="L27" s="13">
        <v>0</v>
      </c>
      <c r="M27" s="13">
        <v>108</v>
      </c>
      <c r="N27" s="13">
        <v>432</v>
      </c>
      <c r="O27" s="13">
        <v>0</v>
      </c>
      <c r="P27" s="13">
        <v>0</v>
      </c>
      <c r="Q27" s="13">
        <v>108</v>
      </c>
      <c r="R27" s="13">
        <v>432</v>
      </c>
      <c r="S27" s="13">
        <v>108</v>
      </c>
      <c r="T27" s="13">
        <v>432</v>
      </c>
      <c r="U27" s="13">
        <v>108</v>
      </c>
      <c r="V27" s="13">
        <v>436</v>
      </c>
      <c r="W27" s="13">
        <v>0</v>
      </c>
      <c r="X27" s="13">
        <v>108</v>
      </c>
      <c r="Y27" s="13">
        <v>540</v>
      </c>
      <c r="Z27" s="13">
        <v>432</v>
      </c>
      <c r="AA27" s="13">
        <v>0</v>
      </c>
      <c r="AB27" s="13">
        <v>0</v>
      </c>
      <c r="AC27" s="13">
        <v>108</v>
      </c>
      <c r="AD27" s="13">
        <v>432</v>
      </c>
    </row>
    <row r="28" spans="1:30" ht="15.75" thickBot="1" x14ac:dyDescent="0.3">
      <c r="A28" s="9" t="s">
        <v>257</v>
      </c>
      <c r="B28" s="9" t="s">
        <v>299</v>
      </c>
      <c r="C28" s="45" t="str">
        <f t="shared" si="0"/>
        <v>N1WB 17D698 AD3ZHE</v>
      </c>
      <c r="D28" s="10" t="s">
        <v>302</v>
      </c>
      <c r="E28" s="10" t="s">
        <v>303</v>
      </c>
      <c r="F28" s="9" t="s">
        <v>261</v>
      </c>
      <c r="G28" s="9" t="s">
        <v>262</v>
      </c>
      <c r="H28" s="12">
        <v>90</v>
      </c>
      <c r="I28" s="12">
        <v>-18</v>
      </c>
      <c r="J28" s="13">
        <v>18</v>
      </c>
      <c r="K28" s="13">
        <v>1728</v>
      </c>
      <c r="L28" s="13">
        <v>1253</v>
      </c>
      <c r="M28" s="13">
        <v>951</v>
      </c>
      <c r="N28" s="13">
        <v>1296</v>
      </c>
      <c r="O28" s="13">
        <v>1296</v>
      </c>
      <c r="P28" s="13">
        <v>1252</v>
      </c>
      <c r="Q28" s="13">
        <v>1080</v>
      </c>
      <c r="R28" s="13">
        <v>1167</v>
      </c>
      <c r="S28" s="13">
        <v>1512</v>
      </c>
      <c r="T28" s="13">
        <v>1512</v>
      </c>
      <c r="U28" s="13">
        <v>1469</v>
      </c>
      <c r="V28" s="13">
        <v>1425</v>
      </c>
      <c r="W28" s="13">
        <v>1987</v>
      </c>
      <c r="X28" s="13">
        <v>2074</v>
      </c>
      <c r="Y28" s="13">
        <v>1858</v>
      </c>
      <c r="Z28" s="13">
        <v>1904</v>
      </c>
      <c r="AA28" s="13">
        <v>130</v>
      </c>
      <c r="AB28" s="13">
        <v>950</v>
      </c>
      <c r="AC28" s="13">
        <v>2117</v>
      </c>
      <c r="AD28" s="13">
        <v>1944</v>
      </c>
    </row>
    <row r="29" spans="1:30" ht="15.75" thickBot="1" x14ac:dyDescent="0.3">
      <c r="A29" s="9" t="s">
        <v>257</v>
      </c>
      <c r="B29" s="9" t="s">
        <v>304</v>
      </c>
      <c r="C29" s="45" t="str">
        <f t="shared" si="0"/>
        <v>N1WB 17C791 GA</v>
      </c>
      <c r="D29" s="10" t="s">
        <v>305</v>
      </c>
      <c r="E29" s="10" t="s">
        <v>306</v>
      </c>
      <c r="F29" s="9" t="s">
        <v>261</v>
      </c>
      <c r="G29" s="9" t="s">
        <v>262</v>
      </c>
      <c r="H29" s="11">
        <v>116.129</v>
      </c>
      <c r="I29" s="12">
        <v>577</v>
      </c>
      <c r="J29" s="13">
        <v>0</v>
      </c>
      <c r="K29" s="13">
        <v>0</v>
      </c>
      <c r="L29" s="13">
        <v>395</v>
      </c>
      <c r="M29" s="13">
        <v>108</v>
      </c>
      <c r="N29" s="13">
        <v>0</v>
      </c>
      <c r="O29" s="13">
        <v>0</v>
      </c>
      <c r="P29" s="13">
        <v>432</v>
      </c>
      <c r="Q29" s="13">
        <v>108</v>
      </c>
      <c r="R29" s="13">
        <v>432</v>
      </c>
      <c r="S29" s="13">
        <v>108</v>
      </c>
      <c r="T29" s="13">
        <v>0</v>
      </c>
      <c r="U29" s="13">
        <v>432</v>
      </c>
      <c r="V29" s="13">
        <v>115</v>
      </c>
      <c r="W29" s="13">
        <v>432</v>
      </c>
      <c r="X29" s="13">
        <v>108</v>
      </c>
      <c r="Y29" s="13">
        <v>432</v>
      </c>
      <c r="Z29" s="13">
        <v>108</v>
      </c>
      <c r="AA29" s="13">
        <v>0</v>
      </c>
      <c r="AB29" s="13">
        <v>0</v>
      </c>
      <c r="AC29" s="13">
        <v>432</v>
      </c>
      <c r="AD29" s="13">
        <v>108</v>
      </c>
    </row>
    <row r="30" spans="1:30" ht="15.75" thickBot="1" x14ac:dyDescent="0.3">
      <c r="A30" s="9" t="s">
        <v>257</v>
      </c>
      <c r="B30" s="9" t="s">
        <v>304</v>
      </c>
      <c r="C30" s="45" t="str">
        <f t="shared" si="0"/>
        <v>N1WB 17D699 AD3ZHE</v>
      </c>
      <c r="D30" s="10" t="s">
        <v>307</v>
      </c>
      <c r="E30" s="10" t="s">
        <v>303</v>
      </c>
      <c r="F30" s="9" t="s">
        <v>261</v>
      </c>
      <c r="G30" s="9" t="s">
        <v>262</v>
      </c>
      <c r="H30" s="12">
        <v>90</v>
      </c>
      <c r="I30" s="12">
        <v>304</v>
      </c>
      <c r="J30" s="13">
        <v>0</v>
      </c>
      <c r="K30" s="13">
        <v>1208</v>
      </c>
      <c r="L30" s="13">
        <v>1253</v>
      </c>
      <c r="M30" s="13">
        <v>951</v>
      </c>
      <c r="N30" s="13">
        <v>1296</v>
      </c>
      <c r="O30" s="13">
        <v>1296</v>
      </c>
      <c r="P30" s="13">
        <v>1252</v>
      </c>
      <c r="Q30" s="13">
        <v>1080</v>
      </c>
      <c r="R30" s="13">
        <v>1167</v>
      </c>
      <c r="S30" s="13">
        <v>1512</v>
      </c>
      <c r="T30" s="13">
        <v>1512</v>
      </c>
      <c r="U30" s="13">
        <v>1469</v>
      </c>
      <c r="V30" s="13">
        <v>1425</v>
      </c>
      <c r="W30" s="13">
        <v>1987</v>
      </c>
      <c r="X30" s="13">
        <v>2074</v>
      </c>
      <c r="Y30" s="13">
        <v>1858</v>
      </c>
      <c r="Z30" s="13">
        <v>1900</v>
      </c>
      <c r="AA30" s="13">
        <v>130</v>
      </c>
      <c r="AB30" s="13">
        <v>950</v>
      </c>
      <c r="AC30" s="13">
        <v>2117</v>
      </c>
      <c r="AD30" s="13">
        <v>1944</v>
      </c>
    </row>
    <row r="31" spans="1:30" ht="15.75" thickBot="1" x14ac:dyDescent="0.3">
      <c r="A31" s="9" t="s">
        <v>257</v>
      </c>
      <c r="B31" s="9" t="s">
        <v>308</v>
      </c>
      <c r="C31" s="45" t="str">
        <f t="shared" si="0"/>
        <v>ASYE23901ABP</v>
      </c>
      <c r="D31" s="10" t="s">
        <v>309</v>
      </c>
      <c r="E31" s="10" t="s">
        <v>310</v>
      </c>
      <c r="F31" s="9" t="s">
        <v>261</v>
      </c>
      <c r="G31" s="9" t="s">
        <v>262</v>
      </c>
      <c r="H31" s="12">
        <v>80</v>
      </c>
      <c r="I31" s="12">
        <v>54</v>
      </c>
      <c r="J31" s="13">
        <v>0</v>
      </c>
      <c r="K31" s="13">
        <v>126</v>
      </c>
      <c r="L31" s="13">
        <v>93</v>
      </c>
      <c r="M31" s="13">
        <v>86</v>
      </c>
      <c r="N31" s="13">
        <v>79</v>
      </c>
      <c r="O31" s="13">
        <v>94</v>
      </c>
      <c r="P31" s="13">
        <v>75</v>
      </c>
      <c r="Q31" s="13">
        <v>67</v>
      </c>
      <c r="R31" s="13">
        <v>86</v>
      </c>
      <c r="S31" s="13">
        <v>111</v>
      </c>
      <c r="T31" s="13">
        <v>111</v>
      </c>
      <c r="U31" s="13">
        <v>80</v>
      </c>
      <c r="V31" s="13">
        <v>132</v>
      </c>
      <c r="W31" s="13">
        <v>139</v>
      </c>
      <c r="X31" s="13">
        <v>140</v>
      </c>
      <c r="Y31" s="13">
        <v>206</v>
      </c>
      <c r="Z31" s="13">
        <v>46</v>
      </c>
      <c r="AA31" s="13">
        <v>0</v>
      </c>
      <c r="AB31" s="13">
        <v>104</v>
      </c>
      <c r="AC31" s="13">
        <v>134</v>
      </c>
      <c r="AD31" s="13">
        <v>128</v>
      </c>
    </row>
    <row r="32" spans="1:30" ht="15.75" thickBot="1" x14ac:dyDescent="0.3">
      <c r="A32" s="9" t="s">
        <v>257</v>
      </c>
      <c r="B32" s="9" t="s">
        <v>308</v>
      </c>
      <c r="C32" s="45" t="str">
        <f t="shared" si="0"/>
        <v>ASYE23901ADSG</v>
      </c>
      <c r="D32" s="10" t="s">
        <v>311</v>
      </c>
      <c r="E32" s="10" t="s">
        <v>312</v>
      </c>
      <c r="F32" s="9" t="s">
        <v>261</v>
      </c>
      <c r="G32" s="9" t="s">
        <v>262</v>
      </c>
      <c r="H32" s="12">
        <v>80</v>
      </c>
      <c r="I32" s="8"/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2</v>
      </c>
      <c r="T32" s="13">
        <v>0</v>
      </c>
      <c r="U32" s="13">
        <v>0</v>
      </c>
      <c r="V32" s="13">
        <v>10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</row>
    <row r="33" spans="1:30" ht="15.75" thickBot="1" x14ac:dyDescent="0.3">
      <c r="A33" s="9" t="s">
        <v>257</v>
      </c>
      <c r="B33" s="9" t="s">
        <v>308</v>
      </c>
      <c r="C33" s="45" t="str">
        <f t="shared" si="0"/>
        <v>ASYE23901AMIC</v>
      </c>
      <c r="D33" s="10" t="s">
        <v>313</v>
      </c>
      <c r="E33" s="10" t="s">
        <v>314</v>
      </c>
      <c r="F33" s="9" t="s">
        <v>261</v>
      </c>
      <c r="G33" s="9" t="s">
        <v>262</v>
      </c>
      <c r="H33" s="12">
        <v>80</v>
      </c>
      <c r="I33" s="12">
        <v>178</v>
      </c>
      <c r="J33" s="13">
        <v>0</v>
      </c>
      <c r="K33" s="13">
        <v>1153</v>
      </c>
      <c r="L33" s="13">
        <v>682</v>
      </c>
      <c r="M33" s="13">
        <v>811</v>
      </c>
      <c r="N33" s="13">
        <v>1019</v>
      </c>
      <c r="O33" s="13">
        <v>1153</v>
      </c>
      <c r="P33" s="13">
        <v>762</v>
      </c>
      <c r="Q33" s="13">
        <v>575</v>
      </c>
      <c r="R33" s="13">
        <v>915</v>
      </c>
      <c r="S33" s="13">
        <v>1062</v>
      </c>
      <c r="T33" s="13">
        <v>1085</v>
      </c>
      <c r="U33" s="13">
        <v>767</v>
      </c>
      <c r="V33" s="13">
        <v>1296</v>
      </c>
      <c r="W33" s="13">
        <v>1480</v>
      </c>
      <c r="X33" s="13">
        <v>1220</v>
      </c>
      <c r="Y33" s="13">
        <v>1921</v>
      </c>
      <c r="Z33" s="13">
        <v>420</v>
      </c>
      <c r="AA33" s="13">
        <v>0</v>
      </c>
      <c r="AB33" s="13">
        <v>1176</v>
      </c>
      <c r="AC33" s="13">
        <v>1503</v>
      </c>
      <c r="AD33" s="13">
        <v>1396</v>
      </c>
    </row>
    <row r="34" spans="1:30" ht="15.75" thickBot="1" x14ac:dyDescent="0.3">
      <c r="A34" s="9" t="s">
        <v>257</v>
      </c>
      <c r="B34" s="9" t="s">
        <v>308</v>
      </c>
      <c r="C34" s="45" t="str">
        <f t="shared" si="0"/>
        <v>ASYE23901ASE</v>
      </c>
      <c r="D34" s="10" t="s">
        <v>315</v>
      </c>
      <c r="E34" s="10" t="s">
        <v>316</v>
      </c>
      <c r="F34" s="9" t="s">
        <v>261</v>
      </c>
      <c r="G34" s="9" t="s">
        <v>262</v>
      </c>
      <c r="H34" s="12">
        <v>80</v>
      </c>
      <c r="I34" s="12">
        <v>47</v>
      </c>
      <c r="J34" s="13">
        <v>0</v>
      </c>
      <c r="K34" s="13">
        <v>116</v>
      </c>
      <c r="L34" s="13">
        <v>88</v>
      </c>
      <c r="M34" s="13">
        <v>56</v>
      </c>
      <c r="N34" s="13">
        <v>72</v>
      </c>
      <c r="O34" s="13">
        <v>144</v>
      </c>
      <c r="P34" s="13">
        <v>110</v>
      </c>
      <c r="Q34" s="13">
        <v>56</v>
      </c>
      <c r="R34" s="13">
        <v>128</v>
      </c>
      <c r="S34" s="13">
        <v>144</v>
      </c>
      <c r="T34" s="13">
        <v>132</v>
      </c>
      <c r="U34" s="13">
        <v>116</v>
      </c>
      <c r="V34" s="13">
        <v>207</v>
      </c>
      <c r="W34" s="13">
        <v>196</v>
      </c>
      <c r="X34" s="13">
        <v>185</v>
      </c>
      <c r="Y34" s="13">
        <v>263</v>
      </c>
      <c r="Z34" s="13">
        <v>54</v>
      </c>
      <c r="AA34" s="13">
        <v>0</v>
      </c>
      <c r="AB34" s="13">
        <v>196</v>
      </c>
      <c r="AC34" s="13">
        <v>216</v>
      </c>
      <c r="AD34" s="13">
        <v>180</v>
      </c>
    </row>
    <row r="35" spans="1:30" ht="15.75" thickBot="1" x14ac:dyDescent="0.3">
      <c r="A35" s="9" t="s">
        <v>257</v>
      </c>
      <c r="B35" s="9" t="s">
        <v>308</v>
      </c>
      <c r="C35" s="45" t="str">
        <f t="shared" si="0"/>
        <v>ASYE23901ATS</v>
      </c>
      <c r="D35" s="10" t="s">
        <v>317</v>
      </c>
      <c r="E35" s="10" t="s">
        <v>318</v>
      </c>
      <c r="F35" s="9" t="s">
        <v>261</v>
      </c>
      <c r="G35" s="9" t="s">
        <v>262</v>
      </c>
      <c r="H35" s="12">
        <v>80</v>
      </c>
      <c r="I35" s="12">
        <v>43</v>
      </c>
      <c r="J35" s="13">
        <v>0</v>
      </c>
      <c r="K35" s="13">
        <v>164</v>
      </c>
      <c r="L35" s="13">
        <v>152</v>
      </c>
      <c r="M35" s="13">
        <v>154</v>
      </c>
      <c r="N35" s="13">
        <v>106</v>
      </c>
      <c r="O35" s="13">
        <v>87</v>
      </c>
      <c r="P35" s="13">
        <v>219</v>
      </c>
      <c r="Q35" s="13">
        <v>244</v>
      </c>
      <c r="R35" s="13">
        <v>247</v>
      </c>
      <c r="S35" s="13">
        <v>250</v>
      </c>
      <c r="T35" s="13">
        <v>243</v>
      </c>
      <c r="U35" s="13">
        <v>170</v>
      </c>
      <c r="V35" s="13">
        <v>247</v>
      </c>
      <c r="W35" s="13">
        <v>247</v>
      </c>
      <c r="X35" s="13">
        <v>261</v>
      </c>
      <c r="Y35" s="13">
        <v>396</v>
      </c>
      <c r="Z35" s="13">
        <v>88</v>
      </c>
      <c r="AA35" s="13">
        <v>0</v>
      </c>
      <c r="AB35" s="13">
        <v>192</v>
      </c>
      <c r="AC35" s="13">
        <v>240</v>
      </c>
      <c r="AD35" s="13">
        <v>240</v>
      </c>
    </row>
    <row r="36" spans="1:30" ht="15.75" thickBot="1" x14ac:dyDescent="0.3">
      <c r="A36" s="9" t="s">
        <v>257</v>
      </c>
      <c r="B36" s="9" t="s">
        <v>319</v>
      </c>
      <c r="C36" s="45" t="str">
        <f t="shared" si="0"/>
        <v>N1WB 14A563 KD3ZHE</v>
      </c>
      <c r="D36" s="10" t="s">
        <v>320</v>
      </c>
      <c r="E36" s="10" t="s">
        <v>321</v>
      </c>
      <c r="F36" s="9" t="s">
        <v>261</v>
      </c>
      <c r="G36" s="9" t="s">
        <v>262</v>
      </c>
      <c r="H36" s="12">
        <v>30</v>
      </c>
      <c r="I36" s="12">
        <v>2167</v>
      </c>
      <c r="J36" s="13">
        <v>0</v>
      </c>
      <c r="K36" s="13">
        <v>137</v>
      </c>
      <c r="L36" s="13">
        <v>1152</v>
      </c>
      <c r="M36" s="13">
        <v>1038</v>
      </c>
      <c r="N36" s="13">
        <v>1228</v>
      </c>
      <c r="O36" s="13">
        <v>1344</v>
      </c>
      <c r="P36" s="13">
        <v>1268</v>
      </c>
      <c r="Q36" s="13">
        <v>1074</v>
      </c>
      <c r="R36" s="13">
        <v>1192</v>
      </c>
      <c r="S36" s="13">
        <v>1536</v>
      </c>
      <c r="T36" s="13">
        <v>1536</v>
      </c>
      <c r="U36" s="13">
        <v>1382</v>
      </c>
      <c r="V36" s="13">
        <v>1536</v>
      </c>
      <c r="W36" s="13">
        <v>2112</v>
      </c>
      <c r="X36" s="13">
        <v>1958</v>
      </c>
      <c r="Y36" s="13">
        <v>1958</v>
      </c>
      <c r="Z36" s="13">
        <v>1382</v>
      </c>
      <c r="AA36" s="13">
        <v>308</v>
      </c>
      <c r="AB36" s="13">
        <v>1306</v>
      </c>
      <c r="AC36" s="13">
        <v>2112</v>
      </c>
      <c r="AD36" s="13">
        <v>1958</v>
      </c>
    </row>
    <row r="37" spans="1:30" ht="15.75" thickBot="1" x14ac:dyDescent="0.3">
      <c r="A37" s="9" t="s">
        <v>257</v>
      </c>
      <c r="B37" s="9" t="s">
        <v>322</v>
      </c>
      <c r="C37" s="45" t="str">
        <f t="shared" si="0"/>
        <v>N1WB 14A567 BE3ZHE</v>
      </c>
      <c r="D37" s="10" t="s">
        <v>323</v>
      </c>
      <c r="E37" s="10" t="s">
        <v>324</v>
      </c>
      <c r="F37" s="9" t="s">
        <v>261</v>
      </c>
      <c r="G37" s="9" t="s">
        <v>262</v>
      </c>
      <c r="H37" s="12">
        <v>80</v>
      </c>
      <c r="I37" s="12">
        <v>1968</v>
      </c>
      <c r="J37" s="13">
        <v>0</v>
      </c>
      <c r="K37" s="13">
        <v>151</v>
      </c>
      <c r="L37" s="13">
        <v>1152</v>
      </c>
      <c r="M37" s="13">
        <v>1114</v>
      </c>
      <c r="N37" s="13">
        <v>1344</v>
      </c>
      <c r="O37" s="13">
        <v>1344</v>
      </c>
      <c r="P37" s="13">
        <v>1190</v>
      </c>
      <c r="Q37" s="13">
        <v>1038</v>
      </c>
      <c r="R37" s="13">
        <v>1228</v>
      </c>
      <c r="S37" s="13">
        <v>1498</v>
      </c>
      <c r="T37" s="13">
        <v>1574</v>
      </c>
      <c r="U37" s="13">
        <v>1344</v>
      </c>
      <c r="V37" s="13">
        <v>1581</v>
      </c>
      <c r="W37" s="13">
        <v>1998</v>
      </c>
      <c r="X37" s="13">
        <v>1958</v>
      </c>
      <c r="Y37" s="13">
        <v>2036</v>
      </c>
      <c r="Z37" s="13">
        <v>1496</v>
      </c>
      <c r="AA37" s="13">
        <v>232</v>
      </c>
      <c r="AB37" s="13">
        <v>1190</v>
      </c>
      <c r="AC37" s="13">
        <v>2112</v>
      </c>
      <c r="AD37" s="13">
        <v>2034</v>
      </c>
    </row>
    <row r="38" spans="1:30" ht="15.75" thickBot="1" x14ac:dyDescent="0.3">
      <c r="A38" s="9" t="s">
        <v>257</v>
      </c>
      <c r="B38" s="9" t="s">
        <v>325</v>
      </c>
      <c r="C38" s="45" t="str">
        <f t="shared" si="0"/>
        <v>N1WB E13200 DA3ZHE</v>
      </c>
      <c r="D38" s="10" t="s">
        <v>326</v>
      </c>
      <c r="E38" s="10" t="s">
        <v>278</v>
      </c>
      <c r="F38" s="9" t="s">
        <v>261</v>
      </c>
      <c r="G38" s="9" t="s">
        <v>262</v>
      </c>
      <c r="H38" s="11">
        <v>71.287099999999995</v>
      </c>
      <c r="I38" s="12">
        <v>383</v>
      </c>
      <c r="J38" s="13">
        <v>0</v>
      </c>
      <c r="K38" s="13">
        <v>1529</v>
      </c>
      <c r="L38" s="13">
        <v>1326</v>
      </c>
      <c r="M38" s="13">
        <v>1000</v>
      </c>
      <c r="N38" s="13">
        <v>1160</v>
      </c>
      <c r="O38" s="13">
        <v>1446</v>
      </c>
      <c r="P38" s="13">
        <v>1378</v>
      </c>
      <c r="Q38" s="13">
        <v>980</v>
      </c>
      <c r="R38" s="13">
        <v>1152</v>
      </c>
      <c r="S38" s="13">
        <v>1504</v>
      </c>
      <c r="T38" s="13">
        <v>1562</v>
      </c>
      <c r="U38" s="13">
        <v>1340</v>
      </c>
      <c r="V38" s="13">
        <v>1406</v>
      </c>
      <c r="W38" s="13">
        <v>2052</v>
      </c>
      <c r="X38" s="13">
        <v>1922</v>
      </c>
      <c r="Y38" s="13">
        <v>2260</v>
      </c>
      <c r="Z38" s="13">
        <v>1838</v>
      </c>
      <c r="AA38" s="13">
        <v>0</v>
      </c>
      <c r="AB38" s="13">
        <v>836</v>
      </c>
      <c r="AC38" s="13">
        <v>2088</v>
      </c>
      <c r="AD38" s="13">
        <v>2016</v>
      </c>
    </row>
    <row r="39" spans="1:30" ht="15.75" thickBot="1" x14ac:dyDescent="0.3">
      <c r="A39" s="9" t="s">
        <v>257</v>
      </c>
      <c r="B39" s="9" t="s">
        <v>325</v>
      </c>
      <c r="C39" s="45" t="str">
        <f t="shared" si="0"/>
        <v>N1WB E243A52 ED3ZHE</v>
      </c>
      <c r="D39" s="10" t="s">
        <v>327</v>
      </c>
      <c r="E39" s="10" t="s">
        <v>328</v>
      </c>
      <c r="F39" s="9" t="s">
        <v>261</v>
      </c>
      <c r="G39" s="9" t="s">
        <v>262</v>
      </c>
      <c r="H39" s="11">
        <v>66.666600000000003</v>
      </c>
      <c r="I39" s="12">
        <v>524</v>
      </c>
      <c r="J39" s="13">
        <v>0</v>
      </c>
      <c r="K39" s="13">
        <v>1438</v>
      </c>
      <c r="L39" s="13">
        <v>1354</v>
      </c>
      <c r="M39" s="13">
        <v>998</v>
      </c>
      <c r="N39" s="13">
        <v>1170</v>
      </c>
      <c r="O39" s="13">
        <v>1440</v>
      </c>
      <c r="P39" s="13">
        <v>1372</v>
      </c>
      <c r="Q39" s="13">
        <v>982</v>
      </c>
      <c r="R39" s="13">
        <v>1134</v>
      </c>
      <c r="S39" s="13">
        <v>1508</v>
      </c>
      <c r="T39" s="13">
        <v>1578</v>
      </c>
      <c r="U39" s="13">
        <v>1320</v>
      </c>
      <c r="V39" s="13">
        <v>1400</v>
      </c>
      <c r="W39" s="13">
        <v>2070</v>
      </c>
      <c r="X39" s="13">
        <v>1926</v>
      </c>
      <c r="Y39" s="13">
        <v>2258</v>
      </c>
      <c r="Z39" s="13">
        <v>1846</v>
      </c>
      <c r="AA39" s="13">
        <v>0</v>
      </c>
      <c r="AB39" s="13">
        <v>828</v>
      </c>
      <c r="AC39" s="13">
        <v>2078</v>
      </c>
      <c r="AD39" s="13">
        <v>2016</v>
      </c>
    </row>
    <row r="40" spans="1:30" ht="15.75" thickBot="1" x14ac:dyDescent="0.3">
      <c r="A40" s="9" t="s">
        <v>257</v>
      </c>
      <c r="B40" s="9" t="s">
        <v>325</v>
      </c>
      <c r="C40" s="45" t="str">
        <f t="shared" si="0"/>
        <v>N1WB E31006 EB3ZHE</v>
      </c>
      <c r="D40" s="10" t="s">
        <v>329</v>
      </c>
      <c r="E40" s="10" t="s">
        <v>282</v>
      </c>
      <c r="F40" s="9" t="s">
        <v>261</v>
      </c>
      <c r="G40" s="9" t="s">
        <v>262</v>
      </c>
      <c r="H40" s="11">
        <v>85.714200000000005</v>
      </c>
      <c r="I40" s="12">
        <v>224</v>
      </c>
      <c r="J40" s="13">
        <v>304</v>
      </c>
      <c r="K40" s="13">
        <v>1584</v>
      </c>
      <c r="L40" s="13">
        <v>1370</v>
      </c>
      <c r="M40" s="13">
        <v>990</v>
      </c>
      <c r="N40" s="13">
        <v>1170</v>
      </c>
      <c r="O40" s="13">
        <v>1438</v>
      </c>
      <c r="P40" s="13">
        <v>1364</v>
      </c>
      <c r="Q40" s="13">
        <v>990</v>
      </c>
      <c r="R40" s="13">
        <v>1137</v>
      </c>
      <c r="S40" s="13">
        <v>1504</v>
      </c>
      <c r="T40" s="13">
        <v>1576</v>
      </c>
      <c r="U40" s="13">
        <v>1324</v>
      </c>
      <c r="V40" s="13">
        <v>1400</v>
      </c>
      <c r="W40" s="13">
        <v>2062</v>
      </c>
      <c r="X40" s="13">
        <v>1932</v>
      </c>
      <c r="Y40" s="13">
        <v>2248</v>
      </c>
      <c r="Z40" s="13">
        <v>1848</v>
      </c>
      <c r="AA40" s="13">
        <v>0</v>
      </c>
      <c r="AB40" s="13">
        <v>828</v>
      </c>
      <c r="AC40" s="13">
        <v>2076</v>
      </c>
      <c r="AD40" s="13">
        <v>2020</v>
      </c>
    </row>
    <row r="41" spans="1:30" ht="15.75" thickBot="1" x14ac:dyDescent="0.3">
      <c r="A41" s="9" t="s">
        <v>257</v>
      </c>
      <c r="B41" s="9" t="s">
        <v>330</v>
      </c>
      <c r="C41" s="45" t="str">
        <f t="shared" si="0"/>
        <v>N1WB E291A35 MAE</v>
      </c>
      <c r="D41" s="10" t="s">
        <v>331</v>
      </c>
      <c r="E41" s="10" t="s">
        <v>332</v>
      </c>
      <c r="F41" s="9" t="s">
        <v>261</v>
      </c>
      <c r="G41" s="9" t="s">
        <v>262</v>
      </c>
      <c r="H41" s="11">
        <v>81.818200000000004</v>
      </c>
      <c r="I41" s="8"/>
      <c r="J41" s="13">
        <v>0</v>
      </c>
      <c r="K41" s="13">
        <v>90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83</v>
      </c>
      <c r="R41" s="13">
        <v>0</v>
      </c>
      <c r="S41" s="13">
        <v>76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111</v>
      </c>
      <c r="AA41" s="13">
        <v>0</v>
      </c>
      <c r="AB41" s="13">
        <v>0</v>
      </c>
      <c r="AC41" s="13">
        <v>0</v>
      </c>
      <c r="AD41" s="13">
        <v>0</v>
      </c>
    </row>
    <row r="42" spans="1:30" ht="15.75" thickBot="1" x14ac:dyDescent="0.3">
      <c r="A42" s="9" t="s">
        <v>257</v>
      </c>
      <c r="B42" s="9" t="s">
        <v>330</v>
      </c>
      <c r="C42" s="45" t="str">
        <f t="shared" si="0"/>
        <v>R1WB E291A34 MAA</v>
      </c>
      <c r="D42" s="10" t="s">
        <v>333</v>
      </c>
      <c r="E42" s="10" t="s">
        <v>334</v>
      </c>
      <c r="F42" s="9" t="s">
        <v>261</v>
      </c>
      <c r="G42" s="9" t="s">
        <v>262</v>
      </c>
      <c r="H42" s="11">
        <v>105.8824</v>
      </c>
      <c r="I42" s="12">
        <v>943</v>
      </c>
      <c r="J42" s="13">
        <v>17</v>
      </c>
      <c r="K42" s="13">
        <v>1760</v>
      </c>
      <c r="L42" s="13">
        <v>960</v>
      </c>
      <c r="M42" s="13">
        <v>1184</v>
      </c>
      <c r="N42" s="13">
        <v>1280</v>
      </c>
      <c r="O42" s="13">
        <v>1408</v>
      </c>
      <c r="P42" s="13">
        <v>1184</v>
      </c>
      <c r="Q42" s="13">
        <v>992</v>
      </c>
      <c r="R42" s="13">
        <v>1344</v>
      </c>
      <c r="S42" s="13">
        <v>1628</v>
      </c>
      <c r="T42" s="13">
        <v>1600</v>
      </c>
      <c r="U42" s="13">
        <v>1088</v>
      </c>
      <c r="V42" s="13">
        <v>1856</v>
      </c>
      <c r="W42" s="13">
        <v>2080</v>
      </c>
      <c r="X42" s="13">
        <v>1824</v>
      </c>
      <c r="Y42" s="13">
        <v>2528</v>
      </c>
      <c r="Z42" s="13">
        <v>544</v>
      </c>
      <c r="AA42" s="13">
        <v>256</v>
      </c>
      <c r="AB42" s="13">
        <v>1728</v>
      </c>
      <c r="AC42" s="13">
        <v>2080</v>
      </c>
      <c r="AD42" s="13">
        <v>1952</v>
      </c>
    </row>
    <row r="43" spans="1:30" ht="15.75" thickBot="1" x14ac:dyDescent="0.3">
      <c r="A43" s="9" t="s">
        <v>257</v>
      </c>
      <c r="B43" s="9" t="s">
        <v>330</v>
      </c>
      <c r="C43" s="45" t="str">
        <f t="shared" si="0"/>
        <v>R1WB E291A35 MAA</v>
      </c>
      <c r="D43" s="10" t="s">
        <v>335</v>
      </c>
      <c r="E43" s="10" t="s">
        <v>332</v>
      </c>
      <c r="F43" s="9" t="s">
        <v>261</v>
      </c>
      <c r="G43" s="9" t="s">
        <v>262</v>
      </c>
      <c r="H43" s="11">
        <v>105.8824</v>
      </c>
      <c r="I43" s="12">
        <v>609</v>
      </c>
      <c r="J43" s="13">
        <v>0</v>
      </c>
      <c r="K43" s="13">
        <v>1151</v>
      </c>
      <c r="L43" s="13">
        <v>1312</v>
      </c>
      <c r="M43" s="13">
        <v>992</v>
      </c>
      <c r="N43" s="13">
        <v>1184</v>
      </c>
      <c r="O43" s="13">
        <v>1440</v>
      </c>
      <c r="P43" s="13">
        <v>1376</v>
      </c>
      <c r="Q43" s="13">
        <v>1088</v>
      </c>
      <c r="R43" s="13">
        <v>1056</v>
      </c>
      <c r="S43" s="13">
        <v>1472</v>
      </c>
      <c r="T43" s="13">
        <v>1600</v>
      </c>
      <c r="U43" s="13">
        <v>1472</v>
      </c>
      <c r="V43" s="13">
        <v>1197</v>
      </c>
      <c r="W43" s="13">
        <v>2080</v>
      </c>
      <c r="X43" s="13">
        <v>1984</v>
      </c>
      <c r="Y43" s="13">
        <v>1856</v>
      </c>
      <c r="Z43" s="13">
        <v>2320</v>
      </c>
      <c r="AA43" s="13">
        <v>64</v>
      </c>
      <c r="AB43" s="13">
        <v>672</v>
      </c>
      <c r="AC43" s="13">
        <v>2080</v>
      </c>
      <c r="AD43" s="13">
        <v>2048</v>
      </c>
    </row>
    <row r="44" spans="1:30" ht="15.75" thickBot="1" x14ac:dyDescent="0.3">
      <c r="A44" s="9" t="s">
        <v>257</v>
      </c>
      <c r="B44" s="9" t="s">
        <v>336</v>
      </c>
      <c r="C44" s="45" t="str">
        <f t="shared" si="0"/>
        <v>N1WB E31002 CD3ZHE</v>
      </c>
      <c r="D44" s="10" t="s">
        <v>337</v>
      </c>
      <c r="E44" s="10" t="s">
        <v>338</v>
      </c>
      <c r="F44" s="9" t="s">
        <v>261</v>
      </c>
      <c r="G44" s="9" t="s">
        <v>262</v>
      </c>
      <c r="H44" s="11">
        <v>85.714200000000005</v>
      </c>
      <c r="I44" s="12">
        <v>1528</v>
      </c>
      <c r="J44" s="13">
        <v>0</v>
      </c>
      <c r="K44" s="13">
        <v>408</v>
      </c>
      <c r="L44" s="13">
        <v>1356</v>
      </c>
      <c r="M44" s="13">
        <v>1004</v>
      </c>
      <c r="N44" s="13">
        <v>1160</v>
      </c>
      <c r="O44" s="13">
        <v>1426</v>
      </c>
      <c r="P44" s="13">
        <v>1374</v>
      </c>
      <c r="Q44" s="13">
        <v>1002</v>
      </c>
      <c r="R44" s="13">
        <v>1136</v>
      </c>
      <c r="S44" s="13">
        <v>1486</v>
      </c>
      <c r="T44" s="13">
        <v>1558</v>
      </c>
      <c r="U44" s="13">
        <v>1338</v>
      </c>
      <c r="V44" s="13">
        <v>1408</v>
      </c>
      <c r="W44" s="13">
        <v>2068</v>
      </c>
      <c r="X44" s="13">
        <v>1928</v>
      </c>
      <c r="Y44" s="13">
        <v>2260</v>
      </c>
      <c r="Z44" s="13">
        <v>1848</v>
      </c>
      <c r="AA44" s="13">
        <v>0</v>
      </c>
      <c r="AB44" s="13">
        <v>828</v>
      </c>
      <c r="AC44" s="13">
        <v>2068</v>
      </c>
      <c r="AD44" s="13">
        <v>2016</v>
      </c>
    </row>
    <row r="45" spans="1:30" ht="15.75" thickBot="1" x14ac:dyDescent="0.3">
      <c r="A45" s="9" t="s">
        <v>257</v>
      </c>
      <c r="B45" s="9" t="s">
        <v>339</v>
      </c>
      <c r="C45" s="45" t="str">
        <f t="shared" si="0"/>
        <v>ASYE025B84B</v>
      </c>
      <c r="D45" s="10" t="s">
        <v>340</v>
      </c>
      <c r="E45" s="10" t="s">
        <v>341</v>
      </c>
      <c r="F45" s="9" t="s">
        <v>261</v>
      </c>
      <c r="G45" s="9" t="s">
        <v>262</v>
      </c>
      <c r="H45" s="11">
        <v>87.8048</v>
      </c>
      <c r="I45" s="12">
        <v>140</v>
      </c>
      <c r="J45" s="13">
        <v>0</v>
      </c>
      <c r="K45" s="13">
        <v>0</v>
      </c>
      <c r="L45" s="13">
        <v>0</v>
      </c>
      <c r="M45" s="13">
        <v>0</v>
      </c>
      <c r="N45" s="13">
        <v>67</v>
      </c>
      <c r="O45" s="13">
        <v>106</v>
      </c>
      <c r="P45" s="13">
        <v>144</v>
      </c>
      <c r="Q45" s="13">
        <v>264</v>
      </c>
      <c r="R45" s="13">
        <v>238</v>
      </c>
      <c r="S45" s="13">
        <v>238</v>
      </c>
      <c r="T45" s="13">
        <v>264</v>
      </c>
      <c r="U45" s="13">
        <v>212</v>
      </c>
      <c r="V45" s="13">
        <v>184</v>
      </c>
      <c r="W45" s="13">
        <v>264</v>
      </c>
      <c r="X45" s="13">
        <v>238</v>
      </c>
      <c r="Y45" s="13">
        <v>304</v>
      </c>
      <c r="Z45" s="13">
        <v>292</v>
      </c>
      <c r="AA45" s="13">
        <v>0</v>
      </c>
      <c r="AB45" s="13">
        <v>106</v>
      </c>
      <c r="AC45" s="13">
        <v>264</v>
      </c>
      <c r="AD45" s="13">
        <v>238</v>
      </c>
    </row>
    <row r="46" spans="1:30" ht="15.75" thickBot="1" x14ac:dyDescent="0.3">
      <c r="A46" s="9" t="s">
        <v>257</v>
      </c>
      <c r="B46" s="9" t="s">
        <v>339</v>
      </c>
      <c r="C46" s="45" t="str">
        <f t="shared" si="0"/>
        <v>ASYE025B84B1NB</v>
      </c>
      <c r="D46" s="10" t="s">
        <v>342</v>
      </c>
      <c r="E46" s="10" t="s">
        <v>341</v>
      </c>
      <c r="F46" s="9" t="s">
        <v>261</v>
      </c>
      <c r="G46" s="9" t="s">
        <v>262</v>
      </c>
      <c r="H46" s="11">
        <v>87.8048</v>
      </c>
      <c r="I46" s="12">
        <v>-38</v>
      </c>
      <c r="J46" s="13">
        <v>38</v>
      </c>
      <c r="K46" s="13">
        <v>60</v>
      </c>
      <c r="L46" s="13">
        <v>212</v>
      </c>
      <c r="M46" s="13">
        <v>146</v>
      </c>
      <c r="N46" s="13">
        <v>118</v>
      </c>
      <c r="O46" s="13">
        <v>224</v>
      </c>
      <c r="P46" s="13">
        <v>212</v>
      </c>
      <c r="Q46" s="13">
        <v>132</v>
      </c>
      <c r="R46" s="13">
        <v>184</v>
      </c>
      <c r="S46" s="13">
        <v>238</v>
      </c>
      <c r="T46" s="13">
        <v>224</v>
      </c>
      <c r="U46" s="13">
        <v>238</v>
      </c>
      <c r="V46" s="13">
        <v>250</v>
      </c>
      <c r="W46" s="13">
        <v>330</v>
      </c>
      <c r="X46" s="13">
        <v>330</v>
      </c>
      <c r="Y46" s="13">
        <v>410</v>
      </c>
      <c r="Z46" s="13">
        <v>322</v>
      </c>
      <c r="AA46" s="13">
        <v>0</v>
      </c>
      <c r="AB46" s="13">
        <v>132</v>
      </c>
      <c r="AC46" s="13">
        <v>330</v>
      </c>
      <c r="AD46" s="13">
        <v>330</v>
      </c>
    </row>
    <row r="47" spans="1:30" ht="15.75" thickBot="1" x14ac:dyDescent="0.3">
      <c r="A47" s="9" t="s">
        <v>257</v>
      </c>
      <c r="B47" s="9" t="s">
        <v>343</v>
      </c>
      <c r="C47" s="45" t="str">
        <f t="shared" si="0"/>
        <v>N1WB 14A564 SD3ZHE</v>
      </c>
      <c r="D47" s="10" t="s">
        <v>344</v>
      </c>
      <c r="E47" s="10" t="s">
        <v>345</v>
      </c>
      <c r="F47" s="9" t="s">
        <v>261</v>
      </c>
      <c r="G47" s="9" t="s">
        <v>262</v>
      </c>
      <c r="H47" s="12">
        <v>30</v>
      </c>
      <c r="I47" s="12">
        <v>2462</v>
      </c>
      <c r="J47" s="13">
        <v>0</v>
      </c>
      <c r="K47" s="13">
        <v>0</v>
      </c>
      <c r="L47" s="13">
        <v>0</v>
      </c>
      <c r="M47" s="13">
        <v>418</v>
      </c>
      <c r="N47" s="13">
        <v>1038</v>
      </c>
      <c r="O47" s="13">
        <v>1074</v>
      </c>
      <c r="P47" s="13">
        <v>884</v>
      </c>
      <c r="Q47" s="13">
        <v>692</v>
      </c>
      <c r="R47" s="13">
        <v>728</v>
      </c>
      <c r="S47" s="13">
        <v>1038</v>
      </c>
      <c r="T47" s="13">
        <v>1074</v>
      </c>
      <c r="U47" s="13">
        <v>960</v>
      </c>
      <c r="V47" s="13">
        <v>1114</v>
      </c>
      <c r="W47" s="13">
        <v>1422</v>
      </c>
      <c r="X47" s="13">
        <v>1382</v>
      </c>
      <c r="Y47" s="13">
        <v>1306</v>
      </c>
      <c r="Z47" s="13">
        <v>920</v>
      </c>
      <c r="AA47" s="13">
        <v>232</v>
      </c>
      <c r="AB47" s="13">
        <v>960</v>
      </c>
      <c r="AC47" s="13">
        <v>1458</v>
      </c>
      <c r="AD47" s="13">
        <v>1422</v>
      </c>
    </row>
    <row r="48" spans="1:30" ht="15.75" thickBot="1" x14ac:dyDescent="0.3">
      <c r="A48" s="9" t="s">
        <v>257</v>
      </c>
      <c r="B48" s="9" t="s">
        <v>343</v>
      </c>
      <c r="C48" s="45" t="str">
        <f t="shared" si="0"/>
        <v>N1WB 14A564 VD3ZHE</v>
      </c>
      <c r="D48" s="10" t="s">
        <v>346</v>
      </c>
      <c r="E48" s="10" t="s">
        <v>345</v>
      </c>
      <c r="F48" s="9" t="s">
        <v>261</v>
      </c>
      <c r="G48" s="9" t="s">
        <v>262</v>
      </c>
      <c r="H48" s="12">
        <v>30</v>
      </c>
      <c r="I48" s="12">
        <v>1049</v>
      </c>
      <c r="J48" s="13">
        <v>0</v>
      </c>
      <c r="K48" s="13">
        <v>0</v>
      </c>
      <c r="L48" s="13">
        <v>0</v>
      </c>
      <c r="M48" s="13">
        <v>257</v>
      </c>
      <c r="N48" s="13">
        <v>384</v>
      </c>
      <c r="O48" s="13">
        <v>308</v>
      </c>
      <c r="P48" s="13">
        <v>268</v>
      </c>
      <c r="Q48" s="13">
        <v>384</v>
      </c>
      <c r="R48" s="13">
        <v>462</v>
      </c>
      <c r="S48" s="13">
        <v>576</v>
      </c>
      <c r="T48" s="13">
        <v>498</v>
      </c>
      <c r="U48" s="13">
        <v>384</v>
      </c>
      <c r="V48" s="13">
        <v>470</v>
      </c>
      <c r="W48" s="13">
        <v>576</v>
      </c>
      <c r="X48" s="13">
        <v>576</v>
      </c>
      <c r="Y48" s="13">
        <v>652</v>
      </c>
      <c r="Z48" s="13">
        <v>460</v>
      </c>
      <c r="AA48" s="13">
        <v>78</v>
      </c>
      <c r="AB48" s="13">
        <v>346</v>
      </c>
      <c r="AC48" s="13">
        <v>576</v>
      </c>
      <c r="AD48" s="13">
        <v>576</v>
      </c>
    </row>
    <row r="49" spans="1:30" ht="15.75" thickBot="1" x14ac:dyDescent="0.3">
      <c r="A49" s="9" t="s">
        <v>257</v>
      </c>
      <c r="B49" s="9" t="s">
        <v>347</v>
      </c>
      <c r="C49" s="45" t="str">
        <f t="shared" si="0"/>
        <v>N1WB 14A568 BE3ZHE</v>
      </c>
      <c r="D49" s="10" t="s">
        <v>348</v>
      </c>
      <c r="E49" s="10" t="s">
        <v>349</v>
      </c>
      <c r="F49" s="9" t="s">
        <v>261</v>
      </c>
      <c r="G49" s="9" t="s">
        <v>262</v>
      </c>
      <c r="H49" s="12">
        <v>80</v>
      </c>
      <c r="I49" s="12">
        <v>1368</v>
      </c>
      <c r="J49" s="13">
        <v>0</v>
      </c>
      <c r="K49" s="13">
        <v>552</v>
      </c>
      <c r="L49" s="13">
        <v>1268</v>
      </c>
      <c r="M49" s="13">
        <v>998</v>
      </c>
      <c r="N49" s="13">
        <v>1344</v>
      </c>
      <c r="O49" s="13">
        <v>1344</v>
      </c>
      <c r="P49" s="13">
        <v>1190</v>
      </c>
      <c r="Q49" s="13">
        <v>1038</v>
      </c>
      <c r="R49" s="13">
        <v>1306</v>
      </c>
      <c r="S49" s="13">
        <v>1536</v>
      </c>
      <c r="T49" s="13">
        <v>1536</v>
      </c>
      <c r="U49" s="13">
        <v>1382</v>
      </c>
      <c r="V49" s="13">
        <v>1536</v>
      </c>
      <c r="W49" s="13">
        <v>2112</v>
      </c>
      <c r="X49" s="13">
        <v>1882</v>
      </c>
      <c r="Y49" s="13">
        <v>1920</v>
      </c>
      <c r="Z49" s="13">
        <v>1496</v>
      </c>
      <c r="AA49" s="13">
        <v>232</v>
      </c>
      <c r="AB49" s="13">
        <v>1190</v>
      </c>
      <c r="AC49" s="13">
        <v>2112</v>
      </c>
      <c r="AD49" s="13">
        <v>2034</v>
      </c>
    </row>
    <row r="50" spans="1:30" ht="15.75" thickBot="1" x14ac:dyDescent="0.3">
      <c r="A50" s="9" t="s">
        <v>257</v>
      </c>
      <c r="B50" s="9" t="s">
        <v>350</v>
      </c>
      <c r="C50" s="45" t="str">
        <f t="shared" si="0"/>
        <v>ASYE23900ABP</v>
      </c>
      <c r="D50" s="10" t="s">
        <v>351</v>
      </c>
      <c r="E50" s="10" t="s">
        <v>352</v>
      </c>
      <c r="F50" s="9" t="s">
        <v>261</v>
      </c>
      <c r="G50" s="9" t="s">
        <v>262</v>
      </c>
      <c r="H50" s="12">
        <v>80</v>
      </c>
      <c r="I50" s="12">
        <v>31</v>
      </c>
      <c r="J50" s="13">
        <v>22</v>
      </c>
      <c r="K50" s="13">
        <v>131</v>
      </c>
      <c r="L50" s="13">
        <v>93</v>
      </c>
      <c r="M50" s="13">
        <v>86</v>
      </c>
      <c r="N50" s="13">
        <v>79</v>
      </c>
      <c r="O50" s="13">
        <v>94</v>
      </c>
      <c r="P50" s="13">
        <v>75</v>
      </c>
      <c r="Q50" s="13">
        <v>67</v>
      </c>
      <c r="R50" s="13">
        <v>86</v>
      </c>
      <c r="S50" s="13">
        <v>111</v>
      </c>
      <c r="T50" s="13">
        <v>111</v>
      </c>
      <c r="U50" s="13">
        <v>80</v>
      </c>
      <c r="V50" s="13">
        <v>132</v>
      </c>
      <c r="W50" s="13">
        <v>139</v>
      </c>
      <c r="X50" s="13">
        <v>140</v>
      </c>
      <c r="Y50" s="13">
        <v>206</v>
      </c>
      <c r="Z50" s="13">
        <v>45</v>
      </c>
      <c r="AA50" s="13">
        <v>0</v>
      </c>
      <c r="AB50" s="13">
        <v>104</v>
      </c>
      <c r="AC50" s="13">
        <v>134</v>
      </c>
      <c r="AD50" s="13">
        <v>128</v>
      </c>
    </row>
    <row r="51" spans="1:30" ht="15.75" thickBot="1" x14ac:dyDescent="0.3">
      <c r="A51" s="9" t="s">
        <v>257</v>
      </c>
      <c r="B51" s="9" t="s">
        <v>350</v>
      </c>
      <c r="C51" s="45" t="str">
        <f t="shared" si="0"/>
        <v>ASYE23900ADSG</v>
      </c>
      <c r="D51" s="10" t="s">
        <v>353</v>
      </c>
      <c r="E51" s="10" t="s">
        <v>354</v>
      </c>
      <c r="F51" s="9" t="s">
        <v>261</v>
      </c>
      <c r="G51" s="9" t="s">
        <v>262</v>
      </c>
      <c r="H51" s="12">
        <v>80</v>
      </c>
      <c r="I51" s="8"/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6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</row>
    <row r="52" spans="1:30" ht="15.75" thickBot="1" x14ac:dyDescent="0.3">
      <c r="A52" s="9" t="s">
        <v>257</v>
      </c>
      <c r="B52" s="9" t="s">
        <v>350</v>
      </c>
      <c r="C52" s="45" t="str">
        <f t="shared" si="0"/>
        <v>ASYE23900AMIC</v>
      </c>
      <c r="D52" s="10" t="s">
        <v>355</v>
      </c>
      <c r="E52" s="10" t="s">
        <v>314</v>
      </c>
      <c r="F52" s="9" t="s">
        <v>261</v>
      </c>
      <c r="G52" s="9" t="s">
        <v>262</v>
      </c>
      <c r="H52" s="12">
        <v>80</v>
      </c>
      <c r="I52" s="12">
        <v>164</v>
      </c>
      <c r="J52" s="13">
        <v>19</v>
      </c>
      <c r="K52" s="13">
        <v>1197</v>
      </c>
      <c r="L52" s="13">
        <v>682</v>
      </c>
      <c r="M52" s="13">
        <v>811</v>
      </c>
      <c r="N52" s="13">
        <v>1019</v>
      </c>
      <c r="O52" s="13">
        <v>1153</v>
      </c>
      <c r="P52" s="13">
        <v>762</v>
      </c>
      <c r="Q52" s="13">
        <v>575</v>
      </c>
      <c r="R52" s="13">
        <v>915</v>
      </c>
      <c r="S52" s="13">
        <v>1060</v>
      </c>
      <c r="T52" s="13">
        <v>1085</v>
      </c>
      <c r="U52" s="13">
        <v>767</v>
      </c>
      <c r="V52" s="13">
        <v>1296</v>
      </c>
      <c r="W52" s="13">
        <v>1480</v>
      </c>
      <c r="X52" s="13">
        <v>1220</v>
      </c>
      <c r="Y52" s="13">
        <v>1921</v>
      </c>
      <c r="Z52" s="13">
        <v>420</v>
      </c>
      <c r="AA52" s="13">
        <v>0</v>
      </c>
      <c r="AB52" s="13">
        <v>1176</v>
      </c>
      <c r="AC52" s="13">
        <v>1503</v>
      </c>
      <c r="AD52" s="13">
        <v>1396</v>
      </c>
    </row>
    <row r="53" spans="1:30" ht="15.75" thickBot="1" x14ac:dyDescent="0.3">
      <c r="A53" s="9" t="s">
        <v>257</v>
      </c>
      <c r="B53" s="9" t="s">
        <v>350</v>
      </c>
      <c r="C53" s="45" t="str">
        <f t="shared" si="0"/>
        <v>ASYE23900ASE</v>
      </c>
      <c r="D53" s="10" t="s">
        <v>356</v>
      </c>
      <c r="E53" s="10" t="s">
        <v>316</v>
      </c>
      <c r="F53" s="9" t="s">
        <v>261</v>
      </c>
      <c r="G53" s="9" t="s">
        <v>262</v>
      </c>
      <c r="H53" s="12">
        <v>80</v>
      </c>
      <c r="I53" s="12">
        <v>26</v>
      </c>
      <c r="J53" s="13">
        <v>14</v>
      </c>
      <c r="K53" s="13">
        <v>117</v>
      </c>
      <c r="L53" s="13">
        <v>88</v>
      </c>
      <c r="M53" s="13">
        <v>56</v>
      </c>
      <c r="N53" s="13">
        <v>84</v>
      </c>
      <c r="O53" s="13">
        <v>148</v>
      </c>
      <c r="P53" s="13">
        <v>110</v>
      </c>
      <c r="Q53" s="13">
        <v>56</v>
      </c>
      <c r="R53" s="13">
        <v>118</v>
      </c>
      <c r="S53" s="13">
        <v>140</v>
      </c>
      <c r="T53" s="13">
        <v>132</v>
      </c>
      <c r="U53" s="13">
        <v>116</v>
      </c>
      <c r="V53" s="13">
        <v>200</v>
      </c>
      <c r="W53" s="13">
        <v>200</v>
      </c>
      <c r="X53" s="13">
        <v>184</v>
      </c>
      <c r="Y53" s="13">
        <v>263</v>
      </c>
      <c r="Z53" s="13">
        <v>52</v>
      </c>
      <c r="AA53" s="13">
        <v>0</v>
      </c>
      <c r="AB53" s="13">
        <v>196</v>
      </c>
      <c r="AC53" s="13">
        <v>216</v>
      </c>
      <c r="AD53" s="13">
        <v>180</v>
      </c>
    </row>
    <row r="54" spans="1:30" ht="15.75" thickBot="1" x14ac:dyDescent="0.3">
      <c r="A54" s="9" t="s">
        <v>257</v>
      </c>
      <c r="B54" s="9" t="s">
        <v>350</v>
      </c>
      <c r="C54" s="45" t="str">
        <f t="shared" si="0"/>
        <v>ASYE23900ATS</v>
      </c>
      <c r="D54" s="10" t="s">
        <v>357</v>
      </c>
      <c r="E54" s="10" t="s">
        <v>318</v>
      </c>
      <c r="F54" s="9" t="s">
        <v>261</v>
      </c>
      <c r="G54" s="9" t="s">
        <v>262</v>
      </c>
      <c r="H54" s="12">
        <v>80</v>
      </c>
      <c r="I54" s="12">
        <v>-9</v>
      </c>
      <c r="J54" s="13">
        <v>0</v>
      </c>
      <c r="K54" s="13">
        <v>250</v>
      </c>
      <c r="L54" s="13">
        <v>152</v>
      </c>
      <c r="M54" s="13">
        <v>154</v>
      </c>
      <c r="N54" s="13">
        <v>106</v>
      </c>
      <c r="O54" s="13">
        <v>87</v>
      </c>
      <c r="P54" s="13">
        <v>219</v>
      </c>
      <c r="Q54" s="13">
        <v>244</v>
      </c>
      <c r="R54" s="13">
        <v>247</v>
      </c>
      <c r="S54" s="13">
        <v>250</v>
      </c>
      <c r="T54" s="13">
        <v>243</v>
      </c>
      <c r="U54" s="13">
        <v>170</v>
      </c>
      <c r="V54" s="13">
        <v>243</v>
      </c>
      <c r="W54" s="13">
        <v>247</v>
      </c>
      <c r="X54" s="13">
        <v>261</v>
      </c>
      <c r="Y54" s="13">
        <v>396</v>
      </c>
      <c r="Z54" s="13">
        <v>84</v>
      </c>
      <c r="AA54" s="13">
        <v>0</v>
      </c>
      <c r="AB54" s="13">
        <v>192</v>
      </c>
      <c r="AC54" s="13">
        <v>240</v>
      </c>
      <c r="AD54" s="13">
        <v>240</v>
      </c>
    </row>
    <row r="55" spans="1:30" ht="15.75" thickBot="1" x14ac:dyDescent="0.3">
      <c r="A55" s="9" t="s">
        <v>257</v>
      </c>
      <c r="B55" s="9" t="s">
        <v>358</v>
      </c>
      <c r="C55" s="45" t="str">
        <f t="shared" si="0"/>
        <v>KTN1WB 16L558 DB</v>
      </c>
      <c r="D55" s="10" t="s">
        <v>359</v>
      </c>
      <c r="E55" s="10" t="s">
        <v>297</v>
      </c>
      <c r="F55" s="9" t="s">
        <v>261</v>
      </c>
      <c r="G55" s="9" t="s">
        <v>262</v>
      </c>
      <c r="H55" s="12">
        <v>80</v>
      </c>
      <c r="I55" s="12">
        <v>1177</v>
      </c>
      <c r="J55" s="13">
        <v>0</v>
      </c>
      <c r="K55" s="13">
        <v>263</v>
      </c>
      <c r="L55" s="13">
        <v>1510</v>
      </c>
      <c r="M55" s="13">
        <v>1024</v>
      </c>
      <c r="N55" s="13">
        <v>1200</v>
      </c>
      <c r="O55" s="13">
        <v>1280</v>
      </c>
      <c r="P55" s="13">
        <v>1152</v>
      </c>
      <c r="Q55" s="13">
        <v>784</v>
      </c>
      <c r="R55" s="13">
        <v>1408</v>
      </c>
      <c r="S55" s="13">
        <v>1152</v>
      </c>
      <c r="T55" s="13">
        <v>1168</v>
      </c>
      <c r="U55" s="13">
        <v>1280</v>
      </c>
      <c r="V55" s="13">
        <v>1552</v>
      </c>
      <c r="W55" s="13">
        <v>1440</v>
      </c>
      <c r="X55" s="13">
        <v>1392</v>
      </c>
      <c r="Y55" s="13">
        <v>1712</v>
      </c>
      <c r="Z55" s="13">
        <v>1056</v>
      </c>
      <c r="AA55" s="13">
        <v>0</v>
      </c>
      <c r="AB55" s="13">
        <v>736</v>
      </c>
      <c r="AC55" s="13">
        <v>1808</v>
      </c>
      <c r="AD55" s="13">
        <v>1728</v>
      </c>
    </row>
    <row r="56" spans="1:30" ht="15.75" thickBot="1" x14ac:dyDescent="0.3">
      <c r="A56" s="9" t="s">
        <v>257</v>
      </c>
      <c r="B56" s="9" t="s">
        <v>358</v>
      </c>
      <c r="C56" s="45" t="str">
        <f t="shared" si="0"/>
        <v>KTN1WB 16L558 FB</v>
      </c>
      <c r="D56" s="10" t="s">
        <v>360</v>
      </c>
      <c r="E56" s="10" t="s">
        <v>297</v>
      </c>
      <c r="F56" s="9" t="s">
        <v>261</v>
      </c>
      <c r="G56" s="9" t="s">
        <v>262</v>
      </c>
      <c r="H56" s="12">
        <v>80</v>
      </c>
      <c r="I56" s="12">
        <v>900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88</v>
      </c>
      <c r="P56" s="13">
        <v>192</v>
      </c>
      <c r="Q56" s="13">
        <v>160</v>
      </c>
      <c r="R56" s="13">
        <v>336</v>
      </c>
      <c r="S56" s="13">
        <v>208</v>
      </c>
      <c r="T56" s="13">
        <v>224</v>
      </c>
      <c r="U56" s="13">
        <v>256</v>
      </c>
      <c r="V56" s="13">
        <v>192</v>
      </c>
      <c r="W56" s="13">
        <v>208</v>
      </c>
      <c r="X56" s="13">
        <v>224</v>
      </c>
      <c r="Y56" s="13">
        <v>320</v>
      </c>
      <c r="Z56" s="13">
        <v>192</v>
      </c>
      <c r="AA56" s="13">
        <v>0</v>
      </c>
      <c r="AB56" s="13">
        <v>96</v>
      </c>
      <c r="AC56" s="13">
        <v>240</v>
      </c>
      <c r="AD56" s="13">
        <v>240</v>
      </c>
    </row>
    <row r="57" spans="1:30" ht="15.75" thickBot="1" x14ac:dyDescent="0.3">
      <c r="A57" s="9" t="s">
        <v>257</v>
      </c>
      <c r="B57" s="9" t="s">
        <v>361</v>
      </c>
      <c r="C57" s="45" t="str">
        <f t="shared" si="0"/>
        <v>P2DB 16E166 AB</v>
      </c>
      <c r="D57" s="10" t="s">
        <v>362</v>
      </c>
      <c r="E57" s="10" t="s">
        <v>363</v>
      </c>
      <c r="F57" s="9" t="s">
        <v>364</v>
      </c>
      <c r="G57" s="9" t="s">
        <v>262</v>
      </c>
      <c r="H57" s="12">
        <v>60</v>
      </c>
      <c r="I57" s="12">
        <v>972</v>
      </c>
      <c r="J57" s="13">
        <v>392</v>
      </c>
      <c r="K57" s="13">
        <v>2748</v>
      </c>
      <c r="L57" s="13">
        <v>2752</v>
      </c>
      <c r="M57" s="13">
        <v>1818</v>
      </c>
      <c r="N57" s="13">
        <v>2232</v>
      </c>
      <c r="O57" s="13">
        <v>2970</v>
      </c>
      <c r="P57" s="13">
        <v>3076</v>
      </c>
      <c r="Q57" s="13">
        <v>1538</v>
      </c>
      <c r="R57" s="13">
        <v>1590</v>
      </c>
      <c r="S57" s="13">
        <v>3026</v>
      </c>
      <c r="T57" s="13">
        <v>3030</v>
      </c>
      <c r="U57" s="13">
        <v>2504</v>
      </c>
      <c r="V57" s="13">
        <v>2076</v>
      </c>
      <c r="W57" s="13">
        <v>2668</v>
      </c>
      <c r="X57" s="13">
        <v>2444</v>
      </c>
      <c r="Y57" s="13">
        <v>2820</v>
      </c>
      <c r="Z57" s="13">
        <v>2296</v>
      </c>
      <c r="AA57" s="13">
        <v>0</v>
      </c>
      <c r="AB57" s="13">
        <v>1042</v>
      </c>
      <c r="AC57" s="13">
        <v>2614</v>
      </c>
      <c r="AD57" s="13">
        <v>2528</v>
      </c>
    </row>
    <row r="58" spans="1:30" ht="15.75" thickBot="1" x14ac:dyDescent="0.3">
      <c r="A58" s="9" t="s">
        <v>257</v>
      </c>
      <c r="B58" s="9" t="s">
        <v>361</v>
      </c>
      <c r="C58" s="45" t="str">
        <f t="shared" si="0"/>
        <v>SB3V 16E166 ZB</v>
      </c>
      <c r="D58" s="10" t="s">
        <v>365</v>
      </c>
      <c r="E58" s="10" t="s">
        <v>366</v>
      </c>
      <c r="F58" s="9" t="s">
        <v>364</v>
      </c>
      <c r="G58" s="9" t="s">
        <v>262</v>
      </c>
      <c r="H58" s="12">
        <v>30</v>
      </c>
      <c r="I58" s="12">
        <v>183</v>
      </c>
      <c r="J58" s="13">
        <v>0</v>
      </c>
      <c r="K58" s="13">
        <v>303</v>
      </c>
      <c r="L58" s="13">
        <v>288</v>
      </c>
      <c r="M58" s="13">
        <v>200</v>
      </c>
      <c r="N58" s="13">
        <v>252</v>
      </c>
      <c r="O58" s="13">
        <v>312</v>
      </c>
      <c r="P58" s="13">
        <v>300</v>
      </c>
      <c r="Q58" s="13">
        <v>200</v>
      </c>
      <c r="R58" s="13">
        <v>184</v>
      </c>
      <c r="S58" s="13">
        <v>232</v>
      </c>
      <c r="T58" s="13">
        <v>240</v>
      </c>
      <c r="U58" s="13">
        <v>216</v>
      </c>
      <c r="V58" s="13">
        <v>204</v>
      </c>
      <c r="W58" s="13">
        <v>256</v>
      </c>
      <c r="X58" s="13">
        <v>270</v>
      </c>
      <c r="Y58" s="13">
        <v>302</v>
      </c>
      <c r="Z58" s="13">
        <v>216</v>
      </c>
      <c r="AA58" s="13">
        <v>0</v>
      </c>
      <c r="AB58" s="13">
        <v>96</v>
      </c>
      <c r="AC58" s="13">
        <v>250</v>
      </c>
      <c r="AD58" s="13">
        <v>250</v>
      </c>
    </row>
    <row r="59" spans="1:30" ht="15.75" thickBot="1" x14ac:dyDescent="0.3">
      <c r="A59" s="9" t="s">
        <v>257</v>
      </c>
      <c r="B59" s="9" t="s">
        <v>361</v>
      </c>
      <c r="C59" s="45" t="str">
        <f t="shared" si="0"/>
        <v>T2DJ 16E166 AA</v>
      </c>
      <c r="D59" s="10" t="s">
        <v>367</v>
      </c>
      <c r="E59" s="10" t="s">
        <v>368</v>
      </c>
      <c r="F59" s="9" t="s">
        <v>364</v>
      </c>
      <c r="G59" s="9" t="s">
        <v>262</v>
      </c>
      <c r="H59" s="12">
        <v>30</v>
      </c>
      <c r="I59" s="12">
        <v>124</v>
      </c>
      <c r="J59" s="13">
        <v>0</v>
      </c>
      <c r="K59" s="13">
        <v>92</v>
      </c>
      <c r="L59" s="13">
        <v>168</v>
      </c>
      <c r="M59" s="13">
        <v>123</v>
      </c>
      <c r="N59" s="13">
        <v>115</v>
      </c>
      <c r="O59" s="13">
        <v>60</v>
      </c>
      <c r="P59" s="13">
        <v>98</v>
      </c>
      <c r="Q59" s="13">
        <v>101</v>
      </c>
      <c r="R59" s="13">
        <v>81</v>
      </c>
      <c r="S59" s="13">
        <v>125</v>
      </c>
      <c r="T59" s="13">
        <v>129</v>
      </c>
      <c r="U59" s="13">
        <v>111</v>
      </c>
      <c r="V59" s="13">
        <v>81</v>
      </c>
      <c r="W59" s="13">
        <v>108</v>
      </c>
      <c r="X59" s="13">
        <v>108</v>
      </c>
      <c r="Y59" s="13">
        <v>127</v>
      </c>
      <c r="Z59" s="13">
        <v>166</v>
      </c>
      <c r="AA59" s="13">
        <v>0</v>
      </c>
      <c r="AB59" s="13">
        <v>22</v>
      </c>
      <c r="AC59" s="13">
        <v>108</v>
      </c>
      <c r="AD59" s="13">
        <v>115</v>
      </c>
    </row>
    <row r="60" spans="1:30" ht="15.75" thickBot="1" x14ac:dyDescent="0.3">
      <c r="A60" s="9" t="s">
        <v>257</v>
      </c>
      <c r="B60" s="9" t="s">
        <v>361</v>
      </c>
      <c r="C60" s="45" t="str">
        <f t="shared" si="0"/>
        <v>V2DB 16E166 AA</v>
      </c>
      <c r="D60" s="10" t="s">
        <v>369</v>
      </c>
      <c r="E60" s="10" t="s">
        <v>370</v>
      </c>
      <c r="F60" s="9" t="s">
        <v>364</v>
      </c>
      <c r="G60" s="9" t="s">
        <v>262</v>
      </c>
      <c r="H60" s="12">
        <v>60</v>
      </c>
      <c r="I60" s="8"/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</row>
    <row r="61" spans="1:30" ht="15.75" thickBot="1" x14ac:dyDescent="0.3">
      <c r="A61" s="9" t="s">
        <v>257</v>
      </c>
      <c r="B61" s="9" t="s">
        <v>371</v>
      </c>
      <c r="C61" s="45" t="str">
        <f t="shared" si="0"/>
        <v>P2DB 16E166 BB</v>
      </c>
      <c r="D61" s="10" t="s">
        <v>372</v>
      </c>
      <c r="E61" s="10" t="s">
        <v>373</v>
      </c>
      <c r="F61" s="9" t="s">
        <v>364</v>
      </c>
      <c r="G61" s="9" t="s">
        <v>262</v>
      </c>
      <c r="H61" s="12">
        <v>60</v>
      </c>
      <c r="I61" s="12">
        <v>187</v>
      </c>
      <c r="J61" s="13">
        <v>317</v>
      </c>
      <c r="K61" s="13">
        <v>744</v>
      </c>
      <c r="L61" s="13">
        <v>488</v>
      </c>
      <c r="M61" s="13">
        <v>456</v>
      </c>
      <c r="N61" s="13">
        <v>520</v>
      </c>
      <c r="O61" s="13">
        <v>1020</v>
      </c>
      <c r="P61" s="13">
        <v>548</v>
      </c>
      <c r="Q61" s="13">
        <v>288</v>
      </c>
      <c r="R61" s="13">
        <v>648</v>
      </c>
      <c r="S61" s="13">
        <v>744</v>
      </c>
      <c r="T61" s="13">
        <v>744</v>
      </c>
      <c r="U61" s="13">
        <v>516</v>
      </c>
      <c r="V61" s="13">
        <v>588</v>
      </c>
      <c r="W61" s="13">
        <v>652</v>
      </c>
      <c r="X61" s="13">
        <v>556</v>
      </c>
      <c r="Y61" s="13">
        <v>904</v>
      </c>
      <c r="Z61" s="13">
        <v>196</v>
      </c>
      <c r="AA61" s="13">
        <v>0</v>
      </c>
      <c r="AB61" s="13">
        <v>520</v>
      </c>
      <c r="AC61" s="13">
        <v>656</v>
      </c>
      <c r="AD61" s="13">
        <v>596</v>
      </c>
    </row>
    <row r="62" spans="1:30" ht="15.75" thickBot="1" x14ac:dyDescent="0.3">
      <c r="A62" s="9" t="s">
        <v>257</v>
      </c>
      <c r="B62" s="9" t="s">
        <v>374</v>
      </c>
      <c r="C62" s="45" t="str">
        <f t="shared" si="0"/>
        <v>M2DB 17E810 BA5YZ9</v>
      </c>
      <c r="D62" s="10" t="s">
        <v>375</v>
      </c>
      <c r="E62" s="10" t="s">
        <v>376</v>
      </c>
      <c r="F62" s="9" t="s">
        <v>364</v>
      </c>
      <c r="G62" s="9" t="s">
        <v>262</v>
      </c>
      <c r="H62" s="12">
        <v>80</v>
      </c>
      <c r="I62" s="12">
        <v>1779</v>
      </c>
      <c r="J62" s="13">
        <v>0</v>
      </c>
      <c r="K62" s="13">
        <v>184</v>
      </c>
      <c r="L62" s="13">
        <v>758</v>
      </c>
      <c r="M62" s="13">
        <v>956</v>
      </c>
      <c r="N62" s="13">
        <v>808</v>
      </c>
      <c r="O62" s="13">
        <v>1058</v>
      </c>
      <c r="P62" s="13">
        <v>958</v>
      </c>
      <c r="Q62" s="13">
        <v>756</v>
      </c>
      <c r="R62" s="13">
        <v>1158</v>
      </c>
      <c r="S62" s="13">
        <v>1584</v>
      </c>
      <c r="T62" s="13">
        <v>1260</v>
      </c>
      <c r="U62" s="13">
        <v>958</v>
      </c>
      <c r="V62" s="13">
        <v>946</v>
      </c>
      <c r="W62" s="13">
        <v>1208</v>
      </c>
      <c r="X62" s="13">
        <v>1158</v>
      </c>
      <c r="Y62" s="13">
        <v>1010</v>
      </c>
      <c r="Z62" s="13">
        <v>652</v>
      </c>
      <c r="AA62" s="13">
        <v>306</v>
      </c>
      <c r="AB62" s="13">
        <v>604</v>
      </c>
      <c r="AC62" s="13">
        <v>1058</v>
      </c>
      <c r="AD62" s="13">
        <v>1260</v>
      </c>
    </row>
    <row r="63" spans="1:30" ht="15.75" thickBot="1" x14ac:dyDescent="0.3">
      <c r="A63" s="9" t="s">
        <v>257</v>
      </c>
      <c r="B63" s="9" t="s">
        <v>374</v>
      </c>
      <c r="C63" s="45" t="str">
        <f t="shared" si="0"/>
        <v>M2DB 17E810 GC5YZ9</v>
      </c>
      <c r="D63" s="10" t="s">
        <v>377</v>
      </c>
      <c r="E63" s="10" t="s">
        <v>378</v>
      </c>
      <c r="F63" s="9" t="s">
        <v>364</v>
      </c>
      <c r="G63" s="9" t="s">
        <v>262</v>
      </c>
      <c r="H63" s="11">
        <v>75.789400000000001</v>
      </c>
      <c r="I63" s="12">
        <v>233</v>
      </c>
      <c r="J63" s="13">
        <v>0</v>
      </c>
      <c r="K63" s="13">
        <v>0</v>
      </c>
      <c r="L63" s="13">
        <v>37</v>
      </c>
      <c r="M63" s="13">
        <v>114</v>
      </c>
      <c r="N63" s="13">
        <v>78</v>
      </c>
      <c r="O63" s="13">
        <v>192</v>
      </c>
      <c r="P63" s="13">
        <v>192</v>
      </c>
      <c r="Q63" s="13">
        <v>114</v>
      </c>
      <c r="R63" s="13">
        <v>78</v>
      </c>
      <c r="S63" s="13">
        <v>509</v>
      </c>
      <c r="T63" s="13">
        <v>308</v>
      </c>
      <c r="U63" s="13">
        <v>192</v>
      </c>
      <c r="V63" s="13">
        <v>192</v>
      </c>
      <c r="W63" s="13">
        <v>192</v>
      </c>
      <c r="X63" s="13">
        <v>192</v>
      </c>
      <c r="Y63" s="13">
        <v>268</v>
      </c>
      <c r="Z63" s="13">
        <v>230</v>
      </c>
      <c r="AA63" s="13">
        <v>0</v>
      </c>
      <c r="AB63" s="13">
        <v>78</v>
      </c>
      <c r="AC63" s="13">
        <v>268</v>
      </c>
      <c r="AD63" s="13">
        <v>308</v>
      </c>
    </row>
    <row r="64" spans="1:30" ht="15.75" thickBot="1" x14ac:dyDescent="0.3">
      <c r="A64" s="9" t="s">
        <v>257</v>
      </c>
      <c r="B64" s="9" t="s">
        <v>379</v>
      </c>
      <c r="C64" s="45" t="str">
        <f t="shared" si="0"/>
        <v>M2DB 17E811 BA5YZ9</v>
      </c>
      <c r="D64" s="10" t="s">
        <v>380</v>
      </c>
      <c r="E64" s="10" t="s">
        <v>381</v>
      </c>
      <c r="F64" s="9" t="s">
        <v>364</v>
      </c>
      <c r="G64" s="9" t="s">
        <v>262</v>
      </c>
      <c r="H64" s="12">
        <v>80</v>
      </c>
      <c r="I64" s="12">
        <v>1018</v>
      </c>
      <c r="J64" s="13">
        <v>0</v>
      </c>
      <c r="K64" s="13">
        <v>977</v>
      </c>
      <c r="L64" s="13">
        <v>963</v>
      </c>
      <c r="M64" s="13">
        <v>956</v>
      </c>
      <c r="N64" s="13">
        <v>910</v>
      </c>
      <c r="O64" s="13">
        <v>1106</v>
      </c>
      <c r="P64" s="13">
        <v>808</v>
      </c>
      <c r="Q64" s="13">
        <v>823</v>
      </c>
      <c r="R64" s="13">
        <v>1158</v>
      </c>
      <c r="S64" s="13">
        <v>1412</v>
      </c>
      <c r="T64" s="13">
        <v>1260</v>
      </c>
      <c r="U64" s="13">
        <v>958</v>
      </c>
      <c r="V64" s="13">
        <v>1101</v>
      </c>
      <c r="W64" s="13">
        <v>1208</v>
      </c>
      <c r="X64" s="13">
        <v>958</v>
      </c>
      <c r="Y64" s="13">
        <v>1158</v>
      </c>
      <c r="Z64" s="13">
        <v>729</v>
      </c>
      <c r="AA64" s="13">
        <v>306</v>
      </c>
      <c r="AB64" s="13">
        <v>604</v>
      </c>
      <c r="AC64" s="13">
        <v>1058</v>
      </c>
      <c r="AD64" s="13">
        <v>1260</v>
      </c>
    </row>
    <row r="65" spans="1:30" ht="15.75" thickBot="1" x14ac:dyDescent="0.3">
      <c r="A65" s="9" t="s">
        <v>257</v>
      </c>
      <c r="B65" s="9" t="s">
        <v>379</v>
      </c>
      <c r="C65" s="45" t="str">
        <f t="shared" si="0"/>
        <v>M2DB 17E811 GC5YZ9</v>
      </c>
      <c r="D65" s="10" t="s">
        <v>382</v>
      </c>
      <c r="E65" s="10" t="s">
        <v>383</v>
      </c>
      <c r="F65" s="9" t="s">
        <v>364</v>
      </c>
      <c r="G65" s="9" t="s">
        <v>262</v>
      </c>
      <c r="H65" s="11">
        <v>75.789400000000001</v>
      </c>
      <c r="I65" s="12">
        <v>450</v>
      </c>
      <c r="J65" s="13">
        <v>0</v>
      </c>
      <c r="K65" s="13">
        <v>0</v>
      </c>
      <c r="L65" s="13">
        <v>0</v>
      </c>
      <c r="M65" s="13">
        <v>0</v>
      </c>
      <c r="N65" s="13">
        <v>12</v>
      </c>
      <c r="O65" s="13">
        <v>416</v>
      </c>
      <c r="P65" s="13">
        <v>154</v>
      </c>
      <c r="Q65" s="13">
        <v>230</v>
      </c>
      <c r="R65" s="13">
        <v>78</v>
      </c>
      <c r="S65" s="13">
        <v>268</v>
      </c>
      <c r="T65" s="13">
        <v>308</v>
      </c>
      <c r="U65" s="13">
        <v>192</v>
      </c>
      <c r="V65" s="13">
        <v>192</v>
      </c>
      <c r="W65" s="13">
        <v>192</v>
      </c>
      <c r="X65" s="13">
        <v>192</v>
      </c>
      <c r="Y65" s="13">
        <v>268</v>
      </c>
      <c r="Z65" s="13">
        <v>614</v>
      </c>
      <c r="AA65" s="13">
        <v>0</v>
      </c>
      <c r="AB65" s="13">
        <v>78</v>
      </c>
      <c r="AC65" s="13">
        <v>268</v>
      </c>
      <c r="AD65" s="13">
        <v>308</v>
      </c>
    </row>
    <row r="66" spans="1:30" ht="15.75" thickBot="1" x14ac:dyDescent="0.3">
      <c r="A66" s="9" t="s">
        <v>257</v>
      </c>
      <c r="B66" s="9" t="s">
        <v>384</v>
      </c>
      <c r="C66" s="45" t="str">
        <f t="shared" si="0"/>
        <v>M2DB 17E810 CB5YZ9</v>
      </c>
      <c r="D66" s="10" t="s">
        <v>385</v>
      </c>
      <c r="E66" s="10" t="s">
        <v>386</v>
      </c>
      <c r="F66" s="9" t="s">
        <v>364</v>
      </c>
      <c r="G66" s="9" t="s">
        <v>262</v>
      </c>
      <c r="H66" s="12">
        <v>80</v>
      </c>
      <c r="I66" s="12">
        <v>265</v>
      </c>
      <c r="J66" s="13">
        <v>0</v>
      </c>
      <c r="K66" s="13">
        <v>551</v>
      </c>
      <c r="L66" s="13">
        <v>354</v>
      </c>
      <c r="M66" s="13">
        <v>352</v>
      </c>
      <c r="N66" s="13">
        <v>404</v>
      </c>
      <c r="O66" s="13">
        <v>352</v>
      </c>
      <c r="P66" s="13">
        <v>404</v>
      </c>
      <c r="Q66" s="13">
        <v>252</v>
      </c>
      <c r="R66" s="13">
        <v>352</v>
      </c>
      <c r="S66" s="13">
        <v>504</v>
      </c>
      <c r="T66" s="13">
        <v>504</v>
      </c>
      <c r="U66" s="13">
        <v>404</v>
      </c>
      <c r="V66" s="13">
        <v>340</v>
      </c>
      <c r="W66" s="13">
        <v>352</v>
      </c>
      <c r="X66" s="13">
        <v>504</v>
      </c>
      <c r="Y66" s="13">
        <v>404</v>
      </c>
      <c r="Z66" s="13">
        <v>150</v>
      </c>
      <c r="AA66" s="13">
        <v>102</v>
      </c>
      <c r="AB66" s="13">
        <v>252</v>
      </c>
      <c r="AC66" s="13">
        <v>352</v>
      </c>
      <c r="AD66" s="13">
        <v>504</v>
      </c>
    </row>
    <row r="67" spans="1:30" ht="15.75" thickBot="1" x14ac:dyDescent="0.3">
      <c r="A67" s="9" t="s">
        <v>257</v>
      </c>
      <c r="B67" s="9" t="s">
        <v>387</v>
      </c>
      <c r="C67" s="45" t="str">
        <f t="shared" si="0"/>
        <v>M2DB 17E811 CA5YZ9</v>
      </c>
      <c r="D67" s="10" t="s">
        <v>388</v>
      </c>
      <c r="E67" s="10" t="s">
        <v>389</v>
      </c>
      <c r="F67" s="9" t="s">
        <v>364</v>
      </c>
      <c r="G67" s="9" t="s">
        <v>262</v>
      </c>
      <c r="H67" s="12">
        <v>80</v>
      </c>
      <c r="I67" s="8"/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40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</row>
    <row r="68" spans="1:30" ht="15.75" thickBot="1" x14ac:dyDescent="0.3">
      <c r="A68" s="9" t="s">
        <v>257</v>
      </c>
      <c r="B68" s="9" t="s">
        <v>387</v>
      </c>
      <c r="C68" s="45" t="str">
        <f t="shared" si="0"/>
        <v>M2DB 17E811 CB5YZ9</v>
      </c>
      <c r="D68" s="10" t="s">
        <v>390</v>
      </c>
      <c r="E68" s="10" t="s">
        <v>389</v>
      </c>
      <c r="F68" s="9" t="s">
        <v>364</v>
      </c>
      <c r="G68" s="9" t="s">
        <v>262</v>
      </c>
      <c r="H68" s="12">
        <v>80</v>
      </c>
      <c r="I68" s="12">
        <v>216</v>
      </c>
      <c r="J68" s="13">
        <v>36</v>
      </c>
      <c r="K68" s="13">
        <v>778</v>
      </c>
      <c r="L68" s="13">
        <v>379</v>
      </c>
      <c r="M68" s="13">
        <v>352</v>
      </c>
      <c r="N68" s="13">
        <v>404</v>
      </c>
      <c r="O68" s="13">
        <v>352</v>
      </c>
      <c r="P68" s="13">
        <v>404</v>
      </c>
      <c r="Q68" s="13">
        <v>279</v>
      </c>
      <c r="R68" s="13">
        <v>352</v>
      </c>
      <c r="S68" s="13">
        <v>504</v>
      </c>
      <c r="T68" s="13">
        <v>504</v>
      </c>
      <c r="U68" s="13">
        <v>404</v>
      </c>
      <c r="V68" s="13">
        <v>279</v>
      </c>
      <c r="W68" s="13">
        <v>352</v>
      </c>
      <c r="X68" s="13">
        <v>404</v>
      </c>
      <c r="Y68" s="13">
        <v>352</v>
      </c>
      <c r="Z68" s="13">
        <v>327</v>
      </c>
      <c r="AA68" s="13">
        <v>102</v>
      </c>
      <c r="AB68" s="13">
        <v>252</v>
      </c>
      <c r="AC68" s="13">
        <v>352</v>
      </c>
      <c r="AD68" s="13">
        <v>504</v>
      </c>
    </row>
    <row r="69" spans="1:30" ht="15.75" thickBot="1" x14ac:dyDescent="0.3">
      <c r="A69" s="9" t="s">
        <v>257</v>
      </c>
      <c r="B69" s="9" t="s">
        <v>391</v>
      </c>
      <c r="C69" s="45" t="str">
        <f t="shared" si="0"/>
        <v>PC68451020C00U</v>
      </c>
      <c r="D69" s="10" t="s">
        <v>392</v>
      </c>
      <c r="E69" s="10" t="s">
        <v>393</v>
      </c>
      <c r="F69" s="9" t="s">
        <v>394</v>
      </c>
      <c r="G69" s="9" t="s">
        <v>262</v>
      </c>
      <c r="H69" s="11">
        <v>66.666600000000003</v>
      </c>
      <c r="I69" s="8"/>
      <c r="J69" s="13">
        <v>0</v>
      </c>
      <c r="K69" s="13">
        <v>90</v>
      </c>
      <c r="L69" s="13">
        <v>270</v>
      </c>
      <c r="M69" s="13">
        <v>840</v>
      </c>
      <c r="N69" s="13">
        <v>0</v>
      </c>
      <c r="O69" s="13">
        <v>210</v>
      </c>
      <c r="P69" s="13">
        <v>390</v>
      </c>
      <c r="Q69" s="13">
        <v>210</v>
      </c>
      <c r="R69" s="13">
        <v>480</v>
      </c>
      <c r="S69" s="13">
        <v>330</v>
      </c>
      <c r="T69" s="13">
        <v>720</v>
      </c>
      <c r="U69" s="13">
        <v>0</v>
      </c>
      <c r="V69" s="13">
        <v>420</v>
      </c>
      <c r="W69" s="13">
        <v>720</v>
      </c>
      <c r="X69" s="13">
        <v>660</v>
      </c>
      <c r="Y69" s="13">
        <v>0</v>
      </c>
      <c r="Z69" s="13">
        <v>540</v>
      </c>
      <c r="AA69" s="13">
        <v>0</v>
      </c>
      <c r="AB69" s="13">
        <v>300</v>
      </c>
      <c r="AC69" s="13">
        <v>330</v>
      </c>
      <c r="AD69" s="13">
        <v>360</v>
      </c>
    </row>
    <row r="70" spans="1:30" ht="15.75" thickBot="1" x14ac:dyDescent="0.3">
      <c r="A70" s="9" t="s">
        <v>257</v>
      </c>
      <c r="B70" s="9" t="s">
        <v>395</v>
      </c>
      <c r="C70" s="45" t="str">
        <f t="shared" ref="C70:C133" si="1">TRIM(D70)</f>
        <v>68566341AB</v>
      </c>
      <c r="D70" s="10" t="s">
        <v>396</v>
      </c>
      <c r="E70" s="10" t="s">
        <v>397</v>
      </c>
      <c r="F70" s="9" t="s">
        <v>394</v>
      </c>
      <c r="G70" s="9" t="s">
        <v>262</v>
      </c>
      <c r="H70" s="11">
        <v>92.307599999999994</v>
      </c>
      <c r="I70" s="12">
        <v>1779</v>
      </c>
      <c r="J70" s="13">
        <v>0</v>
      </c>
      <c r="K70" s="13">
        <v>7233</v>
      </c>
      <c r="L70" s="13">
        <v>11592</v>
      </c>
      <c r="M70" s="13">
        <v>3924</v>
      </c>
      <c r="N70" s="13">
        <v>5760</v>
      </c>
      <c r="O70" s="13">
        <v>6012</v>
      </c>
      <c r="P70" s="13">
        <v>5724</v>
      </c>
      <c r="Q70" s="13">
        <v>6192</v>
      </c>
      <c r="R70" s="13">
        <v>6300</v>
      </c>
      <c r="S70" s="13">
        <v>5832</v>
      </c>
      <c r="T70" s="13">
        <v>5976</v>
      </c>
      <c r="U70" s="13">
        <v>4932</v>
      </c>
      <c r="V70" s="13">
        <v>6012</v>
      </c>
      <c r="W70" s="13">
        <v>5292</v>
      </c>
      <c r="X70" s="13">
        <v>4572</v>
      </c>
      <c r="Y70" s="13">
        <v>5112</v>
      </c>
      <c r="Z70" s="13">
        <v>2700</v>
      </c>
      <c r="AA70" s="13">
        <v>1728</v>
      </c>
      <c r="AB70" s="13">
        <v>4932</v>
      </c>
      <c r="AC70" s="13">
        <v>4284</v>
      </c>
      <c r="AD70" s="13">
        <v>2952</v>
      </c>
    </row>
    <row r="71" spans="1:30" ht="15.75" thickBot="1" x14ac:dyDescent="0.3">
      <c r="A71" s="9" t="s">
        <v>257</v>
      </c>
      <c r="B71" s="9" t="s">
        <v>395</v>
      </c>
      <c r="C71" s="45" t="str">
        <f t="shared" si="1"/>
        <v>MEXICO68566341AB</v>
      </c>
      <c r="D71" s="10" t="s">
        <v>398</v>
      </c>
      <c r="E71" s="10" t="s">
        <v>397</v>
      </c>
      <c r="F71" s="9" t="s">
        <v>394</v>
      </c>
      <c r="G71" s="9" t="s">
        <v>262</v>
      </c>
      <c r="H71" s="11">
        <v>92.307599999999994</v>
      </c>
      <c r="I71" s="12">
        <v>2023</v>
      </c>
      <c r="J71" s="13">
        <v>41</v>
      </c>
      <c r="K71" s="13">
        <v>2016</v>
      </c>
      <c r="L71" s="13">
        <v>2016</v>
      </c>
      <c r="M71" s="13">
        <v>4032</v>
      </c>
      <c r="N71" s="13">
        <v>2016</v>
      </c>
      <c r="O71" s="13">
        <v>4032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</row>
    <row r="72" spans="1:30" ht="15.75" thickBot="1" x14ac:dyDescent="0.3">
      <c r="A72" s="9" t="s">
        <v>257</v>
      </c>
      <c r="B72" s="9" t="s">
        <v>395</v>
      </c>
      <c r="C72" s="45" t="str">
        <f t="shared" si="1"/>
        <v>MLD56030001AB</v>
      </c>
      <c r="D72" s="10" t="s">
        <v>399</v>
      </c>
      <c r="E72" s="10" t="s">
        <v>400</v>
      </c>
      <c r="F72" s="9" t="s">
        <v>394</v>
      </c>
      <c r="G72" s="9" t="s">
        <v>262</v>
      </c>
      <c r="H72" s="12">
        <v>120</v>
      </c>
      <c r="I72" s="12">
        <v>14</v>
      </c>
      <c r="J72" s="13">
        <v>0</v>
      </c>
      <c r="K72" s="13">
        <v>598</v>
      </c>
      <c r="L72" s="13">
        <v>108</v>
      </c>
      <c r="M72" s="13">
        <v>144</v>
      </c>
      <c r="N72" s="13">
        <v>216</v>
      </c>
      <c r="O72" s="13">
        <v>144</v>
      </c>
      <c r="P72" s="13">
        <v>144</v>
      </c>
      <c r="Q72" s="13">
        <v>252</v>
      </c>
      <c r="R72" s="13">
        <v>216</v>
      </c>
      <c r="S72" s="13">
        <v>144</v>
      </c>
      <c r="T72" s="13">
        <v>432</v>
      </c>
      <c r="U72" s="13">
        <v>0</v>
      </c>
      <c r="V72" s="13">
        <v>216</v>
      </c>
      <c r="W72" s="13">
        <v>144</v>
      </c>
      <c r="X72" s="13">
        <v>360</v>
      </c>
      <c r="Y72" s="13">
        <v>144</v>
      </c>
      <c r="Z72" s="13">
        <v>0</v>
      </c>
      <c r="AA72" s="13">
        <v>144</v>
      </c>
      <c r="AB72" s="13">
        <v>252</v>
      </c>
      <c r="AC72" s="13">
        <v>288</v>
      </c>
      <c r="AD72" s="13">
        <v>216</v>
      </c>
    </row>
    <row r="73" spans="1:30" ht="15.75" thickBot="1" x14ac:dyDescent="0.3">
      <c r="A73" s="9" t="s">
        <v>257</v>
      </c>
      <c r="B73" s="9" t="s">
        <v>401</v>
      </c>
      <c r="C73" s="45" t="str">
        <f t="shared" si="1"/>
        <v>85824846</v>
      </c>
      <c r="D73" s="10" t="s">
        <v>402</v>
      </c>
      <c r="E73" s="10" t="s">
        <v>403</v>
      </c>
      <c r="F73" s="9" t="s">
        <v>404</v>
      </c>
      <c r="G73" s="9" t="s">
        <v>262</v>
      </c>
      <c r="H73" s="12">
        <v>72</v>
      </c>
      <c r="I73" s="12">
        <v>117</v>
      </c>
      <c r="J73" s="13">
        <v>0</v>
      </c>
      <c r="K73" s="13">
        <v>58</v>
      </c>
      <c r="L73" s="13">
        <v>0</v>
      </c>
      <c r="M73" s="13">
        <v>0</v>
      </c>
      <c r="N73" s="13">
        <v>0</v>
      </c>
      <c r="O73" s="13">
        <v>140</v>
      </c>
      <c r="P73" s="13">
        <v>140</v>
      </c>
      <c r="Q73" s="13">
        <v>70</v>
      </c>
      <c r="R73" s="13">
        <v>70</v>
      </c>
      <c r="S73" s="13">
        <v>35</v>
      </c>
      <c r="T73" s="13">
        <v>35</v>
      </c>
      <c r="U73" s="13">
        <v>35</v>
      </c>
      <c r="V73" s="13">
        <v>70</v>
      </c>
      <c r="W73" s="13">
        <v>105</v>
      </c>
      <c r="X73" s="13">
        <v>35</v>
      </c>
      <c r="Y73" s="13">
        <v>140</v>
      </c>
      <c r="Z73" s="13">
        <v>0</v>
      </c>
      <c r="AA73" s="13">
        <v>71</v>
      </c>
      <c r="AB73" s="13">
        <v>71</v>
      </c>
      <c r="AC73" s="13">
        <v>36</v>
      </c>
      <c r="AD73" s="13">
        <v>105</v>
      </c>
    </row>
    <row r="74" spans="1:30" ht="15.75" thickBot="1" x14ac:dyDescent="0.3">
      <c r="A74" s="9" t="s">
        <v>257</v>
      </c>
      <c r="B74" s="9" t="s">
        <v>405</v>
      </c>
      <c r="C74" s="45" t="str">
        <f t="shared" si="1"/>
        <v>85755678</v>
      </c>
      <c r="D74" s="10" t="s">
        <v>406</v>
      </c>
      <c r="E74" s="10" t="s">
        <v>407</v>
      </c>
      <c r="F74" s="9" t="s">
        <v>404</v>
      </c>
      <c r="G74" s="9" t="s">
        <v>262</v>
      </c>
      <c r="H74" s="11">
        <v>70.588200000000001</v>
      </c>
      <c r="I74" s="12">
        <v>349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106</v>
      </c>
      <c r="Q74" s="13">
        <v>140</v>
      </c>
      <c r="R74" s="13">
        <v>105</v>
      </c>
      <c r="S74" s="13">
        <v>105</v>
      </c>
      <c r="T74" s="13">
        <v>105</v>
      </c>
      <c r="U74" s="13">
        <v>105</v>
      </c>
      <c r="V74" s="13">
        <v>175</v>
      </c>
      <c r="W74" s="13">
        <v>175</v>
      </c>
      <c r="X74" s="13">
        <v>105</v>
      </c>
      <c r="Y74" s="13">
        <v>70</v>
      </c>
      <c r="Z74" s="13">
        <v>0</v>
      </c>
      <c r="AA74" s="13">
        <v>70</v>
      </c>
      <c r="AB74" s="13">
        <v>70</v>
      </c>
      <c r="AC74" s="13">
        <v>70</v>
      </c>
      <c r="AD74" s="13">
        <v>105</v>
      </c>
    </row>
    <row r="75" spans="1:30" ht="15.75" thickBot="1" x14ac:dyDescent="0.3">
      <c r="A75" s="9" t="s">
        <v>257</v>
      </c>
      <c r="B75" s="9" t="s">
        <v>405</v>
      </c>
      <c r="C75" s="45" t="str">
        <f t="shared" si="1"/>
        <v>85824848</v>
      </c>
      <c r="D75" s="10" t="s">
        <v>408</v>
      </c>
      <c r="E75" s="10" t="s">
        <v>409</v>
      </c>
      <c r="F75" s="9" t="s">
        <v>404</v>
      </c>
      <c r="G75" s="9" t="s">
        <v>262</v>
      </c>
      <c r="H75" s="12">
        <v>72</v>
      </c>
      <c r="I75" s="12">
        <v>17</v>
      </c>
      <c r="J75" s="13">
        <v>0</v>
      </c>
      <c r="K75" s="13">
        <v>158</v>
      </c>
      <c r="L75" s="13">
        <v>0</v>
      </c>
      <c r="M75" s="13">
        <v>0</v>
      </c>
      <c r="N75" s="13">
        <v>0</v>
      </c>
      <c r="O75" s="13">
        <v>175</v>
      </c>
      <c r="P75" s="13">
        <v>105</v>
      </c>
      <c r="Q75" s="13">
        <v>105</v>
      </c>
      <c r="R75" s="13">
        <v>35</v>
      </c>
      <c r="S75" s="13">
        <v>35</v>
      </c>
      <c r="T75" s="13">
        <v>35</v>
      </c>
      <c r="U75" s="13">
        <v>70</v>
      </c>
      <c r="V75" s="13">
        <v>70</v>
      </c>
      <c r="W75" s="13">
        <v>70</v>
      </c>
      <c r="X75" s="13">
        <v>70</v>
      </c>
      <c r="Y75" s="13">
        <v>105</v>
      </c>
      <c r="Z75" s="13">
        <v>0</v>
      </c>
      <c r="AA75" s="13">
        <v>70</v>
      </c>
      <c r="AB75" s="13">
        <v>70</v>
      </c>
      <c r="AC75" s="13">
        <v>70</v>
      </c>
      <c r="AD75" s="13">
        <v>70</v>
      </c>
    </row>
    <row r="76" spans="1:30" ht="15.75" thickBot="1" x14ac:dyDescent="0.3">
      <c r="A76" s="9" t="s">
        <v>257</v>
      </c>
      <c r="B76" s="9" t="s">
        <v>410</v>
      </c>
      <c r="C76" s="45" t="str">
        <f t="shared" si="1"/>
        <v>85132153</v>
      </c>
      <c r="D76" s="10" t="s">
        <v>411</v>
      </c>
      <c r="E76" s="10" t="s">
        <v>412</v>
      </c>
      <c r="F76" s="9" t="s">
        <v>404</v>
      </c>
      <c r="G76" s="9" t="s">
        <v>262</v>
      </c>
      <c r="H76" s="11">
        <v>66.666700000000006</v>
      </c>
      <c r="I76" s="12">
        <v>1601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71</v>
      </c>
      <c r="U76" s="13">
        <v>152</v>
      </c>
      <c r="V76" s="13">
        <v>152</v>
      </c>
      <c r="W76" s="13">
        <v>304</v>
      </c>
      <c r="X76" s="13">
        <v>152</v>
      </c>
      <c r="Y76" s="13">
        <v>304</v>
      </c>
      <c r="Z76" s="13">
        <v>0</v>
      </c>
      <c r="AA76" s="13">
        <v>0</v>
      </c>
      <c r="AB76" s="13">
        <v>152</v>
      </c>
      <c r="AC76" s="13">
        <v>152</v>
      </c>
      <c r="AD76" s="13">
        <v>152</v>
      </c>
    </row>
    <row r="77" spans="1:30" ht="15.75" thickBot="1" x14ac:dyDescent="0.3">
      <c r="A77" s="9" t="s">
        <v>257</v>
      </c>
      <c r="B77" s="9" t="s">
        <v>413</v>
      </c>
      <c r="C77" s="45" t="str">
        <f t="shared" si="1"/>
        <v>85132154</v>
      </c>
      <c r="D77" s="10" t="s">
        <v>414</v>
      </c>
      <c r="E77" s="10" t="s">
        <v>415</v>
      </c>
      <c r="F77" s="9" t="s">
        <v>404</v>
      </c>
      <c r="G77" s="9" t="s">
        <v>262</v>
      </c>
      <c r="H77" s="11">
        <v>66.666700000000006</v>
      </c>
      <c r="I77" s="12">
        <v>818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322</v>
      </c>
      <c r="R77" s="13">
        <v>0</v>
      </c>
      <c r="S77" s="13">
        <v>380</v>
      </c>
      <c r="T77" s="13">
        <v>0</v>
      </c>
      <c r="U77" s="13">
        <v>380</v>
      </c>
      <c r="V77" s="13">
        <v>0</v>
      </c>
      <c r="W77" s="13">
        <v>380</v>
      </c>
      <c r="X77" s="13">
        <v>0</v>
      </c>
      <c r="Y77" s="13">
        <v>380</v>
      </c>
      <c r="Z77" s="13">
        <v>0</v>
      </c>
      <c r="AA77" s="13">
        <v>0</v>
      </c>
      <c r="AB77" s="13">
        <v>380</v>
      </c>
      <c r="AC77" s="13">
        <v>0</v>
      </c>
      <c r="AD77" s="13">
        <v>0</v>
      </c>
    </row>
    <row r="78" spans="1:30" ht="15.75" thickBot="1" x14ac:dyDescent="0.3">
      <c r="A78" s="9" t="s">
        <v>257</v>
      </c>
      <c r="B78" s="9" t="s">
        <v>416</v>
      </c>
      <c r="C78" s="45" t="str">
        <f t="shared" si="1"/>
        <v>85058016</v>
      </c>
      <c r="D78" s="10" t="s">
        <v>417</v>
      </c>
      <c r="E78" s="10" t="s">
        <v>418</v>
      </c>
      <c r="F78" s="9" t="s">
        <v>404</v>
      </c>
      <c r="G78" s="9" t="s">
        <v>262</v>
      </c>
      <c r="H78" s="11">
        <v>65.454499999999996</v>
      </c>
      <c r="I78" s="12">
        <v>514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158</v>
      </c>
      <c r="R78" s="13">
        <v>96</v>
      </c>
      <c r="S78" s="13">
        <v>120</v>
      </c>
      <c r="T78" s="13">
        <v>96</v>
      </c>
      <c r="U78" s="13">
        <v>96</v>
      </c>
      <c r="V78" s="13">
        <v>168</v>
      </c>
      <c r="W78" s="13">
        <v>144</v>
      </c>
      <c r="X78" s="13">
        <v>120</v>
      </c>
      <c r="Y78" s="13">
        <v>96</v>
      </c>
      <c r="Z78" s="13">
        <v>0</v>
      </c>
      <c r="AA78" s="13">
        <v>72</v>
      </c>
      <c r="AB78" s="13">
        <v>96</v>
      </c>
      <c r="AC78" s="13">
        <v>72</v>
      </c>
      <c r="AD78" s="13">
        <v>96</v>
      </c>
    </row>
    <row r="79" spans="1:30" ht="15.75" thickBot="1" x14ac:dyDescent="0.3">
      <c r="A79" s="9" t="s">
        <v>257</v>
      </c>
      <c r="B79" s="9" t="s">
        <v>419</v>
      </c>
      <c r="C79" s="45" t="str">
        <f t="shared" si="1"/>
        <v>85058020</v>
      </c>
      <c r="D79" s="10" t="s">
        <v>420</v>
      </c>
      <c r="E79" s="10" t="s">
        <v>421</v>
      </c>
      <c r="F79" s="9" t="s">
        <v>404</v>
      </c>
      <c r="G79" s="9" t="s">
        <v>262</v>
      </c>
      <c r="H79" s="11">
        <v>65.454499999999996</v>
      </c>
      <c r="I79" s="12">
        <v>444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36</v>
      </c>
      <c r="Q79" s="13">
        <v>168</v>
      </c>
      <c r="R79" s="13">
        <v>120</v>
      </c>
      <c r="S79" s="13">
        <v>96</v>
      </c>
      <c r="T79" s="13">
        <v>120</v>
      </c>
      <c r="U79" s="13">
        <v>96</v>
      </c>
      <c r="V79" s="13">
        <v>144</v>
      </c>
      <c r="W79" s="13">
        <v>144</v>
      </c>
      <c r="X79" s="13">
        <v>120</v>
      </c>
      <c r="Y79" s="13">
        <v>96</v>
      </c>
      <c r="Z79" s="13">
        <v>0</v>
      </c>
      <c r="AA79" s="13">
        <v>96</v>
      </c>
      <c r="AB79" s="13">
        <v>72</v>
      </c>
      <c r="AC79" s="13">
        <v>96</v>
      </c>
      <c r="AD79" s="13">
        <v>96</v>
      </c>
    </row>
    <row r="80" spans="1:30" ht="15.75" thickBot="1" x14ac:dyDescent="0.3">
      <c r="A80" s="9" t="s">
        <v>257</v>
      </c>
      <c r="B80" s="9" t="s">
        <v>422</v>
      </c>
      <c r="C80" s="45" t="str">
        <f t="shared" si="1"/>
        <v>85701330</v>
      </c>
      <c r="D80" s="10" t="s">
        <v>423</v>
      </c>
      <c r="E80" s="10" t="s">
        <v>424</v>
      </c>
      <c r="F80" s="9" t="s">
        <v>404</v>
      </c>
      <c r="G80" s="9" t="s">
        <v>262</v>
      </c>
      <c r="H80" s="11">
        <v>66.666600000000003</v>
      </c>
      <c r="I80" s="12">
        <v>267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81</v>
      </c>
      <c r="Q80" s="13">
        <v>72</v>
      </c>
      <c r="R80" s="13">
        <v>48</v>
      </c>
      <c r="S80" s="13">
        <v>36</v>
      </c>
      <c r="T80" s="13">
        <v>48</v>
      </c>
      <c r="U80" s="13">
        <v>48</v>
      </c>
      <c r="V80" s="13">
        <v>84</v>
      </c>
      <c r="W80" s="13">
        <v>96</v>
      </c>
      <c r="X80" s="13">
        <v>60</v>
      </c>
      <c r="Y80" s="13">
        <v>108</v>
      </c>
      <c r="Z80" s="13">
        <v>0</v>
      </c>
      <c r="AA80" s="13">
        <v>48</v>
      </c>
      <c r="AB80" s="13">
        <v>48</v>
      </c>
      <c r="AC80" s="13">
        <v>60</v>
      </c>
      <c r="AD80" s="13">
        <v>60</v>
      </c>
    </row>
    <row r="81" spans="1:30" ht="15.75" thickBot="1" x14ac:dyDescent="0.3">
      <c r="A81" s="9" t="s">
        <v>257</v>
      </c>
      <c r="B81" s="9" t="s">
        <v>425</v>
      </c>
      <c r="C81" s="45" t="str">
        <f t="shared" si="1"/>
        <v>85701332</v>
      </c>
      <c r="D81" s="10" t="s">
        <v>426</v>
      </c>
      <c r="E81" s="10" t="s">
        <v>427</v>
      </c>
      <c r="F81" s="9" t="s">
        <v>404</v>
      </c>
      <c r="G81" s="9" t="s">
        <v>262</v>
      </c>
      <c r="H81" s="11">
        <v>66.666600000000003</v>
      </c>
      <c r="I81" s="12">
        <v>572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40</v>
      </c>
      <c r="V81" s="13">
        <v>72</v>
      </c>
      <c r="W81" s="13">
        <v>108</v>
      </c>
      <c r="X81" s="13">
        <v>48</v>
      </c>
      <c r="Y81" s="13">
        <v>120</v>
      </c>
      <c r="Z81" s="13">
        <v>0</v>
      </c>
      <c r="AA81" s="13">
        <v>48</v>
      </c>
      <c r="AB81" s="13">
        <v>48</v>
      </c>
      <c r="AC81" s="13">
        <v>60</v>
      </c>
      <c r="AD81" s="13">
        <v>60</v>
      </c>
    </row>
    <row r="82" spans="1:30" ht="15.75" thickBot="1" x14ac:dyDescent="0.3">
      <c r="A82" s="9" t="s">
        <v>257</v>
      </c>
      <c r="B82" s="9" t="s">
        <v>428</v>
      </c>
      <c r="C82" s="45" t="str">
        <f t="shared" si="1"/>
        <v>86584061</v>
      </c>
      <c r="D82" s="10" t="s">
        <v>429</v>
      </c>
      <c r="E82" s="10" t="s">
        <v>430</v>
      </c>
      <c r="F82" s="9" t="s">
        <v>404</v>
      </c>
      <c r="G82" s="9" t="s">
        <v>262</v>
      </c>
      <c r="H82" s="11">
        <v>65.454499999999996</v>
      </c>
      <c r="I82" s="12">
        <v>153</v>
      </c>
      <c r="J82" s="13">
        <v>0</v>
      </c>
      <c r="K82" s="13">
        <v>87</v>
      </c>
      <c r="L82" s="13">
        <v>0</v>
      </c>
      <c r="M82" s="13">
        <v>0</v>
      </c>
      <c r="N82" s="13">
        <v>0</v>
      </c>
      <c r="O82" s="13">
        <v>180</v>
      </c>
      <c r="P82" s="13">
        <v>168</v>
      </c>
      <c r="Q82" s="13">
        <v>156</v>
      </c>
      <c r="R82" s="13">
        <v>120</v>
      </c>
      <c r="S82" s="13">
        <v>108</v>
      </c>
      <c r="T82" s="13">
        <v>108</v>
      </c>
      <c r="U82" s="13">
        <v>84</v>
      </c>
      <c r="V82" s="13">
        <v>168</v>
      </c>
      <c r="W82" s="13">
        <v>144</v>
      </c>
      <c r="X82" s="13">
        <v>120</v>
      </c>
      <c r="Y82" s="13">
        <v>84</v>
      </c>
      <c r="Z82" s="13">
        <v>0</v>
      </c>
      <c r="AA82" s="13">
        <v>96</v>
      </c>
      <c r="AB82" s="13">
        <v>84</v>
      </c>
      <c r="AC82" s="13">
        <v>72</v>
      </c>
      <c r="AD82" s="13">
        <v>108</v>
      </c>
    </row>
    <row r="83" spans="1:30" ht="15.75" thickBot="1" x14ac:dyDescent="0.3">
      <c r="A83" s="9" t="s">
        <v>257</v>
      </c>
      <c r="B83" s="9" t="s">
        <v>431</v>
      </c>
      <c r="C83" s="45" t="str">
        <f t="shared" si="1"/>
        <v>86584065</v>
      </c>
      <c r="D83" s="10" t="s">
        <v>432</v>
      </c>
      <c r="E83" s="10" t="s">
        <v>433</v>
      </c>
      <c r="F83" s="9" t="s">
        <v>404</v>
      </c>
      <c r="G83" s="9" t="s">
        <v>262</v>
      </c>
      <c r="H83" s="11">
        <v>65.454499999999996</v>
      </c>
      <c r="I83" s="12">
        <v>635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133</v>
      </c>
      <c r="R83" s="13">
        <v>108</v>
      </c>
      <c r="S83" s="13">
        <v>108</v>
      </c>
      <c r="T83" s="13">
        <v>108</v>
      </c>
      <c r="U83" s="13">
        <v>96</v>
      </c>
      <c r="V83" s="13">
        <v>156</v>
      </c>
      <c r="W83" s="13">
        <v>144</v>
      </c>
      <c r="X83" s="13">
        <v>120</v>
      </c>
      <c r="Y83" s="13">
        <v>96</v>
      </c>
      <c r="Z83" s="13">
        <v>0</v>
      </c>
      <c r="AA83" s="13">
        <v>84</v>
      </c>
      <c r="AB83" s="13">
        <v>84</v>
      </c>
      <c r="AC83" s="13">
        <v>72</v>
      </c>
      <c r="AD83" s="13">
        <v>108</v>
      </c>
    </row>
    <row r="84" spans="1:30" ht="15.75" thickBot="1" x14ac:dyDescent="0.3">
      <c r="A84" s="9" t="s">
        <v>257</v>
      </c>
      <c r="B84" s="9" t="s">
        <v>434</v>
      </c>
      <c r="C84" s="45" t="str">
        <f t="shared" si="1"/>
        <v>85132157</v>
      </c>
      <c r="D84" s="10" t="s">
        <v>435</v>
      </c>
      <c r="E84" s="10" t="s">
        <v>436</v>
      </c>
      <c r="F84" s="9" t="s">
        <v>404</v>
      </c>
      <c r="G84" s="9" t="s">
        <v>262</v>
      </c>
      <c r="H84" s="11">
        <v>66.666700000000006</v>
      </c>
      <c r="I84" s="12">
        <v>600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24</v>
      </c>
      <c r="P84" s="13">
        <v>252</v>
      </c>
      <c r="Q84" s="13">
        <v>240</v>
      </c>
      <c r="R84" s="13">
        <v>156</v>
      </c>
      <c r="S84" s="13">
        <v>156</v>
      </c>
      <c r="T84" s="13">
        <v>156</v>
      </c>
      <c r="U84" s="13">
        <v>132</v>
      </c>
      <c r="V84" s="13">
        <v>252</v>
      </c>
      <c r="W84" s="13">
        <v>240</v>
      </c>
      <c r="X84" s="13">
        <v>168</v>
      </c>
      <c r="Y84" s="13">
        <v>216</v>
      </c>
      <c r="Z84" s="13">
        <v>0</v>
      </c>
      <c r="AA84" s="13">
        <v>132</v>
      </c>
      <c r="AB84" s="13">
        <v>132</v>
      </c>
      <c r="AC84" s="13">
        <v>132</v>
      </c>
      <c r="AD84" s="13">
        <v>156</v>
      </c>
    </row>
    <row r="85" spans="1:30" ht="15.75" thickBot="1" x14ac:dyDescent="0.3">
      <c r="A85" s="9" t="s">
        <v>257</v>
      </c>
      <c r="B85" s="9" t="s">
        <v>437</v>
      </c>
      <c r="C85" s="45" t="str">
        <f t="shared" si="1"/>
        <v>85132158</v>
      </c>
      <c r="D85" s="10" t="s">
        <v>438</v>
      </c>
      <c r="E85" s="10" t="s">
        <v>439</v>
      </c>
      <c r="F85" s="9" t="s">
        <v>404</v>
      </c>
      <c r="G85" s="9" t="s">
        <v>262</v>
      </c>
      <c r="H85" s="11">
        <v>66.666700000000006</v>
      </c>
      <c r="I85" s="12">
        <v>217</v>
      </c>
      <c r="J85" s="13">
        <v>0</v>
      </c>
      <c r="K85" s="13">
        <v>95</v>
      </c>
      <c r="L85" s="13">
        <v>0</v>
      </c>
      <c r="M85" s="13">
        <v>0</v>
      </c>
      <c r="N85" s="13">
        <v>0</v>
      </c>
      <c r="O85" s="13">
        <v>324</v>
      </c>
      <c r="P85" s="13">
        <v>240</v>
      </c>
      <c r="Q85" s="13">
        <v>240</v>
      </c>
      <c r="R85" s="13">
        <v>156</v>
      </c>
      <c r="S85" s="13">
        <v>156</v>
      </c>
      <c r="T85" s="13">
        <v>156</v>
      </c>
      <c r="U85" s="13">
        <v>144</v>
      </c>
      <c r="V85" s="13">
        <v>240</v>
      </c>
      <c r="W85" s="13">
        <v>240</v>
      </c>
      <c r="X85" s="13">
        <v>168</v>
      </c>
      <c r="Y85" s="13">
        <v>216</v>
      </c>
      <c r="Z85" s="13">
        <v>0</v>
      </c>
      <c r="AA85" s="13">
        <v>132</v>
      </c>
      <c r="AB85" s="13">
        <v>132</v>
      </c>
      <c r="AC85" s="13">
        <v>144</v>
      </c>
      <c r="AD85" s="13">
        <v>156</v>
      </c>
    </row>
    <row r="86" spans="1:30" ht="15.75" thickBot="1" x14ac:dyDescent="0.3">
      <c r="A86" s="9" t="s">
        <v>257</v>
      </c>
      <c r="B86" s="9" t="s">
        <v>440</v>
      </c>
      <c r="C86" s="45" t="str">
        <f t="shared" si="1"/>
        <v>ASYBEE18154</v>
      </c>
      <c r="D86" s="10" t="s">
        <v>441</v>
      </c>
      <c r="E86" s="10" t="s">
        <v>442</v>
      </c>
      <c r="F86" s="9" t="s">
        <v>404</v>
      </c>
      <c r="G86" s="9" t="s">
        <v>262</v>
      </c>
      <c r="H86" s="11">
        <v>65.454499999999996</v>
      </c>
      <c r="I86" s="12">
        <v>373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</row>
    <row r="87" spans="1:30" ht="15.75" thickBot="1" x14ac:dyDescent="0.3">
      <c r="A87" s="9" t="s">
        <v>257</v>
      </c>
      <c r="B87" s="9" t="s">
        <v>440</v>
      </c>
      <c r="C87" s="45" t="str">
        <f t="shared" si="1"/>
        <v>ASYBEH03511</v>
      </c>
      <c r="D87" s="10" t="s">
        <v>443</v>
      </c>
      <c r="E87" s="10" t="s">
        <v>444</v>
      </c>
      <c r="F87" s="9" t="s">
        <v>404</v>
      </c>
      <c r="G87" s="9" t="s">
        <v>262</v>
      </c>
      <c r="H87" s="11">
        <v>66.666600000000003</v>
      </c>
      <c r="I87" s="12">
        <v>810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86</v>
      </c>
      <c r="T87" s="13">
        <v>144</v>
      </c>
      <c r="U87" s="13">
        <v>132</v>
      </c>
      <c r="V87" s="13">
        <v>228</v>
      </c>
      <c r="W87" s="13">
        <v>216</v>
      </c>
      <c r="X87" s="13">
        <v>168</v>
      </c>
      <c r="Y87" s="13">
        <v>195</v>
      </c>
      <c r="Z87" s="13">
        <v>3</v>
      </c>
      <c r="AA87" s="13">
        <v>123</v>
      </c>
      <c r="AB87" s="13">
        <v>135</v>
      </c>
      <c r="AC87" s="13">
        <v>120</v>
      </c>
      <c r="AD87" s="13">
        <v>144</v>
      </c>
    </row>
    <row r="88" spans="1:30" ht="15.75" thickBot="1" x14ac:dyDescent="0.3">
      <c r="A88" s="9" t="s">
        <v>257</v>
      </c>
      <c r="B88" s="9" t="s">
        <v>445</v>
      </c>
      <c r="C88" s="45" t="str">
        <f t="shared" si="1"/>
        <v>ASYBEH03514</v>
      </c>
      <c r="D88" s="10" t="s">
        <v>446</v>
      </c>
      <c r="E88" s="10" t="s">
        <v>447</v>
      </c>
      <c r="F88" s="9" t="s">
        <v>404</v>
      </c>
      <c r="G88" s="9" t="s">
        <v>262</v>
      </c>
      <c r="H88" s="11">
        <v>66.666600000000003</v>
      </c>
      <c r="I88" s="12">
        <v>681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62</v>
      </c>
      <c r="S88" s="13">
        <v>153</v>
      </c>
      <c r="T88" s="13">
        <v>144</v>
      </c>
      <c r="U88" s="13">
        <v>132</v>
      </c>
      <c r="V88" s="13">
        <v>228</v>
      </c>
      <c r="W88" s="13">
        <v>216</v>
      </c>
      <c r="X88" s="13">
        <v>168</v>
      </c>
      <c r="Y88" s="13">
        <v>195</v>
      </c>
      <c r="Z88" s="13">
        <v>3</v>
      </c>
      <c r="AA88" s="13">
        <v>123</v>
      </c>
      <c r="AB88" s="13">
        <v>135</v>
      </c>
      <c r="AC88" s="13">
        <v>120</v>
      </c>
      <c r="AD88" s="13">
        <v>144</v>
      </c>
    </row>
    <row r="89" spans="1:30" ht="15.75" thickBot="1" x14ac:dyDescent="0.3">
      <c r="A89" s="9" t="s">
        <v>257</v>
      </c>
      <c r="B89" s="9" t="s">
        <v>448</v>
      </c>
      <c r="C89" s="45" t="str">
        <f t="shared" si="1"/>
        <v>85648120</v>
      </c>
      <c r="D89" s="10" t="s">
        <v>449</v>
      </c>
      <c r="E89" s="10" t="s">
        <v>450</v>
      </c>
      <c r="F89" s="9" t="s">
        <v>404</v>
      </c>
      <c r="G89" s="9" t="s">
        <v>262</v>
      </c>
      <c r="H89" s="11">
        <v>73.469300000000004</v>
      </c>
      <c r="I89" s="12">
        <v>409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47</v>
      </c>
      <c r="P89" s="13">
        <v>152</v>
      </c>
      <c r="Q89" s="13">
        <v>152</v>
      </c>
      <c r="R89" s="13">
        <v>76</v>
      </c>
      <c r="S89" s="13">
        <v>76</v>
      </c>
      <c r="T89" s="13">
        <v>152</v>
      </c>
      <c r="U89" s="13">
        <v>76</v>
      </c>
      <c r="V89" s="13">
        <v>228</v>
      </c>
      <c r="W89" s="13">
        <v>152</v>
      </c>
      <c r="X89" s="13">
        <v>76</v>
      </c>
      <c r="Y89" s="13">
        <v>76</v>
      </c>
      <c r="Z89" s="13">
        <v>0</v>
      </c>
      <c r="AA89" s="13">
        <v>76</v>
      </c>
      <c r="AB89" s="13">
        <v>76</v>
      </c>
      <c r="AC89" s="13">
        <v>76</v>
      </c>
      <c r="AD89" s="13">
        <v>152</v>
      </c>
    </row>
    <row r="90" spans="1:30" ht="15.75" thickBot="1" x14ac:dyDescent="0.3">
      <c r="A90" s="9" t="s">
        <v>257</v>
      </c>
      <c r="B90" s="9" t="s">
        <v>451</v>
      </c>
      <c r="C90" s="45" t="str">
        <f t="shared" si="1"/>
        <v>85027342</v>
      </c>
      <c r="D90" s="10" t="s">
        <v>452</v>
      </c>
      <c r="E90" s="10" t="s">
        <v>453</v>
      </c>
      <c r="F90" s="9" t="s">
        <v>404</v>
      </c>
      <c r="G90" s="9" t="s">
        <v>262</v>
      </c>
      <c r="H90" s="11">
        <v>84.705799999999996</v>
      </c>
      <c r="I90" s="12">
        <v>317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43</v>
      </c>
      <c r="Q90" s="13">
        <v>120</v>
      </c>
      <c r="R90" s="13">
        <v>0</v>
      </c>
      <c r="S90" s="13">
        <v>0</v>
      </c>
      <c r="T90" s="13">
        <v>120</v>
      </c>
      <c r="U90" s="13">
        <v>0</v>
      </c>
      <c r="V90" s="13">
        <v>120</v>
      </c>
      <c r="W90" s="13">
        <v>120</v>
      </c>
      <c r="X90" s="13">
        <v>0</v>
      </c>
      <c r="Y90" s="13">
        <v>120</v>
      </c>
      <c r="Z90" s="13">
        <v>0</v>
      </c>
      <c r="AA90" s="13">
        <v>120</v>
      </c>
      <c r="AB90" s="13">
        <v>0</v>
      </c>
      <c r="AC90" s="13">
        <v>0</v>
      </c>
      <c r="AD90" s="13">
        <v>120</v>
      </c>
    </row>
    <row r="91" spans="1:30" ht="15.75" thickBot="1" x14ac:dyDescent="0.3">
      <c r="A91" s="9" t="s">
        <v>257</v>
      </c>
      <c r="B91" s="9" t="s">
        <v>451</v>
      </c>
      <c r="C91" s="45" t="str">
        <f t="shared" si="1"/>
        <v>86808195</v>
      </c>
      <c r="D91" s="10" t="s">
        <v>454</v>
      </c>
      <c r="E91" s="10" t="s">
        <v>455</v>
      </c>
      <c r="F91" s="9" t="s">
        <v>404</v>
      </c>
      <c r="G91" s="9" t="s">
        <v>262</v>
      </c>
      <c r="H91" s="11">
        <v>84.705799999999996</v>
      </c>
      <c r="I91" s="12">
        <v>854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43</v>
      </c>
      <c r="Q91" s="13">
        <v>120</v>
      </c>
      <c r="R91" s="13">
        <v>0</v>
      </c>
      <c r="S91" s="13">
        <v>0</v>
      </c>
      <c r="T91" s="13">
        <v>120</v>
      </c>
      <c r="U91" s="13">
        <v>0</v>
      </c>
      <c r="V91" s="13">
        <v>120</v>
      </c>
      <c r="W91" s="13">
        <v>120</v>
      </c>
      <c r="X91" s="13">
        <v>0</v>
      </c>
      <c r="Y91" s="13">
        <v>120</v>
      </c>
      <c r="Z91" s="13">
        <v>0</v>
      </c>
      <c r="AA91" s="13">
        <v>120</v>
      </c>
      <c r="AB91" s="13">
        <v>0</v>
      </c>
      <c r="AC91" s="13">
        <v>0</v>
      </c>
      <c r="AD91" s="13">
        <v>120</v>
      </c>
    </row>
    <row r="92" spans="1:30" ht="15.75" thickBot="1" x14ac:dyDescent="0.3">
      <c r="A92" s="9" t="s">
        <v>257</v>
      </c>
      <c r="B92" s="9" t="s">
        <v>451</v>
      </c>
      <c r="C92" s="45" t="str">
        <f t="shared" si="1"/>
        <v>BT1CC008</v>
      </c>
      <c r="D92" s="10" t="s">
        <v>456</v>
      </c>
      <c r="E92" s="10" t="s">
        <v>457</v>
      </c>
      <c r="F92" s="9" t="s">
        <v>404</v>
      </c>
      <c r="G92" s="9" t="s">
        <v>262</v>
      </c>
      <c r="H92" s="11">
        <v>66.666700000000006</v>
      </c>
      <c r="I92" s="12">
        <v>198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90</v>
      </c>
      <c r="P92" s="13">
        <v>48</v>
      </c>
      <c r="Q92" s="13">
        <v>48</v>
      </c>
      <c r="R92" s="13">
        <v>48</v>
      </c>
      <c r="S92" s="13">
        <v>96</v>
      </c>
      <c r="T92" s="13">
        <v>48</v>
      </c>
      <c r="U92" s="13">
        <v>96</v>
      </c>
      <c r="V92" s="13">
        <v>48</v>
      </c>
      <c r="W92" s="13">
        <v>144</v>
      </c>
      <c r="X92" s="13">
        <v>0</v>
      </c>
      <c r="Y92" s="13">
        <v>48</v>
      </c>
      <c r="Z92" s="13">
        <v>48</v>
      </c>
      <c r="AA92" s="13">
        <v>48</v>
      </c>
      <c r="AB92" s="13">
        <v>48</v>
      </c>
      <c r="AC92" s="13">
        <v>48</v>
      </c>
      <c r="AD92" s="13">
        <v>96</v>
      </c>
    </row>
    <row r="93" spans="1:30" ht="15.75" thickBot="1" x14ac:dyDescent="0.3">
      <c r="A93" s="9" t="s">
        <v>257</v>
      </c>
      <c r="B93" s="9" t="s">
        <v>458</v>
      </c>
      <c r="C93" s="45" t="str">
        <f t="shared" si="1"/>
        <v>BT1CC009</v>
      </c>
      <c r="D93" s="10" t="s">
        <v>459</v>
      </c>
      <c r="E93" s="10" t="s">
        <v>460</v>
      </c>
      <c r="F93" s="9" t="s">
        <v>404</v>
      </c>
      <c r="G93" s="9" t="s">
        <v>262</v>
      </c>
      <c r="H93" s="11">
        <v>66.666700000000006</v>
      </c>
      <c r="I93" s="12">
        <v>33</v>
      </c>
      <c r="J93" s="13">
        <v>0</v>
      </c>
      <c r="K93" s="13">
        <v>0</v>
      </c>
      <c r="L93" s="13">
        <v>0</v>
      </c>
      <c r="M93" s="13">
        <v>15</v>
      </c>
      <c r="N93" s="13">
        <v>96</v>
      </c>
      <c r="O93" s="13">
        <v>96</v>
      </c>
      <c r="P93" s="13">
        <v>48</v>
      </c>
      <c r="Q93" s="13">
        <v>48</v>
      </c>
      <c r="R93" s="13">
        <v>0</v>
      </c>
      <c r="S93" s="13">
        <v>96</v>
      </c>
      <c r="T93" s="13">
        <v>48</v>
      </c>
      <c r="U93" s="13">
        <v>96</v>
      </c>
      <c r="V93" s="13">
        <v>48</v>
      </c>
      <c r="W93" s="13">
        <v>144</v>
      </c>
      <c r="X93" s="13">
        <v>0</v>
      </c>
      <c r="Y93" s="13">
        <v>48</v>
      </c>
      <c r="Z93" s="13">
        <v>48</v>
      </c>
      <c r="AA93" s="13">
        <v>48</v>
      </c>
      <c r="AB93" s="13">
        <v>48</v>
      </c>
      <c r="AC93" s="13">
        <v>48</v>
      </c>
      <c r="AD93" s="13">
        <v>96</v>
      </c>
    </row>
    <row r="94" spans="1:30" ht="15.75" thickBot="1" x14ac:dyDescent="0.3">
      <c r="A94" s="9" t="s">
        <v>257</v>
      </c>
      <c r="B94" s="9" t="s">
        <v>461</v>
      </c>
      <c r="C94" s="45" t="str">
        <f t="shared" si="1"/>
        <v>ASY85132701</v>
      </c>
      <c r="D94" s="10" t="s">
        <v>462</v>
      </c>
      <c r="E94" s="10" t="s">
        <v>463</v>
      </c>
      <c r="F94" s="9" t="s">
        <v>404</v>
      </c>
      <c r="G94" s="9" t="s">
        <v>262</v>
      </c>
      <c r="H94" s="12">
        <v>100</v>
      </c>
      <c r="I94" s="12">
        <v>1324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60</v>
      </c>
      <c r="V94" s="13">
        <v>245</v>
      </c>
      <c r="W94" s="13">
        <v>245</v>
      </c>
      <c r="X94" s="13">
        <v>175</v>
      </c>
      <c r="Y94" s="13">
        <v>175</v>
      </c>
      <c r="Z94" s="13">
        <v>0</v>
      </c>
      <c r="AA94" s="13">
        <v>140</v>
      </c>
      <c r="AB94" s="13">
        <v>140</v>
      </c>
      <c r="AC94" s="13">
        <v>140</v>
      </c>
      <c r="AD94" s="13">
        <v>175</v>
      </c>
    </row>
    <row r="95" spans="1:30" ht="15.75" thickBot="1" x14ac:dyDescent="0.3">
      <c r="A95" s="9" t="s">
        <v>257</v>
      </c>
      <c r="B95" s="9" t="s">
        <v>464</v>
      </c>
      <c r="C95" s="45" t="str">
        <f t="shared" si="1"/>
        <v>85067811</v>
      </c>
      <c r="D95" s="10" t="s">
        <v>465</v>
      </c>
      <c r="E95" s="10" t="s">
        <v>466</v>
      </c>
      <c r="F95" s="9" t="s">
        <v>404</v>
      </c>
      <c r="G95" s="9" t="s">
        <v>262</v>
      </c>
      <c r="H95" s="12">
        <v>72</v>
      </c>
      <c r="I95" s="12">
        <v>212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48</v>
      </c>
      <c r="P95" s="13">
        <v>80</v>
      </c>
      <c r="Q95" s="13">
        <v>80</v>
      </c>
      <c r="R95" s="13">
        <v>40</v>
      </c>
      <c r="S95" s="13">
        <v>50</v>
      </c>
      <c r="T95" s="13">
        <v>40</v>
      </c>
      <c r="U95" s="13">
        <v>50</v>
      </c>
      <c r="V95" s="13">
        <v>90</v>
      </c>
      <c r="W95" s="13">
        <v>90</v>
      </c>
      <c r="X95" s="13">
        <v>50</v>
      </c>
      <c r="Y95" s="13">
        <v>120</v>
      </c>
      <c r="Z95" s="13">
        <v>0</v>
      </c>
      <c r="AA95" s="13">
        <v>50</v>
      </c>
      <c r="AB95" s="13">
        <v>50</v>
      </c>
      <c r="AC95" s="13">
        <v>60</v>
      </c>
      <c r="AD95" s="13">
        <v>50</v>
      </c>
    </row>
    <row r="96" spans="1:30" ht="15.75" thickBot="1" x14ac:dyDescent="0.3">
      <c r="A96" s="9" t="s">
        <v>257</v>
      </c>
      <c r="B96" s="9" t="s">
        <v>467</v>
      </c>
      <c r="C96" s="45" t="str">
        <f t="shared" si="1"/>
        <v>86584059</v>
      </c>
      <c r="D96" s="10" t="s">
        <v>468</v>
      </c>
      <c r="E96" s="10" t="s">
        <v>469</v>
      </c>
      <c r="F96" s="9" t="s">
        <v>404</v>
      </c>
      <c r="G96" s="9" t="s">
        <v>262</v>
      </c>
      <c r="H96" s="11">
        <v>65.454499999999996</v>
      </c>
      <c r="I96" s="12">
        <v>199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121</v>
      </c>
      <c r="P96" s="13">
        <v>80</v>
      </c>
      <c r="Q96" s="13">
        <v>80</v>
      </c>
      <c r="R96" s="13">
        <v>40</v>
      </c>
      <c r="S96" s="13">
        <v>50</v>
      </c>
      <c r="T96" s="13">
        <v>50</v>
      </c>
      <c r="U96" s="13">
        <v>40</v>
      </c>
      <c r="V96" s="13">
        <v>90</v>
      </c>
      <c r="W96" s="13">
        <v>90</v>
      </c>
      <c r="X96" s="13">
        <v>60</v>
      </c>
      <c r="Y96" s="13">
        <v>110</v>
      </c>
      <c r="Z96" s="13">
        <v>0</v>
      </c>
      <c r="AA96" s="13">
        <v>50</v>
      </c>
      <c r="AB96" s="13">
        <v>50</v>
      </c>
      <c r="AC96" s="13">
        <v>60</v>
      </c>
      <c r="AD96" s="13">
        <v>60</v>
      </c>
    </row>
    <row r="97" spans="1:30" ht="15.75" thickBot="1" x14ac:dyDescent="0.3">
      <c r="A97" s="9" t="s">
        <v>257</v>
      </c>
      <c r="B97" s="9" t="s">
        <v>470</v>
      </c>
      <c r="C97" s="45" t="str">
        <f t="shared" si="1"/>
        <v>86584063</v>
      </c>
      <c r="D97" s="10" t="s">
        <v>471</v>
      </c>
      <c r="E97" s="10" t="s">
        <v>472</v>
      </c>
      <c r="F97" s="9" t="s">
        <v>404</v>
      </c>
      <c r="G97" s="9" t="s">
        <v>262</v>
      </c>
      <c r="H97" s="11">
        <v>65.454499999999996</v>
      </c>
      <c r="I97" s="12">
        <v>359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41</v>
      </c>
      <c r="Q97" s="13">
        <v>70</v>
      </c>
      <c r="R97" s="13">
        <v>40</v>
      </c>
      <c r="S97" s="13">
        <v>50</v>
      </c>
      <c r="T97" s="13">
        <v>50</v>
      </c>
      <c r="U97" s="13">
        <v>50</v>
      </c>
      <c r="V97" s="13">
        <v>80</v>
      </c>
      <c r="W97" s="13">
        <v>100</v>
      </c>
      <c r="X97" s="13">
        <v>50</v>
      </c>
      <c r="Y97" s="13">
        <v>120</v>
      </c>
      <c r="Z97" s="13">
        <v>0</v>
      </c>
      <c r="AA97" s="13">
        <v>50</v>
      </c>
      <c r="AB97" s="13">
        <v>50</v>
      </c>
      <c r="AC97" s="13">
        <v>50</v>
      </c>
      <c r="AD97" s="13">
        <v>60</v>
      </c>
    </row>
    <row r="98" spans="1:30" ht="15.75" thickBot="1" x14ac:dyDescent="0.3">
      <c r="A98" s="9" t="s">
        <v>257</v>
      </c>
      <c r="B98" s="9" t="s">
        <v>473</v>
      </c>
      <c r="C98" s="45" t="str">
        <f t="shared" si="1"/>
        <v>85033340</v>
      </c>
      <c r="D98" s="10" t="s">
        <v>474</v>
      </c>
      <c r="E98" s="10" t="s">
        <v>475</v>
      </c>
      <c r="F98" s="9" t="s">
        <v>404</v>
      </c>
      <c r="G98" s="9" t="s">
        <v>262</v>
      </c>
      <c r="H98" s="12">
        <v>60</v>
      </c>
      <c r="I98" s="12">
        <v>436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140</v>
      </c>
      <c r="P98" s="13">
        <v>216</v>
      </c>
      <c r="Q98" s="13">
        <v>228</v>
      </c>
      <c r="R98" s="13">
        <v>159</v>
      </c>
      <c r="S98" s="13">
        <v>153</v>
      </c>
      <c r="T98" s="13">
        <v>144</v>
      </c>
      <c r="U98" s="13">
        <v>132</v>
      </c>
      <c r="V98" s="13">
        <v>228</v>
      </c>
      <c r="W98" s="13">
        <v>216</v>
      </c>
      <c r="X98" s="13">
        <v>168</v>
      </c>
      <c r="Y98" s="13">
        <v>195</v>
      </c>
      <c r="Z98" s="13">
        <v>3</v>
      </c>
      <c r="AA98" s="13">
        <v>123</v>
      </c>
      <c r="AB98" s="13">
        <v>135</v>
      </c>
      <c r="AC98" s="13">
        <v>120</v>
      </c>
      <c r="AD98" s="13">
        <v>144</v>
      </c>
    </row>
    <row r="99" spans="1:30" ht="15.75" thickBot="1" x14ac:dyDescent="0.3">
      <c r="A99" s="9" t="s">
        <v>257</v>
      </c>
      <c r="B99" s="9" t="s">
        <v>473</v>
      </c>
      <c r="C99" s="45" t="str">
        <f t="shared" si="1"/>
        <v>85033342</v>
      </c>
      <c r="D99" s="10" t="s">
        <v>476</v>
      </c>
      <c r="E99" s="10" t="s">
        <v>477</v>
      </c>
      <c r="F99" s="9" t="s">
        <v>404</v>
      </c>
      <c r="G99" s="9" t="s">
        <v>262</v>
      </c>
      <c r="H99" s="12">
        <v>60</v>
      </c>
      <c r="I99" s="12">
        <v>477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140</v>
      </c>
      <c r="P99" s="13">
        <v>216</v>
      </c>
      <c r="Q99" s="13">
        <v>228</v>
      </c>
      <c r="R99" s="13">
        <v>159</v>
      </c>
      <c r="S99" s="13">
        <v>153</v>
      </c>
      <c r="T99" s="13">
        <v>144</v>
      </c>
      <c r="U99" s="13">
        <v>132</v>
      </c>
      <c r="V99" s="13">
        <v>228</v>
      </c>
      <c r="W99" s="13">
        <v>216</v>
      </c>
      <c r="X99" s="13">
        <v>168</v>
      </c>
      <c r="Y99" s="13">
        <v>195</v>
      </c>
      <c r="Z99" s="13">
        <v>3</v>
      </c>
      <c r="AA99" s="13">
        <v>123</v>
      </c>
      <c r="AB99" s="13">
        <v>135</v>
      </c>
      <c r="AC99" s="13">
        <v>120</v>
      </c>
      <c r="AD99" s="13">
        <v>144</v>
      </c>
    </row>
    <row r="100" spans="1:30" ht="15.75" thickBot="1" x14ac:dyDescent="0.3">
      <c r="A100" s="9" t="s">
        <v>257</v>
      </c>
      <c r="B100" s="9" t="s">
        <v>473</v>
      </c>
      <c r="C100" s="45" t="str">
        <f t="shared" si="1"/>
        <v>85033344</v>
      </c>
      <c r="D100" s="10" t="s">
        <v>478</v>
      </c>
      <c r="E100" s="10" t="s">
        <v>479</v>
      </c>
      <c r="F100" s="9" t="s">
        <v>404</v>
      </c>
      <c r="G100" s="9" t="s">
        <v>262</v>
      </c>
      <c r="H100" s="11">
        <v>71.287099999999995</v>
      </c>
      <c r="I100" s="12">
        <v>80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24</v>
      </c>
      <c r="P100" s="13">
        <v>24</v>
      </c>
      <c r="Q100" s="13">
        <v>12</v>
      </c>
      <c r="R100" s="13">
        <v>0</v>
      </c>
      <c r="S100" s="13">
        <v>12</v>
      </c>
      <c r="T100" s="13">
        <v>12</v>
      </c>
      <c r="U100" s="13">
        <v>12</v>
      </c>
      <c r="V100" s="13">
        <v>12</v>
      </c>
      <c r="W100" s="13">
        <v>24</v>
      </c>
      <c r="X100" s="13">
        <v>0</v>
      </c>
      <c r="Y100" s="13">
        <v>24</v>
      </c>
      <c r="Z100" s="13">
        <v>0</v>
      </c>
      <c r="AA100" s="13">
        <v>12</v>
      </c>
      <c r="AB100" s="13">
        <v>12</v>
      </c>
      <c r="AC100" s="13">
        <v>12</v>
      </c>
      <c r="AD100" s="13">
        <v>12</v>
      </c>
    </row>
    <row r="101" spans="1:30" ht="15.75" thickBot="1" x14ac:dyDescent="0.3">
      <c r="A101" s="9" t="s">
        <v>257</v>
      </c>
      <c r="B101" s="9" t="s">
        <v>473</v>
      </c>
      <c r="C101" s="45" t="str">
        <f t="shared" si="1"/>
        <v>85033346</v>
      </c>
      <c r="D101" s="10" t="s">
        <v>480</v>
      </c>
      <c r="E101" s="10" t="s">
        <v>481</v>
      </c>
      <c r="F101" s="9" t="s">
        <v>404</v>
      </c>
      <c r="G101" s="9" t="s">
        <v>262</v>
      </c>
      <c r="H101" s="11">
        <v>71.287099999999995</v>
      </c>
      <c r="I101" s="12">
        <v>72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24</v>
      </c>
      <c r="P101" s="13">
        <v>24</v>
      </c>
      <c r="Q101" s="13">
        <v>12</v>
      </c>
      <c r="R101" s="13">
        <v>0</v>
      </c>
      <c r="S101" s="13">
        <v>12</v>
      </c>
      <c r="T101" s="13">
        <v>12</v>
      </c>
      <c r="U101" s="13">
        <v>12</v>
      </c>
      <c r="V101" s="13">
        <v>12</v>
      </c>
      <c r="W101" s="13">
        <v>24</v>
      </c>
      <c r="X101" s="13">
        <v>0</v>
      </c>
      <c r="Y101" s="13">
        <v>24</v>
      </c>
      <c r="Z101" s="13">
        <v>0</v>
      </c>
      <c r="AA101" s="13">
        <v>12</v>
      </c>
      <c r="AB101" s="13">
        <v>12</v>
      </c>
      <c r="AC101" s="13">
        <v>12</v>
      </c>
      <c r="AD101" s="13">
        <v>12</v>
      </c>
    </row>
    <row r="102" spans="1:30" ht="15.75" thickBot="1" x14ac:dyDescent="0.3">
      <c r="A102" s="9" t="s">
        <v>257</v>
      </c>
      <c r="B102" s="9" t="s">
        <v>482</v>
      </c>
      <c r="C102" s="45" t="str">
        <f t="shared" si="1"/>
        <v>87868129</v>
      </c>
      <c r="D102" s="10" t="s">
        <v>483</v>
      </c>
      <c r="E102" s="10" t="s">
        <v>484</v>
      </c>
      <c r="F102" s="9" t="s">
        <v>404</v>
      </c>
      <c r="G102" s="9" t="s">
        <v>262</v>
      </c>
      <c r="H102" s="12">
        <v>100</v>
      </c>
      <c r="I102" s="12">
        <v>220</v>
      </c>
      <c r="J102" s="13">
        <v>0</v>
      </c>
      <c r="K102" s="13">
        <v>44</v>
      </c>
      <c r="L102" s="13">
        <v>0</v>
      </c>
      <c r="M102" s="13">
        <v>0</v>
      </c>
      <c r="N102" s="13">
        <v>0</v>
      </c>
      <c r="O102" s="13">
        <v>132</v>
      </c>
      <c r="P102" s="13">
        <v>198</v>
      </c>
      <c r="Q102" s="13">
        <v>132</v>
      </c>
      <c r="R102" s="13">
        <v>66</v>
      </c>
      <c r="S102" s="13">
        <v>132</v>
      </c>
      <c r="T102" s="13">
        <v>66</v>
      </c>
      <c r="U102" s="13">
        <v>66</v>
      </c>
      <c r="V102" s="13">
        <v>132</v>
      </c>
      <c r="W102" s="13">
        <v>132</v>
      </c>
      <c r="X102" s="13">
        <v>132</v>
      </c>
      <c r="Y102" s="13">
        <v>66</v>
      </c>
      <c r="Z102" s="13">
        <v>0</v>
      </c>
      <c r="AA102" s="13">
        <v>66</v>
      </c>
      <c r="AB102" s="13">
        <v>66</v>
      </c>
      <c r="AC102" s="13">
        <v>66</v>
      </c>
      <c r="AD102" s="13">
        <v>132</v>
      </c>
    </row>
    <row r="103" spans="1:30" ht="15.75" thickBot="1" x14ac:dyDescent="0.3">
      <c r="A103" s="9" t="s">
        <v>257</v>
      </c>
      <c r="B103" s="9" t="s">
        <v>485</v>
      </c>
      <c r="C103" s="45" t="str">
        <f t="shared" si="1"/>
        <v>86787809</v>
      </c>
      <c r="D103" s="10" t="s">
        <v>486</v>
      </c>
      <c r="E103" s="10" t="s">
        <v>487</v>
      </c>
      <c r="F103" s="9" t="s">
        <v>404</v>
      </c>
      <c r="G103" s="9" t="s">
        <v>262</v>
      </c>
      <c r="H103" s="12">
        <v>100</v>
      </c>
      <c r="I103" s="12">
        <v>505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41</v>
      </c>
      <c r="Q103" s="13">
        <v>156</v>
      </c>
      <c r="R103" s="13">
        <v>117</v>
      </c>
      <c r="S103" s="13">
        <v>117</v>
      </c>
      <c r="T103" s="13">
        <v>78</v>
      </c>
      <c r="U103" s="13">
        <v>117</v>
      </c>
      <c r="V103" s="13">
        <v>156</v>
      </c>
      <c r="W103" s="13">
        <v>156</v>
      </c>
      <c r="X103" s="13">
        <v>78</v>
      </c>
      <c r="Y103" s="13">
        <v>117</v>
      </c>
      <c r="Z103" s="13">
        <v>0</v>
      </c>
      <c r="AA103" s="13">
        <v>78</v>
      </c>
      <c r="AB103" s="13">
        <v>78</v>
      </c>
      <c r="AC103" s="13">
        <v>78</v>
      </c>
      <c r="AD103" s="13">
        <v>117</v>
      </c>
    </row>
    <row r="104" spans="1:30" ht="15.75" thickBot="1" x14ac:dyDescent="0.3">
      <c r="A104" s="9" t="s">
        <v>257</v>
      </c>
      <c r="B104" s="9" t="s">
        <v>488</v>
      </c>
      <c r="C104" s="45" t="str">
        <f t="shared" si="1"/>
        <v>N1WB E31003 CD3ZHE</v>
      </c>
      <c r="D104" s="10" t="s">
        <v>489</v>
      </c>
      <c r="E104" s="10" t="s">
        <v>490</v>
      </c>
      <c r="F104" s="9" t="s">
        <v>261</v>
      </c>
      <c r="G104" s="9" t="s">
        <v>262</v>
      </c>
      <c r="H104" s="11">
        <v>85.714200000000005</v>
      </c>
      <c r="I104" s="12">
        <v>1207</v>
      </c>
      <c r="J104" s="13">
        <v>0</v>
      </c>
      <c r="K104" s="13">
        <v>729</v>
      </c>
      <c r="L104" s="13">
        <v>1338</v>
      </c>
      <c r="M104" s="13">
        <v>994</v>
      </c>
      <c r="N104" s="13">
        <v>1188</v>
      </c>
      <c r="O104" s="13">
        <v>1426</v>
      </c>
      <c r="P104" s="13">
        <v>1374</v>
      </c>
      <c r="Q104" s="13">
        <v>984</v>
      </c>
      <c r="R104" s="13">
        <v>1152</v>
      </c>
      <c r="S104" s="13">
        <v>1512</v>
      </c>
      <c r="T104" s="13">
        <v>1558</v>
      </c>
      <c r="U104" s="13">
        <v>1338</v>
      </c>
      <c r="V104" s="13">
        <v>1408</v>
      </c>
      <c r="W104" s="13">
        <v>2068</v>
      </c>
      <c r="X104" s="13">
        <v>1928</v>
      </c>
      <c r="Y104" s="13">
        <v>2260</v>
      </c>
      <c r="Z104" s="13">
        <v>1848</v>
      </c>
      <c r="AA104" s="13">
        <v>0</v>
      </c>
      <c r="AB104" s="13">
        <v>828</v>
      </c>
      <c r="AC104" s="13">
        <v>2068</v>
      </c>
      <c r="AD104" s="13">
        <v>2016</v>
      </c>
    </row>
    <row r="105" spans="1:30" ht="15.75" thickBot="1" x14ac:dyDescent="0.3">
      <c r="A105" s="9" t="s">
        <v>257</v>
      </c>
      <c r="B105" s="9" t="s">
        <v>491</v>
      </c>
      <c r="C105" s="45" t="str">
        <f t="shared" si="1"/>
        <v>KB3B 8C291 AC</v>
      </c>
      <c r="D105" s="10" t="s">
        <v>492</v>
      </c>
      <c r="E105" s="10" t="s">
        <v>493</v>
      </c>
      <c r="F105" s="9" t="s">
        <v>494</v>
      </c>
      <c r="G105" s="9" t="s">
        <v>262</v>
      </c>
      <c r="H105" s="12">
        <v>80</v>
      </c>
      <c r="I105" s="12">
        <v>437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3">
        <v>0</v>
      </c>
    </row>
    <row r="106" spans="1:30" ht="15.75" thickBot="1" x14ac:dyDescent="0.3">
      <c r="A106" s="9" t="s">
        <v>257</v>
      </c>
      <c r="B106" s="9" t="s">
        <v>491</v>
      </c>
      <c r="C106" s="45" t="str">
        <f t="shared" si="1"/>
        <v>KB3B 8C291 AD</v>
      </c>
      <c r="D106" s="10" t="s">
        <v>495</v>
      </c>
      <c r="E106" s="10" t="s">
        <v>493</v>
      </c>
      <c r="F106" s="9" t="s">
        <v>494</v>
      </c>
      <c r="G106" s="9" t="s">
        <v>262</v>
      </c>
      <c r="H106" s="12">
        <v>80</v>
      </c>
      <c r="I106" s="12">
        <v>125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1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36</v>
      </c>
      <c r="AA106" s="13">
        <v>0</v>
      </c>
      <c r="AB106" s="13">
        <v>0</v>
      </c>
      <c r="AC106" s="13">
        <v>0</v>
      </c>
      <c r="AD106" s="13">
        <v>0</v>
      </c>
    </row>
    <row r="107" spans="1:30" ht="15.75" thickBot="1" x14ac:dyDescent="0.3">
      <c r="A107" s="9" t="s">
        <v>257</v>
      </c>
      <c r="B107" s="9" t="s">
        <v>496</v>
      </c>
      <c r="C107" s="45" t="str">
        <f t="shared" si="1"/>
        <v>N1WB 16L558 DB</v>
      </c>
      <c r="D107" s="10" t="s">
        <v>497</v>
      </c>
      <c r="E107" s="10" t="s">
        <v>498</v>
      </c>
      <c r="F107" s="9" t="s">
        <v>261</v>
      </c>
      <c r="G107" s="9" t="s">
        <v>262</v>
      </c>
      <c r="H107" s="12">
        <v>90</v>
      </c>
      <c r="I107" s="12">
        <v>10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9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13">
        <v>0</v>
      </c>
      <c r="AD107" s="13">
        <v>0</v>
      </c>
    </row>
    <row r="108" spans="1:30" ht="15.75" thickBot="1" x14ac:dyDescent="0.3">
      <c r="A108" s="9" t="s">
        <v>257</v>
      </c>
      <c r="B108" s="9" t="s">
        <v>496</v>
      </c>
      <c r="C108" s="45" t="str">
        <f t="shared" si="1"/>
        <v>N1WB 16L559 DB</v>
      </c>
      <c r="D108" s="10" t="s">
        <v>499</v>
      </c>
      <c r="E108" s="10" t="s">
        <v>500</v>
      </c>
      <c r="F108" s="9" t="s">
        <v>261</v>
      </c>
      <c r="G108" s="9" t="s">
        <v>262</v>
      </c>
      <c r="H108" s="12">
        <v>90</v>
      </c>
      <c r="I108" s="8"/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24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</row>
    <row r="109" spans="1:30" ht="15.75" thickBot="1" x14ac:dyDescent="0.3">
      <c r="A109" s="9" t="s">
        <v>257</v>
      </c>
      <c r="B109" s="9" t="s">
        <v>496</v>
      </c>
      <c r="C109" s="45" t="str">
        <f t="shared" si="1"/>
        <v>N1WB 16L559 FB</v>
      </c>
      <c r="D109" s="10" t="s">
        <v>501</v>
      </c>
      <c r="E109" s="10" t="s">
        <v>502</v>
      </c>
      <c r="F109" s="9" t="s">
        <v>261</v>
      </c>
      <c r="G109" s="9" t="s">
        <v>262</v>
      </c>
      <c r="H109" s="12">
        <v>90</v>
      </c>
      <c r="I109" s="8"/>
      <c r="J109" s="13">
        <v>0</v>
      </c>
      <c r="K109" s="13">
        <v>7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6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</row>
    <row r="110" spans="1:30" ht="15.75" thickBot="1" x14ac:dyDescent="0.3">
      <c r="A110" s="9" t="s">
        <v>257</v>
      </c>
      <c r="B110" s="9" t="s">
        <v>496</v>
      </c>
      <c r="C110" s="45" t="str">
        <f t="shared" si="1"/>
        <v>N1WB 16L560 DC</v>
      </c>
      <c r="D110" s="10" t="s">
        <v>503</v>
      </c>
      <c r="E110" s="10" t="s">
        <v>498</v>
      </c>
      <c r="F110" s="9" t="s">
        <v>261</v>
      </c>
      <c r="G110" s="9" t="s">
        <v>262</v>
      </c>
      <c r="H110" s="11">
        <v>82.568799999999996</v>
      </c>
      <c r="I110" s="12">
        <v>18</v>
      </c>
      <c r="J110" s="13">
        <v>0</v>
      </c>
      <c r="K110" s="13">
        <v>0</v>
      </c>
      <c r="L110" s="13">
        <v>0</v>
      </c>
      <c r="M110" s="13">
        <v>2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23</v>
      </c>
      <c r="AA110" s="13">
        <v>0</v>
      </c>
      <c r="AB110" s="13">
        <v>0</v>
      </c>
      <c r="AC110" s="13">
        <v>0</v>
      </c>
      <c r="AD110" s="13">
        <v>0</v>
      </c>
    </row>
    <row r="111" spans="1:30" ht="15.75" thickBot="1" x14ac:dyDescent="0.3">
      <c r="A111" s="9" t="s">
        <v>257</v>
      </c>
      <c r="B111" s="9" t="s">
        <v>496</v>
      </c>
      <c r="C111" s="45" t="str">
        <f t="shared" si="1"/>
        <v>N1WB 16L561 DC</v>
      </c>
      <c r="D111" s="10" t="s">
        <v>504</v>
      </c>
      <c r="E111" s="10" t="s">
        <v>500</v>
      </c>
      <c r="F111" s="9" t="s">
        <v>261</v>
      </c>
      <c r="G111" s="9" t="s">
        <v>262</v>
      </c>
      <c r="H111" s="11">
        <v>82.568799999999996</v>
      </c>
      <c r="I111" s="8"/>
      <c r="J111" s="13">
        <v>0</v>
      </c>
      <c r="K111" s="13">
        <v>0</v>
      </c>
      <c r="L111" s="13">
        <v>20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22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0</v>
      </c>
      <c r="AD111" s="13">
        <v>0</v>
      </c>
    </row>
    <row r="112" spans="1:30" ht="15.75" thickBot="1" x14ac:dyDescent="0.3">
      <c r="A112" s="9" t="s">
        <v>257</v>
      </c>
      <c r="B112" s="9" t="s">
        <v>496</v>
      </c>
      <c r="C112" s="45" t="str">
        <f t="shared" si="1"/>
        <v>N1WB 16L561 FB</v>
      </c>
      <c r="D112" s="10" t="s">
        <v>505</v>
      </c>
      <c r="E112" s="10" t="s">
        <v>502</v>
      </c>
      <c r="F112" s="9" t="s">
        <v>261</v>
      </c>
      <c r="G112" s="9" t="s">
        <v>262</v>
      </c>
      <c r="H112" s="11">
        <v>82.568799999999996</v>
      </c>
      <c r="I112" s="8"/>
      <c r="J112" s="13">
        <v>0</v>
      </c>
      <c r="K112" s="13">
        <v>6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5</v>
      </c>
      <c r="W112" s="13">
        <v>0</v>
      </c>
      <c r="X112" s="13">
        <v>0</v>
      </c>
      <c r="Y112" s="13">
        <v>0</v>
      </c>
      <c r="Z112" s="13">
        <v>0</v>
      </c>
      <c r="AA112" s="13">
        <v>0</v>
      </c>
      <c r="AB112" s="13">
        <v>0</v>
      </c>
      <c r="AC112" s="13">
        <v>0</v>
      </c>
      <c r="AD112" s="13">
        <v>0</v>
      </c>
    </row>
    <row r="113" spans="1:30" ht="15.75" thickBot="1" x14ac:dyDescent="0.3">
      <c r="A113" s="9" t="s">
        <v>257</v>
      </c>
      <c r="B113" s="9" t="s">
        <v>506</v>
      </c>
      <c r="C113" s="45" t="str">
        <f t="shared" si="1"/>
        <v>KB3B 2103513 BD31TB</v>
      </c>
      <c r="D113" s="10" t="s">
        <v>507</v>
      </c>
      <c r="E113" s="10" t="s">
        <v>508</v>
      </c>
      <c r="F113" s="9" t="s">
        <v>494</v>
      </c>
      <c r="G113" s="9" t="s">
        <v>262</v>
      </c>
      <c r="H113" s="11">
        <v>72.580600000000004</v>
      </c>
      <c r="I113" s="8"/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5</v>
      </c>
      <c r="AA113" s="13">
        <v>0</v>
      </c>
      <c r="AB113" s="13">
        <v>0</v>
      </c>
      <c r="AC113" s="13">
        <v>0</v>
      </c>
      <c r="AD113" s="13">
        <v>0</v>
      </c>
    </row>
    <row r="114" spans="1:30" ht="15.75" thickBot="1" x14ac:dyDescent="0.3">
      <c r="A114" s="9" t="s">
        <v>257</v>
      </c>
      <c r="B114" s="9" t="s">
        <v>509</v>
      </c>
      <c r="C114" s="45" t="str">
        <f t="shared" si="1"/>
        <v>N1WB E24396 CA31NB</v>
      </c>
      <c r="D114" s="10" t="s">
        <v>510</v>
      </c>
      <c r="E114" s="10" t="s">
        <v>511</v>
      </c>
      <c r="F114" s="9" t="s">
        <v>261</v>
      </c>
      <c r="G114" s="9" t="s">
        <v>262</v>
      </c>
      <c r="H114" s="11">
        <v>64.285700000000006</v>
      </c>
      <c r="I114" s="12">
        <v>1054</v>
      </c>
      <c r="J114" s="13">
        <v>0</v>
      </c>
      <c r="K114" s="13">
        <v>533</v>
      </c>
      <c r="L114" s="13">
        <v>1144</v>
      </c>
      <c r="M114" s="13">
        <v>897</v>
      </c>
      <c r="N114" s="13">
        <v>1046</v>
      </c>
      <c r="O114" s="13">
        <v>1344</v>
      </c>
      <c r="P114" s="13">
        <v>1200</v>
      </c>
      <c r="Q114" s="13">
        <v>730</v>
      </c>
      <c r="R114" s="13">
        <v>902</v>
      </c>
      <c r="S114" s="13">
        <v>1268</v>
      </c>
      <c r="T114" s="13">
        <v>1314</v>
      </c>
      <c r="U114" s="13">
        <v>1134</v>
      </c>
      <c r="V114" s="13">
        <v>1218</v>
      </c>
      <c r="W114" s="13">
        <v>1824</v>
      </c>
      <c r="X114" s="13">
        <v>1670</v>
      </c>
      <c r="Y114" s="13">
        <v>1920</v>
      </c>
      <c r="Z114" s="13">
        <v>1633</v>
      </c>
      <c r="AA114" s="13">
        <v>0</v>
      </c>
      <c r="AB114" s="13">
        <v>730</v>
      </c>
      <c r="AC114" s="13">
        <v>1824</v>
      </c>
      <c r="AD114" s="13">
        <v>1766</v>
      </c>
    </row>
    <row r="115" spans="1:30" ht="15.75" thickBot="1" x14ac:dyDescent="0.3">
      <c r="A115" s="9" t="s">
        <v>257</v>
      </c>
      <c r="B115" s="9" t="s">
        <v>509</v>
      </c>
      <c r="C115" s="45" t="str">
        <f t="shared" si="1"/>
        <v>N1WB E24396 CA3ZHE</v>
      </c>
      <c r="D115" s="10" t="s">
        <v>512</v>
      </c>
      <c r="E115" s="10" t="s">
        <v>511</v>
      </c>
      <c r="F115" s="9" t="s">
        <v>261</v>
      </c>
      <c r="G115" s="9" t="s">
        <v>262</v>
      </c>
      <c r="H115" s="11">
        <v>64.285700000000006</v>
      </c>
      <c r="I115" s="12">
        <v>656</v>
      </c>
      <c r="J115" s="13">
        <v>0</v>
      </c>
      <c r="K115" s="13">
        <v>0</v>
      </c>
      <c r="L115" s="13">
        <v>0</v>
      </c>
      <c r="M115" s="13">
        <v>0</v>
      </c>
      <c r="N115" s="13">
        <v>110</v>
      </c>
      <c r="O115" s="13">
        <v>96</v>
      </c>
      <c r="P115" s="13">
        <v>152</v>
      </c>
      <c r="Q115" s="13">
        <v>240</v>
      </c>
      <c r="R115" s="13">
        <v>240</v>
      </c>
      <c r="S115" s="13">
        <v>261</v>
      </c>
      <c r="T115" s="13">
        <v>268</v>
      </c>
      <c r="U115" s="13">
        <v>202</v>
      </c>
      <c r="V115" s="13">
        <v>182</v>
      </c>
      <c r="W115" s="13">
        <v>240</v>
      </c>
      <c r="X115" s="13">
        <v>240</v>
      </c>
      <c r="Y115" s="13">
        <v>318</v>
      </c>
      <c r="Z115" s="13">
        <v>258</v>
      </c>
      <c r="AA115" s="13">
        <v>0</v>
      </c>
      <c r="AB115" s="13">
        <v>96</v>
      </c>
      <c r="AC115" s="13">
        <v>260</v>
      </c>
      <c r="AD115" s="13">
        <v>268</v>
      </c>
    </row>
    <row r="116" spans="1:30" ht="15.75" thickBot="1" x14ac:dyDescent="0.3">
      <c r="A116" s="9" t="s">
        <v>257</v>
      </c>
      <c r="B116" s="9" t="s">
        <v>513</v>
      </c>
      <c r="C116" s="45" t="str">
        <f t="shared" si="1"/>
        <v>KB3B 26243C02 AG</v>
      </c>
      <c r="D116" s="10" t="s">
        <v>514</v>
      </c>
      <c r="E116" s="10" t="s">
        <v>515</v>
      </c>
      <c r="F116" s="9" t="s">
        <v>494</v>
      </c>
      <c r="G116" s="9" t="s">
        <v>262</v>
      </c>
      <c r="H116" s="11">
        <v>121.21210000000001</v>
      </c>
      <c r="I116" s="12">
        <v>910</v>
      </c>
      <c r="J116" s="13">
        <v>0</v>
      </c>
      <c r="K116" s="13">
        <v>1626</v>
      </c>
      <c r="L116" s="13">
        <v>1008</v>
      </c>
      <c r="M116" s="13">
        <v>1008</v>
      </c>
      <c r="N116" s="13">
        <v>1440</v>
      </c>
      <c r="O116" s="13">
        <v>1440</v>
      </c>
      <c r="P116" s="13">
        <v>1152</v>
      </c>
      <c r="Q116" s="13">
        <v>864</v>
      </c>
      <c r="R116" s="13">
        <v>1368</v>
      </c>
      <c r="S116" s="13">
        <v>1656</v>
      </c>
      <c r="T116" s="13">
        <v>1440</v>
      </c>
      <c r="U116" s="13">
        <v>1296</v>
      </c>
      <c r="V116" s="13">
        <v>1512</v>
      </c>
      <c r="W116" s="13">
        <v>2160</v>
      </c>
      <c r="X116" s="13">
        <v>2016</v>
      </c>
      <c r="Y116" s="13">
        <v>1944</v>
      </c>
      <c r="Z116" s="13">
        <v>1296</v>
      </c>
      <c r="AA116" s="13">
        <v>288</v>
      </c>
      <c r="AB116" s="13">
        <v>1296</v>
      </c>
      <c r="AC116" s="13">
        <v>2160</v>
      </c>
      <c r="AD116" s="13">
        <v>2016</v>
      </c>
    </row>
    <row r="117" spans="1:30" ht="15.75" thickBot="1" x14ac:dyDescent="0.3">
      <c r="A117" s="9" t="s">
        <v>257</v>
      </c>
      <c r="B117" s="9" t="s">
        <v>513</v>
      </c>
      <c r="C117" s="45" t="str">
        <f t="shared" si="1"/>
        <v>KB3B 26243C02 AG-01</v>
      </c>
      <c r="D117" s="10" t="s">
        <v>516</v>
      </c>
      <c r="E117" s="10" t="s">
        <v>515</v>
      </c>
      <c r="F117" s="9" t="s">
        <v>494</v>
      </c>
      <c r="G117" s="9" t="s">
        <v>262</v>
      </c>
      <c r="H117" s="11">
        <v>121.21210000000001</v>
      </c>
      <c r="I117" s="8"/>
      <c r="J117" s="13">
        <v>3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</row>
    <row r="118" spans="1:30" ht="15.75" thickBot="1" x14ac:dyDescent="0.3">
      <c r="A118" s="9" t="s">
        <v>257</v>
      </c>
      <c r="B118" s="9" t="s">
        <v>513</v>
      </c>
      <c r="C118" s="45" t="str">
        <f t="shared" si="1"/>
        <v>KB3B 26243C03 AG</v>
      </c>
      <c r="D118" s="10" t="s">
        <v>517</v>
      </c>
      <c r="E118" s="10" t="s">
        <v>518</v>
      </c>
      <c r="F118" s="9" t="s">
        <v>494</v>
      </c>
      <c r="G118" s="9" t="s">
        <v>262</v>
      </c>
      <c r="H118" s="11">
        <v>121.21210000000001</v>
      </c>
      <c r="I118" s="12">
        <v>1166</v>
      </c>
      <c r="J118" s="13">
        <v>274</v>
      </c>
      <c r="K118" s="13">
        <v>1440</v>
      </c>
      <c r="L118" s="13">
        <v>576</v>
      </c>
      <c r="M118" s="13">
        <v>1440</v>
      </c>
      <c r="N118" s="13">
        <v>1440</v>
      </c>
      <c r="O118" s="13">
        <v>1440</v>
      </c>
      <c r="P118" s="13">
        <v>864</v>
      </c>
      <c r="Q118" s="13">
        <v>576</v>
      </c>
      <c r="R118" s="13">
        <v>1440</v>
      </c>
      <c r="S118" s="13">
        <v>1451</v>
      </c>
      <c r="T118" s="13">
        <v>1440</v>
      </c>
      <c r="U118" s="13">
        <v>1440</v>
      </c>
      <c r="V118" s="13">
        <v>2016</v>
      </c>
      <c r="W118" s="13">
        <v>2304</v>
      </c>
      <c r="X118" s="13">
        <v>1440</v>
      </c>
      <c r="Y118" s="13">
        <v>2016</v>
      </c>
      <c r="Z118" s="13">
        <v>1728</v>
      </c>
      <c r="AA118" s="13">
        <v>0</v>
      </c>
      <c r="AB118" s="13">
        <v>1152</v>
      </c>
      <c r="AC118" s="13">
        <v>2304</v>
      </c>
      <c r="AD118" s="13">
        <v>2016</v>
      </c>
    </row>
    <row r="119" spans="1:30" ht="15.75" thickBot="1" x14ac:dyDescent="0.3">
      <c r="A119" s="9" t="s">
        <v>257</v>
      </c>
      <c r="B119" s="9" t="s">
        <v>513</v>
      </c>
      <c r="C119" s="45" t="str">
        <f t="shared" si="1"/>
        <v>KB3B 26243C03 AG-01</v>
      </c>
      <c r="D119" s="10" t="s">
        <v>519</v>
      </c>
      <c r="E119" s="10" t="s">
        <v>518</v>
      </c>
      <c r="F119" s="9" t="s">
        <v>494</v>
      </c>
      <c r="G119" s="9" t="s">
        <v>262</v>
      </c>
      <c r="H119" s="11">
        <v>121.21210000000001</v>
      </c>
      <c r="I119" s="8"/>
      <c r="J119" s="13">
        <v>3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</row>
    <row r="120" spans="1:30" ht="15.75" thickBot="1" x14ac:dyDescent="0.3">
      <c r="A120" s="9" t="s">
        <v>257</v>
      </c>
      <c r="B120" s="9" t="s">
        <v>520</v>
      </c>
      <c r="C120" s="45" t="str">
        <f t="shared" si="1"/>
        <v>N1WB E24592 CB3ZHE</v>
      </c>
      <c r="D120" s="10" t="s">
        <v>521</v>
      </c>
      <c r="E120" s="10" t="s">
        <v>522</v>
      </c>
      <c r="F120" s="9" t="s">
        <v>261</v>
      </c>
      <c r="G120" s="9" t="s">
        <v>262</v>
      </c>
      <c r="H120" s="12">
        <v>90</v>
      </c>
      <c r="I120" s="12">
        <v>966</v>
      </c>
      <c r="J120" s="13">
        <v>0</v>
      </c>
      <c r="K120" s="13">
        <v>934</v>
      </c>
      <c r="L120" s="13">
        <v>1330</v>
      </c>
      <c r="M120" s="13">
        <v>1010</v>
      </c>
      <c r="N120" s="13">
        <v>1180</v>
      </c>
      <c r="O120" s="13">
        <v>1420</v>
      </c>
      <c r="P120" s="13">
        <v>1380</v>
      </c>
      <c r="Q120" s="13">
        <v>990</v>
      </c>
      <c r="R120" s="13">
        <v>1120</v>
      </c>
      <c r="S120" s="13">
        <v>1510</v>
      </c>
      <c r="T120" s="13">
        <v>1580</v>
      </c>
      <c r="U120" s="13">
        <v>1310</v>
      </c>
      <c r="V120" s="13">
        <v>1410</v>
      </c>
      <c r="W120" s="13">
        <v>2080</v>
      </c>
      <c r="X120" s="13">
        <v>1910</v>
      </c>
      <c r="Y120" s="13">
        <v>2260</v>
      </c>
      <c r="Z120" s="13">
        <v>1860</v>
      </c>
      <c r="AA120" s="13">
        <v>0</v>
      </c>
      <c r="AB120" s="13">
        <v>820</v>
      </c>
      <c r="AC120" s="13">
        <v>2070</v>
      </c>
      <c r="AD120" s="13">
        <v>2020</v>
      </c>
    </row>
    <row r="121" spans="1:30" ht="15.75" thickBot="1" x14ac:dyDescent="0.3">
      <c r="A121" s="9" t="s">
        <v>257</v>
      </c>
      <c r="B121" s="9" t="s">
        <v>523</v>
      </c>
      <c r="C121" s="45" t="str">
        <f t="shared" si="1"/>
        <v>N1WB E403A86 AH3ZHE</v>
      </c>
      <c r="D121" s="10" t="s">
        <v>524</v>
      </c>
      <c r="E121" s="10" t="s">
        <v>525</v>
      </c>
      <c r="F121" s="9" t="s">
        <v>261</v>
      </c>
      <c r="G121" s="9" t="s">
        <v>262</v>
      </c>
      <c r="H121" s="12">
        <v>180</v>
      </c>
      <c r="I121" s="12">
        <v>1023</v>
      </c>
      <c r="J121" s="13">
        <v>0</v>
      </c>
      <c r="K121" s="13">
        <v>251</v>
      </c>
      <c r="L121" s="13">
        <v>1470</v>
      </c>
      <c r="M121" s="13">
        <v>980</v>
      </c>
      <c r="N121" s="13">
        <v>1078</v>
      </c>
      <c r="O121" s="13">
        <v>1274</v>
      </c>
      <c r="P121" s="13">
        <v>1666</v>
      </c>
      <c r="Q121" s="13">
        <v>980</v>
      </c>
      <c r="R121" s="13">
        <v>980</v>
      </c>
      <c r="S121" s="13">
        <v>1372</v>
      </c>
      <c r="T121" s="13">
        <v>1568</v>
      </c>
      <c r="U121" s="13">
        <v>1666</v>
      </c>
      <c r="V121" s="13">
        <v>882</v>
      </c>
      <c r="W121" s="13">
        <v>2058</v>
      </c>
      <c r="X121" s="13">
        <v>2156</v>
      </c>
      <c r="Y121" s="13">
        <v>1666</v>
      </c>
      <c r="Z121" s="13">
        <v>3038</v>
      </c>
      <c r="AA121" s="13">
        <v>0</v>
      </c>
      <c r="AB121" s="13">
        <v>0</v>
      </c>
      <c r="AC121" s="13">
        <v>2156</v>
      </c>
      <c r="AD121" s="13">
        <v>2058</v>
      </c>
    </row>
    <row r="122" spans="1:30" ht="15.75" thickBot="1" x14ac:dyDescent="0.3">
      <c r="A122" s="9" t="s">
        <v>257</v>
      </c>
      <c r="B122" s="9" t="s">
        <v>523</v>
      </c>
      <c r="C122" s="45" t="str">
        <f t="shared" si="1"/>
        <v>N1WB E403A86 HB3ZHE</v>
      </c>
      <c r="D122" s="10" t="s">
        <v>526</v>
      </c>
      <c r="E122" s="10" t="s">
        <v>525</v>
      </c>
      <c r="F122" s="9" t="s">
        <v>261</v>
      </c>
      <c r="G122" s="9" t="s">
        <v>262</v>
      </c>
      <c r="H122" s="12">
        <v>180</v>
      </c>
      <c r="I122" s="8"/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5</v>
      </c>
      <c r="U122" s="13">
        <v>0</v>
      </c>
      <c r="V122" s="13">
        <v>0</v>
      </c>
      <c r="W122" s="13">
        <v>42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</row>
    <row r="123" spans="1:30" ht="15.75" thickBot="1" x14ac:dyDescent="0.3">
      <c r="A123" s="9" t="s">
        <v>257</v>
      </c>
      <c r="B123" s="9" t="s">
        <v>527</v>
      </c>
      <c r="C123" s="45" t="str">
        <f t="shared" si="1"/>
        <v>KB3B 2616G040 AE3ZHE</v>
      </c>
      <c r="D123" s="10" t="s">
        <v>528</v>
      </c>
      <c r="E123" s="10" t="s">
        <v>529</v>
      </c>
      <c r="F123" s="9" t="s">
        <v>494</v>
      </c>
      <c r="G123" s="9" t="s">
        <v>262</v>
      </c>
      <c r="H123" s="11">
        <v>75.471599999999995</v>
      </c>
      <c r="I123" s="12">
        <v>692</v>
      </c>
      <c r="J123" s="13">
        <v>0</v>
      </c>
      <c r="K123" s="13">
        <v>1198</v>
      </c>
      <c r="L123" s="13">
        <v>1350</v>
      </c>
      <c r="M123" s="13">
        <v>972</v>
      </c>
      <c r="N123" s="13">
        <v>1188</v>
      </c>
      <c r="O123" s="13">
        <v>1458</v>
      </c>
      <c r="P123" s="13">
        <v>1368</v>
      </c>
      <c r="Q123" s="13">
        <v>954</v>
      </c>
      <c r="R123" s="13">
        <v>1152</v>
      </c>
      <c r="S123" s="13">
        <v>1530</v>
      </c>
      <c r="T123" s="13">
        <v>1530</v>
      </c>
      <c r="U123" s="13">
        <v>1314</v>
      </c>
      <c r="V123" s="13">
        <v>1422</v>
      </c>
      <c r="W123" s="13">
        <v>2070</v>
      </c>
      <c r="X123" s="13">
        <v>1926</v>
      </c>
      <c r="Y123" s="13">
        <v>2250</v>
      </c>
      <c r="Z123" s="13">
        <v>1836</v>
      </c>
      <c r="AA123" s="13">
        <v>0</v>
      </c>
      <c r="AB123" s="13">
        <v>828</v>
      </c>
      <c r="AC123" s="13">
        <v>2070</v>
      </c>
      <c r="AD123" s="13">
        <v>2034</v>
      </c>
    </row>
    <row r="124" spans="1:30" ht="15.75" thickBot="1" x14ac:dyDescent="0.3">
      <c r="A124" s="9" t="s">
        <v>257</v>
      </c>
      <c r="B124" s="9" t="s">
        <v>527</v>
      </c>
      <c r="C124" s="45" t="str">
        <f t="shared" si="1"/>
        <v>KB3B 2616G041 AE3ZHE</v>
      </c>
      <c r="D124" s="10" t="s">
        <v>530</v>
      </c>
      <c r="E124" s="10" t="s">
        <v>531</v>
      </c>
      <c r="F124" s="9" t="s">
        <v>494</v>
      </c>
      <c r="G124" s="9" t="s">
        <v>262</v>
      </c>
      <c r="H124" s="11">
        <v>75.471599999999995</v>
      </c>
      <c r="I124" s="12">
        <v>448</v>
      </c>
      <c r="J124" s="13">
        <v>0</v>
      </c>
      <c r="K124" s="13">
        <v>1262</v>
      </c>
      <c r="L124" s="13">
        <v>1296</v>
      </c>
      <c r="M124" s="13">
        <v>1026</v>
      </c>
      <c r="N124" s="13">
        <v>1188</v>
      </c>
      <c r="O124" s="13">
        <v>1422</v>
      </c>
      <c r="P124" s="13">
        <v>1350</v>
      </c>
      <c r="Q124" s="13">
        <v>1008</v>
      </c>
      <c r="R124" s="13">
        <v>1116</v>
      </c>
      <c r="S124" s="13">
        <v>1512</v>
      </c>
      <c r="T124" s="13">
        <v>1584</v>
      </c>
      <c r="U124" s="13">
        <v>1314</v>
      </c>
      <c r="V124" s="13">
        <v>1422</v>
      </c>
      <c r="W124" s="13">
        <v>2070</v>
      </c>
      <c r="X124" s="13">
        <v>1926</v>
      </c>
      <c r="Y124" s="13">
        <v>2250</v>
      </c>
      <c r="Z124" s="13">
        <v>1836</v>
      </c>
      <c r="AA124" s="13">
        <v>0</v>
      </c>
      <c r="AB124" s="13">
        <v>828</v>
      </c>
      <c r="AC124" s="13">
        <v>2070</v>
      </c>
      <c r="AD124" s="13">
        <v>1998</v>
      </c>
    </row>
    <row r="125" spans="1:30" ht="15.75" thickBot="1" x14ac:dyDescent="0.3">
      <c r="A125" s="9" t="s">
        <v>257</v>
      </c>
      <c r="B125" s="9" t="s">
        <v>532</v>
      </c>
      <c r="C125" s="45" t="str">
        <f t="shared" si="1"/>
        <v>N1WB E24397 CA31NB</v>
      </c>
      <c r="D125" s="10" t="s">
        <v>533</v>
      </c>
      <c r="E125" s="10" t="s">
        <v>534</v>
      </c>
      <c r="F125" s="9" t="s">
        <v>261</v>
      </c>
      <c r="G125" s="9" t="s">
        <v>262</v>
      </c>
      <c r="H125" s="11">
        <v>64.285700000000006</v>
      </c>
      <c r="I125" s="12">
        <v>641</v>
      </c>
      <c r="J125" s="13">
        <v>0</v>
      </c>
      <c r="K125" s="13">
        <v>1090</v>
      </c>
      <c r="L125" s="13">
        <v>1096</v>
      </c>
      <c r="M125" s="13">
        <v>854</v>
      </c>
      <c r="N125" s="13">
        <v>1026</v>
      </c>
      <c r="O125" s="13">
        <v>1336</v>
      </c>
      <c r="P125" s="13">
        <v>1228</v>
      </c>
      <c r="Q125" s="13">
        <v>730</v>
      </c>
      <c r="R125" s="13">
        <v>902</v>
      </c>
      <c r="S125" s="13">
        <v>1268</v>
      </c>
      <c r="T125" s="13">
        <v>1314</v>
      </c>
      <c r="U125" s="13">
        <v>1134</v>
      </c>
      <c r="V125" s="13">
        <v>1200</v>
      </c>
      <c r="W125" s="13">
        <v>1814</v>
      </c>
      <c r="X125" s="13">
        <v>1698</v>
      </c>
      <c r="Y125" s="13">
        <v>1920</v>
      </c>
      <c r="Z125" s="13">
        <v>1584</v>
      </c>
      <c r="AA125" s="13">
        <v>0</v>
      </c>
      <c r="AB125" s="13">
        <v>730</v>
      </c>
      <c r="AC125" s="13">
        <v>1824</v>
      </c>
      <c r="AD125" s="13">
        <v>1766</v>
      </c>
    </row>
    <row r="126" spans="1:30" ht="15.75" thickBot="1" x14ac:dyDescent="0.3">
      <c r="A126" s="9" t="s">
        <v>257</v>
      </c>
      <c r="B126" s="9" t="s">
        <v>532</v>
      </c>
      <c r="C126" s="45" t="str">
        <f t="shared" si="1"/>
        <v>N1WB E24397 CA3ZHE</v>
      </c>
      <c r="D126" s="10" t="s">
        <v>535</v>
      </c>
      <c r="E126" s="10" t="s">
        <v>534</v>
      </c>
      <c r="F126" s="9" t="s">
        <v>261</v>
      </c>
      <c r="G126" s="9" t="s">
        <v>262</v>
      </c>
      <c r="H126" s="11">
        <v>64.285700000000006</v>
      </c>
      <c r="I126" s="12">
        <v>413</v>
      </c>
      <c r="J126" s="13">
        <v>0</v>
      </c>
      <c r="K126" s="13">
        <v>0</v>
      </c>
      <c r="L126" s="13">
        <v>83</v>
      </c>
      <c r="M126" s="13">
        <v>144</v>
      </c>
      <c r="N126" s="13">
        <v>126</v>
      </c>
      <c r="O126" s="13">
        <v>96</v>
      </c>
      <c r="P126" s="13">
        <v>152</v>
      </c>
      <c r="Q126" s="13">
        <v>240</v>
      </c>
      <c r="R126" s="13">
        <v>240</v>
      </c>
      <c r="S126" s="13">
        <v>260</v>
      </c>
      <c r="T126" s="13">
        <v>268</v>
      </c>
      <c r="U126" s="13">
        <v>202</v>
      </c>
      <c r="V126" s="13">
        <v>182</v>
      </c>
      <c r="W126" s="13">
        <v>240</v>
      </c>
      <c r="X126" s="13">
        <v>240</v>
      </c>
      <c r="Y126" s="13">
        <v>318</v>
      </c>
      <c r="Z126" s="13">
        <v>258</v>
      </c>
      <c r="AA126" s="13">
        <v>0</v>
      </c>
      <c r="AB126" s="13">
        <v>96</v>
      </c>
      <c r="AC126" s="13">
        <v>260</v>
      </c>
      <c r="AD126" s="13">
        <v>268</v>
      </c>
    </row>
    <row r="127" spans="1:30" ht="15.75" thickBot="1" x14ac:dyDescent="0.3">
      <c r="A127" s="9" t="s">
        <v>536</v>
      </c>
      <c r="B127" s="9" t="s">
        <v>537</v>
      </c>
      <c r="C127" s="45" t="str">
        <f t="shared" si="1"/>
        <v>MLDBEU60475</v>
      </c>
      <c r="D127" s="10" t="s">
        <v>538</v>
      </c>
      <c r="E127" s="10" t="s">
        <v>539</v>
      </c>
      <c r="F127" s="9" t="s">
        <v>404</v>
      </c>
      <c r="G127" s="9" t="s">
        <v>262</v>
      </c>
      <c r="H127" s="11">
        <v>70.588200000000001</v>
      </c>
      <c r="I127" s="12">
        <v>-1</v>
      </c>
      <c r="J127" s="13">
        <v>2</v>
      </c>
      <c r="K127" s="13">
        <v>0</v>
      </c>
      <c r="L127" s="13">
        <v>0</v>
      </c>
      <c r="M127" s="13">
        <v>0</v>
      </c>
      <c r="N127" s="13">
        <v>0</v>
      </c>
      <c r="O127" s="13">
        <v>10</v>
      </c>
      <c r="P127" s="13">
        <v>140</v>
      </c>
      <c r="Q127" s="13">
        <v>140</v>
      </c>
      <c r="R127" s="13">
        <v>105</v>
      </c>
      <c r="S127" s="13">
        <v>140</v>
      </c>
      <c r="T127" s="13">
        <v>105</v>
      </c>
      <c r="U127" s="13">
        <v>70</v>
      </c>
      <c r="V127" s="13">
        <v>175</v>
      </c>
      <c r="W127" s="13">
        <v>175</v>
      </c>
      <c r="X127" s="13">
        <v>105</v>
      </c>
      <c r="Y127" s="13">
        <v>105</v>
      </c>
      <c r="Z127" s="13">
        <v>0</v>
      </c>
      <c r="AA127" s="13">
        <v>70</v>
      </c>
      <c r="AB127" s="13">
        <v>70</v>
      </c>
      <c r="AC127" s="13">
        <v>70</v>
      </c>
      <c r="AD127" s="13">
        <v>70</v>
      </c>
    </row>
    <row r="128" spans="1:30" ht="15.75" thickBot="1" x14ac:dyDescent="0.3">
      <c r="A128" s="9" t="s">
        <v>536</v>
      </c>
      <c r="B128" s="9" t="s">
        <v>537</v>
      </c>
      <c r="C128" s="45" t="str">
        <f t="shared" si="1"/>
        <v>MLDBEU62037</v>
      </c>
      <c r="D128" s="10" t="s">
        <v>540</v>
      </c>
      <c r="E128" s="10" t="s">
        <v>541</v>
      </c>
      <c r="F128" s="9" t="s">
        <v>404</v>
      </c>
      <c r="G128" s="9" t="s">
        <v>262</v>
      </c>
      <c r="H128" s="11">
        <v>70.588200000000001</v>
      </c>
      <c r="I128" s="12">
        <v>-2</v>
      </c>
      <c r="J128" s="13">
        <v>2</v>
      </c>
      <c r="K128" s="13">
        <v>0</v>
      </c>
      <c r="L128" s="13">
        <v>0</v>
      </c>
      <c r="M128" s="13">
        <v>0</v>
      </c>
      <c r="N128" s="13">
        <v>0</v>
      </c>
      <c r="O128" s="13">
        <v>10</v>
      </c>
      <c r="P128" s="13">
        <v>140</v>
      </c>
      <c r="Q128" s="13">
        <v>140</v>
      </c>
      <c r="R128" s="13">
        <v>105</v>
      </c>
      <c r="S128" s="13">
        <v>140</v>
      </c>
      <c r="T128" s="13">
        <v>105</v>
      </c>
      <c r="U128" s="13">
        <v>70</v>
      </c>
      <c r="V128" s="13">
        <v>175</v>
      </c>
      <c r="W128" s="13">
        <v>175</v>
      </c>
      <c r="X128" s="13">
        <v>105</v>
      </c>
      <c r="Y128" s="13">
        <v>105</v>
      </c>
      <c r="Z128" s="13">
        <v>0</v>
      </c>
      <c r="AA128" s="13">
        <v>70</v>
      </c>
      <c r="AB128" s="13">
        <v>70</v>
      </c>
      <c r="AC128" s="13">
        <v>70</v>
      </c>
      <c r="AD128" s="13">
        <v>70</v>
      </c>
    </row>
    <row r="129" spans="1:30" ht="15.75" thickBot="1" x14ac:dyDescent="0.3">
      <c r="A129" s="9" t="s">
        <v>536</v>
      </c>
      <c r="B129" s="9" t="s">
        <v>537</v>
      </c>
      <c r="C129" s="45" t="str">
        <f t="shared" si="1"/>
        <v>MLDE31002CPIA</v>
      </c>
      <c r="D129" s="10" t="s">
        <v>542</v>
      </c>
      <c r="E129" s="10" t="s">
        <v>543</v>
      </c>
      <c r="F129" s="9" t="s">
        <v>261</v>
      </c>
      <c r="G129" s="9" t="s">
        <v>262</v>
      </c>
      <c r="H129" s="11">
        <v>85.714200000000005</v>
      </c>
      <c r="I129" s="12">
        <v>-1</v>
      </c>
      <c r="J129" s="13">
        <v>0</v>
      </c>
      <c r="K129" s="13">
        <v>728</v>
      </c>
      <c r="L129" s="13">
        <v>1338</v>
      </c>
      <c r="M129" s="13">
        <v>994</v>
      </c>
      <c r="N129" s="13">
        <v>1188</v>
      </c>
      <c r="O129" s="13">
        <v>1426</v>
      </c>
      <c r="P129" s="13">
        <v>1374</v>
      </c>
      <c r="Q129" s="13">
        <v>984</v>
      </c>
      <c r="R129" s="13">
        <v>1152</v>
      </c>
      <c r="S129" s="13">
        <v>1512</v>
      </c>
      <c r="T129" s="13">
        <v>1558</v>
      </c>
      <c r="U129" s="13">
        <v>1338</v>
      </c>
      <c r="V129" s="13">
        <v>1408</v>
      </c>
      <c r="W129" s="13">
        <v>2068</v>
      </c>
      <c r="X129" s="13">
        <v>1928</v>
      </c>
      <c r="Y129" s="13">
        <v>2260</v>
      </c>
      <c r="Z129" s="13">
        <v>1848</v>
      </c>
      <c r="AA129" s="13">
        <v>0</v>
      </c>
      <c r="AB129" s="13">
        <v>828</v>
      </c>
      <c r="AC129" s="13">
        <v>2068</v>
      </c>
      <c r="AD129" s="13">
        <v>2016</v>
      </c>
    </row>
    <row r="130" spans="1:30" ht="15.75" thickBot="1" x14ac:dyDescent="0.3">
      <c r="A130" s="9" t="s">
        <v>536</v>
      </c>
      <c r="B130" s="9" t="s">
        <v>537</v>
      </c>
      <c r="C130" s="45" t="str">
        <f t="shared" si="1"/>
        <v>MLDE31003CPIA</v>
      </c>
      <c r="D130" s="10" t="s">
        <v>544</v>
      </c>
      <c r="E130" s="10" t="s">
        <v>545</v>
      </c>
      <c r="F130" s="9" t="s">
        <v>261</v>
      </c>
      <c r="G130" s="9" t="s">
        <v>262</v>
      </c>
      <c r="H130" s="11">
        <v>85.714200000000005</v>
      </c>
      <c r="I130" s="12">
        <v>1</v>
      </c>
      <c r="J130" s="13">
        <v>0</v>
      </c>
      <c r="K130" s="13">
        <v>728</v>
      </c>
      <c r="L130" s="13">
        <v>1338</v>
      </c>
      <c r="M130" s="13">
        <v>994</v>
      </c>
      <c r="N130" s="13">
        <v>1188</v>
      </c>
      <c r="O130" s="13">
        <v>1426</v>
      </c>
      <c r="P130" s="13">
        <v>1374</v>
      </c>
      <c r="Q130" s="13">
        <v>984</v>
      </c>
      <c r="R130" s="13">
        <v>1152</v>
      </c>
      <c r="S130" s="13">
        <v>1512</v>
      </c>
      <c r="T130" s="13">
        <v>1558</v>
      </c>
      <c r="U130" s="13">
        <v>1338</v>
      </c>
      <c r="V130" s="13">
        <v>1408</v>
      </c>
      <c r="W130" s="13">
        <v>2068</v>
      </c>
      <c r="X130" s="13">
        <v>1928</v>
      </c>
      <c r="Y130" s="13">
        <v>2260</v>
      </c>
      <c r="Z130" s="13">
        <v>1848</v>
      </c>
      <c r="AA130" s="13">
        <v>0</v>
      </c>
      <c r="AB130" s="13">
        <v>828</v>
      </c>
      <c r="AC130" s="13">
        <v>2068</v>
      </c>
      <c r="AD130" s="13">
        <v>2016</v>
      </c>
    </row>
    <row r="131" spans="1:30" ht="15.75" thickBot="1" x14ac:dyDescent="0.3">
      <c r="A131" s="9" t="s">
        <v>536</v>
      </c>
      <c r="B131" s="9" t="s">
        <v>537</v>
      </c>
      <c r="C131" s="45" t="str">
        <f t="shared" si="1"/>
        <v>MLDE403A86A</v>
      </c>
      <c r="D131" s="10" t="s">
        <v>546</v>
      </c>
      <c r="E131" s="10" t="s">
        <v>547</v>
      </c>
      <c r="F131" s="9" t="s">
        <v>261</v>
      </c>
      <c r="G131" s="9" t="s">
        <v>262</v>
      </c>
      <c r="H131" s="12">
        <v>180</v>
      </c>
      <c r="I131" s="12">
        <v>346</v>
      </c>
      <c r="J131" s="13">
        <v>0</v>
      </c>
      <c r="K131" s="13">
        <v>0</v>
      </c>
      <c r="L131" s="13">
        <v>1375</v>
      </c>
      <c r="M131" s="13">
        <v>980</v>
      </c>
      <c r="N131" s="13">
        <v>1078</v>
      </c>
      <c r="O131" s="13">
        <v>1274</v>
      </c>
      <c r="P131" s="13">
        <v>1666</v>
      </c>
      <c r="Q131" s="13">
        <v>980</v>
      </c>
      <c r="R131" s="13">
        <v>980</v>
      </c>
      <c r="S131" s="13">
        <v>1372</v>
      </c>
      <c r="T131" s="13">
        <v>1568</v>
      </c>
      <c r="U131" s="13">
        <v>1666</v>
      </c>
      <c r="V131" s="13">
        <v>882</v>
      </c>
      <c r="W131" s="13">
        <v>2058</v>
      </c>
      <c r="X131" s="13">
        <v>2156</v>
      </c>
      <c r="Y131" s="13">
        <v>1666</v>
      </c>
      <c r="Z131" s="13">
        <v>3038</v>
      </c>
      <c r="AA131" s="13">
        <v>0</v>
      </c>
      <c r="AB131" s="13">
        <v>0</v>
      </c>
      <c r="AC131" s="13">
        <v>2156</v>
      </c>
      <c r="AD131" s="13">
        <v>2058</v>
      </c>
    </row>
    <row r="132" spans="1:30" ht="15.75" thickBot="1" x14ac:dyDescent="0.3">
      <c r="A132" s="9" t="s">
        <v>536</v>
      </c>
      <c r="B132" s="9" t="s">
        <v>537</v>
      </c>
      <c r="C132" s="45" t="str">
        <f t="shared" si="1"/>
        <v>MLDE403A86AB</v>
      </c>
      <c r="D132" s="10" t="s">
        <v>548</v>
      </c>
      <c r="E132" s="10" t="s">
        <v>547</v>
      </c>
      <c r="F132" s="9" t="s">
        <v>261</v>
      </c>
      <c r="G132" s="9" t="s">
        <v>262</v>
      </c>
      <c r="H132" s="12">
        <v>180</v>
      </c>
      <c r="I132" s="8"/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5</v>
      </c>
      <c r="U132" s="13">
        <v>0</v>
      </c>
      <c r="V132" s="13">
        <v>0</v>
      </c>
      <c r="W132" s="13">
        <v>42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  <c r="AC132" s="13">
        <v>0</v>
      </c>
      <c r="AD132" s="13">
        <v>0</v>
      </c>
    </row>
    <row r="133" spans="1:30" ht="15.75" thickBot="1" x14ac:dyDescent="0.3">
      <c r="A133" s="9" t="s">
        <v>536</v>
      </c>
      <c r="B133" s="9" t="s">
        <v>549</v>
      </c>
      <c r="C133" s="45" t="str">
        <f t="shared" si="1"/>
        <v>1-11194-0100-202</v>
      </c>
      <c r="D133" s="10" t="s">
        <v>550</v>
      </c>
      <c r="E133" s="10" t="s">
        <v>551</v>
      </c>
      <c r="F133" s="9" t="s">
        <v>404</v>
      </c>
      <c r="G133" s="9" t="s">
        <v>262</v>
      </c>
      <c r="H133" s="11">
        <v>65.454499999999996</v>
      </c>
      <c r="I133" s="12">
        <v>398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382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3">
        <v>0</v>
      </c>
    </row>
    <row r="134" spans="1:30" ht="15.75" thickBot="1" x14ac:dyDescent="0.3">
      <c r="A134" s="9" t="s">
        <v>536</v>
      </c>
      <c r="B134" s="9" t="s">
        <v>549</v>
      </c>
      <c r="C134" s="45" t="str">
        <f t="shared" ref="C134:C197" si="2">TRIM(D134)</f>
        <v>1-11195-0100-302</v>
      </c>
      <c r="D134" s="10" t="s">
        <v>552</v>
      </c>
      <c r="E134" s="10" t="s">
        <v>553</v>
      </c>
      <c r="F134" s="9" t="s">
        <v>404</v>
      </c>
      <c r="G134" s="9" t="s">
        <v>262</v>
      </c>
      <c r="H134" s="11">
        <v>65.454499999999996</v>
      </c>
      <c r="I134" s="12">
        <v>997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382</v>
      </c>
      <c r="U134" s="13">
        <v>0</v>
      </c>
      <c r="V134" s="13">
        <v>0</v>
      </c>
      <c r="W134" s="13">
        <v>0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13">
        <v>0</v>
      </c>
      <c r="AD134" s="13">
        <v>0</v>
      </c>
    </row>
    <row r="135" spans="1:30" ht="15.75" thickBot="1" x14ac:dyDescent="0.3">
      <c r="A135" s="9" t="s">
        <v>536</v>
      </c>
      <c r="B135" s="9" t="s">
        <v>549</v>
      </c>
      <c r="C135" s="45" t="str">
        <f t="shared" si="2"/>
        <v>MLD8C291C</v>
      </c>
      <c r="D135" s="10" t="s">
        <v>554</v>
      </c>
      <c r="E135" s="10" t="s">
        <v>555</v>
      </c>
      <c r="F135" s="9" t="s">
        <v>261</v>
      </c>
      <c r="G135" s="9" t="s">
        <v>262</v>
      </c>
      <c r="H135" s="11">
        <v>71.287099999999995</v>
      </c>
      <c r="I135" s="12">
        <v>83</v>
      </c>
      <c r="J135" s="13">
        <v>0</v>
      </c>
      <c r="K135" s="13">
        <v>1345</v>
      </c>
      <c r="L135" s="13">
        <v>1402</v>
      </c>
      <c r="M135" s="13">
        <v>984</v>
      </c>
      <c r="N135" s="13">
        <v>1128</v>
      </c>
      <c r="O135" s="13">
        <v>1374</v>
      </c>
      <c r="P135" s="13">
        <v>1634</v>
      </c>
      <c r="Q135" s="13">
        <v>1020</v>
      </c>
      <c r="R135" s="13">
        <v>1014</v>
      </c>
      <c r="S135" s="13">
        <v>1587</v>
      </c>
      <c r="T135" s="13">
        <v>1566</v>
      </c>
      <c r="U135" s="13">
        <v>1458</v>
      </c>
      <c r="V135" s="13">
        <v>1158</v>
      </c>
      <c r="W135" s="13">
        <v>2070</v>
      </c>
      <c r="X135" s="13">
        <v>1998</v>
      </c>
      <c r="Y135" s="13">
        <v>1986</v>
      </c>
      <c r="Z135" s="13">
        <v>2708</v>
      </c>
      <c r="AA135" s="13">
        <v>0</v>
      </c>
      <c r="AB135" s="13">
        <v>414</v>
      </c>
      <c r="AC135" s="13">
        <v>2070</v>
      </c>
      <c r="AD135" s="13">
        <v>2040</v>
      </c>
    </row>
    <row r="136" spans="1:30" ht="15.75" thickBot="1" x14ac:dyDescent="0.3">
      <c r="A136" s="9" t="s">
        <v>536</v>
      </c>
      <c r="B136" s="9" t="s">
        <v>549</v>
      </c>
      <c r="C136" s="45" t="str">
        <f t="shared" si="2"/>
        <v>MLDE03512DGREY</v>
      </c>
      <c r="D136" s="10" t="s">
        <v>556</v>
      </c>
      <c r="E136" s="10" t="s">
        <v>557</v>
      </c>
      <c r="F136" s="9" t="s">
        <v>261</v>
      </c>
      <c r="G136" s="9" t="s">
        <v>262</v>
      </c>
      <c r="H136" s="11">
        <v>76.595699999999994</v>
      </c>
      <c r="I136" s="12">
        <v>-4</v>
      </c>
      <c r="J136" s="13">
        <v>4</v>
      </c>
      <c r="K136" s="13">
        <v>944</v>
      </c>
      <c r="L136" s="13">
        <v>2312</v>
      </c>
      <c r="M136" s="13">
        <v>1693</v>
      </c>
      <c r="N136" s="13">
        <v>2032</v>
      </c>
      <c r="O136" s="13">
        <v>2698</v>
      </c>
      <c r="P136" s="13">
        <v>2416</v>
      </c>
      <c r="Q136" s="13">
        <v>1521</v>
      </c>
      <c r="R136" s="13">
        <v>1806</v>
      </c>
      <c r="S136" s="13">
        <v>2554</v>
      </c>
      <c r="T136" s="13">
        <v>2640</v>
      </c>
      <c r="U136" s="13">
        <v>2242</v>
      </c>
      <c r="V136" s="13">
        <v>2468</v>
      </c>
      <c r="W136" s="13">
        <v>3628</v>
      </c>
      <c r="X136" s="13">
        <v>3366</v>
      </c>
      <c r="Y136" s="13">
        <v>3870</v>
      </c>
      <c r="Z136" s="13">
        <v>3154</v>
      </c>
      <c r="AA136" s="13">
        <v>0</v>
      </c>
      <c r="AB136" s="13">
        <v>1456</v>
      </c>
      <c r="AC136" s="13">
        <v>3654</v>
      </c>
      <c r="AD136" s="13">
        <v>3564</v>
      </c>
    </row>
    <row r="137" spans="1:30" ht="15.75" thickBot="1" x14ac:dyDescent="0.3">
      <c r="A137" s="9" t="s">
        <v>536</v>
      </c>
      <c r="B137" s="9" t="s">
        <v>549</v>
      </c>
      <c r="C137" s="45" t="str">
        <f t="shared" si="2"/>
        <v>MLDE03512DPIA01</v>
      </c>
      <c r="D137" s="10" t="s">
        <v>558</v>
      </c>
      <c r="E137" s="10" t="s">
        <v>559</v>
      </c>
      <c r="F137" s="9" t="s">
        <v>261</v>
      </c>
      <c r="G137" s="9" t="s">
        <v>262</v>
      </c>
      <c r="H137" s="11">
        <v>76.595699999999994</v>
      </c>
      <c r="I137" s="12">
        <v>-2</v>
      </c>
      <c r="J137" s="13">
        <v>21</v>
      </c>
      <c r="K137" s="13">
        <v>0</v>
      </c>
      <c r="L137" s="13">
        <v>128</v>
      </c>
      <c r="M137" s="13">
        <v>207</v>
      </c>
      <c r="N137" s="13">
        <v>268</v>
      </c>
      <c r="O137" s="13">
        <v>212</v>
      </c>
      <c r="P137" s="13">
        <v>288</v>
      </c>
      <c r="Q137" s="13">
        <v>528</v>
      </c>
      <c r="R137" s="13">
        <v>481</v>
      </c>
      <c r="S137" s="13">
        <v>462</v>
      </c>
      <c r="T137" s="13">
        <v>528</v>
      </c>
      <c r="U137" s="13">
        <v>424</v>
      </c>
      <c r="V137" s="13">
        <v>373</v>
      </c>
      <c r="W137" s="13">
        <v>502</v>
      </c>
      <c r="X137" s="13">
        <v>462</v>
      </c>
      <c r="Y137" s="13">
        <v>648</v>
      </c>
      <c r="Z137" s="13">
        <v>572</v>
      </c>
      <c r="AA137" s="13">
        <v>0</v>
      </c>
      <c r="AB137" s="13">
        <v>212</v>
      </c>
      <c r="AC137" s="13">
        <v>502</v>
      </c>
      <c r="AD137" s="13">
        <v>462</v>
      </c>
    </row>
    <row r="138" spans="1:30" ht="15.75" thickBot="1" x14ac:dyDescent="0.3">
      <c r="A138" s="9" t="s">
        <v>536</v>
      </c>
      <c r="B138" s="9" t="s">
        <v>549</v>
      </c>
      <c r="C138" s="45" t="str">
        <f t="shared" si="2"/>
        <v>MLDE03513DGREY</v>
      </c>
      <c r="D138" s="10" t="s">
        <v>560</v>
      </c>
      <c r="E138" s="10" t="s">
        <v>561</v>
      </c>
      <c r="F138" s="9" t="s">
        <v>261</v>
      </c>
      <c r="G138" s="9" t="s">
        <v>262</v>
      </c>
      <c r="H138" s="11">
        <v>76.595699999999994</v>
      </c>
      <c r="I138" s="12">
        <v>3</v>
      </c>
      <c r="J138" s="13">
        <v>4</v>
      </c>
      <c r="K138" s="13">
        <v>944</v>
      </c>
      <c r="L138" s="13">
        <v>2312</v>
      </c>
      <c r="M138" s="13">
        <v>1693</v>
      </c>
      <c r="N138" s="13">
        <v>2032</v>
      </c>
      <c r="O138" s="13">
        <v>2698</v>
      </c>
      <c r="P138" s="13">
        <v>2416</v>
      </c>
      <c r="Q138" s="13">
        <v>1521</v>
      </c>
      <c r="R138" s="13">
        <v>1806</v>
      </c>
      <c r="S138" s="13">
        <v>2554</v>
      </c>
      <c r="T138" s="13">
        <v>2640</v>
      </c>
      <c r="U138" s="13">
        <v>2242</v>
      </c>
      <c r="V138" s="13">
        <v>2468</v>
      </c>
      <c r="W138" s="13">
        <v>3628</v>
      </c>
      <c r="X138" s="13">
        <v>3366</v>
      </c>
      <c r="Y138" s="13">
        <v>3870</v>
      </c>
      <c r="Z138" s="13">
        <v>3154</v>
      </c>
      <c r="AA138" s="13">
        <v>0</v>
      </c>
      <c r="AB138" s="13">
        <v>1456</v>
      </c>
      <c r="AC138" s="13">
        <v>3654</v>
      </c>
      <c r="AD138" s="13">
        <v>3564</v>
      </c>
    </row>
    <row r="139" spans="1:30" ht="15.75" thickBot="1" x14ac:dyDescent="0.3">
      <c r="A139" s="9" t="s">
        <v>536</v>
      </c>
      <c r="B139" s="9" t="s">
        <v>549</v>
      </c>
      <c r="C139" s="45" t="str">
        <f t="shared" si="2"/>
        <v>MLDE03513DPIA01</v>
      </c>
      <c r="D139" s="10" t="s">
        <v>562</v>
      </c>
      <c r="E139" s="10" t="s">
        <v>563</v>
      </c>
      <c r="F139" s="9" t="s">
        <v>261</v>
      </c>
      <c r="G139" s="9" t="s">
        <v>262</v>
      </c>
      <c r="H139" s="11">
        <v>76.595699999999994</v>
      </c>
      <c r="I139" s="12">
        <v>-21</v>
      </c>
      <c r="J139" s="13">
        <v>21</v>
      </c>
      <c r="K139" s="13">
        <v>0</v>
      </c>
      <c r="L139" s="13">
        <v>128</v>
      </c>
      <c r="M139" s="13">
        <v>207</v>
      </c>
      <c r="N139" s="13">
        <v>268</v>
      </c>
      <c r="O139" s="13">
        <v>212</v>
      </c>
      <c r="P139" s="13">
        <v>288</v>
      </c>
      <c r="Q139" s="13">
        <v>528</v>
      </c>
      <c r="R139" s="13">
        <v>481</v>
      </c>
      <c r="S139" s="13">
        <v>462</v>
      </c>
      <c r="T139" s="13">
        <v>528</v>
      </c>
      <c r="U139" s="13">
        <v>424</v>
      </c>
      <c r="V139" s="13">
        <v>373</v>
      </c>
      <c r="W139" s="13">
        <v>502</v>
      </c>
      <c r="X139" s="13">
        <v>462</v>
      </c>
      <c r="Y139" s="13">
        <v>648</v>
      </c>
      <c r="Z139" s="13">
        <v>572</v>
      </c>
      <c r="AA139" s="13">
        <v>0</v>
      </c>
      <c r="AB139" s="13">
        <v>212</v>
      </c>
      <c r="AC139" s="13">
        <v>502</v>
      </c>
      <c r="AD139" s="13">
        <v>462</v>
      </c>
    </row>
    <row r="140" spans="1:30" ht="15.75" thickBot="1" x14ac:dyDescent="0.3">
      <c r="A140" s="9" t="s">
        <v>536</v>
      </c>
      <c r="B140" s="9" t="s">
        <v>564</v>
      </c>
      <c r="C140" s="45" t="str">
        <f t="shared" si="2"/>
        <v>ASYBEI35635</v>
      </c>
      <c r="D140" s="10" t="s">
        <v>565</v>
      </c>
      <c r="E140" s="10" t="s">
        <v>566</v>
      </c>
      <c r="F140" s="9" t="s">
        <v>404</v>
      </c>
      <c r="G140" s="9" t="s">
        <v>262</v>
      </c>
      <c r="H140" s="11">
        <v>102.8571</v>
      </c>
      <c r="I140" s="12">
        <v>980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45</v>
      </c>
      <c r="S140" s="13">
        <v>144</v>
      </c>
      <c r="T140" s="13">
        <v>144</v>
      </c>
      <c r="U140" s="13">
        <v>144</v>
      </c>
      <c r="V140" s="13">
        <v>240</v>
      </c>
      <c r="W140" s="13">
        <v>240</v>
      </c>
      <c r="X140" s="13">
        <v>192</v>
      </c>
      <c r="Y140" s="13">
        <v>192</v>
      </c>
      <c r="Z140" s="13">
        <v>0</v>
      </c>
      <c r="AA140" s="13">
        <v>146</v>
      </c>
      <c r="AB140" s="13">
        <v>146</v>
      </c>
      <c r="AC140" s="13">
        <v>98</v>
      </c>
      <c r="AD140" s="13">
        <v>194</v>
      </c>
    </row>
    <row r="141" spans="1:30" ht="15.75" thickBot="1" x14ac:dyDescent="0.3">
      <c r="A141" s="9" t="s">
        <v>536</v>
      </c>
      <c r="B141" s="9" t="s">
        <v>564</v>
      </c>
      <c r="C141" s="45" t="str">
        <f t="shared" si="2"/>
        <v>ASYBEI35638</v>
      </c>
      <c r="D141" s="10" t="s">
        <v>567</v>
      </c>
      <c r="E141" s="10" t="s">
        <v>568</v>
      </c>
      <c r="F141" s="9" t="s">
        <v>404</v>
      </c>
      <c r="G141" s="9" t="s">
        <v>262</v>
      </c>
      <c r="H141" s="11">
        <v>102.8571</v>
      </c>
      <c r="I141" s="12">
        <v>980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45</v>
      </c>
      <c r="S141" s="13">
        <v>144</v>
      </c>
      <c r="T141" s="13">
        <v>144</v>
      </c>
      <c r="U141" s="13">
        <v>144</v>
      </c>
      <c r="V141" s="13">
        <v>240</v>
      </c>
      <c r="W141" s="13">
        <v>240</v>
      </c>
      <c r="X141" s="13">
        <v>192</v>
      </c>
      <c r="Y141" s="13">
        <v>192</v>
      </c>
      <c r="Z141" s="13">
        <v>0</v>
      </c>
      <c r="AA141" s="13">
        <v>146</v>
      </c>
      <c r="AB141" s="13">
        <v>146</v>
      </c>
      <c r="AC141" s="13">
        <v>98</v>
      </c>
      <c r="AD141" s="13">
        <v>194</v>
      </c>
    </row>
    <row r="142" spans="1:30" ht="15.75" thickBot="1" x14ac:dyDescent="0.3">
      <c r="A142" s="9" t="s">
        <v>536</v>
      </c>
      <c r="B142" s="9" t="s">
        <v>564</v>
      </c>
      <c r="C142" s="45" t="str">
        <f t="shared" si="2"/>
        <v>MLD16E166APIA07</v>
      </c>
      <c r="D142" s="10" t="s">
        <v>569</v>
      </c>
      <c r="E142" s="10" t="s">
        <v>570</v>
      </c>
      <c r="F142" s="9" t="s">
        <v>364</v>
      </c>
      <c r="G142" s="9" t="s">
        <v>262</v>
      </c>
      <c r="H142" s="12">
        <v>88</v>
      </c>
      <c r="I142" s="12">
        <v>5907</v>
      </c>
      <c r="J142" s="13">
        <v>1095</v>
      </c>
      <c r="K142" s="13">
        <v>4053</v>
      </c>
      <c r="L142" s="13">
        <v>3798</v>
      </c>
      <c r="M142" s="13">
        <v>2681</v>
      </c>
      <c r="N142" s="13">
        <v>3197</v>
      </c>
      <c r="O142" s="13">
        <v>4437</v>
      </c>
      <c r="P142" s="13">
        <v>4094</v>
      </c>
      <c r="Q142" s="13">
        <v>2223</v>
      </c>
      <c r="R142" s="13">
        <v>2635</v>
      </c>
      <c r="S142" s="13">
        <v>4319</v>
      </c>
      <c r="T142" s="13">
        <v>4143</v>
      </c>
      <c r="U142" s="13">
        <v>3347</v>
      </c>
      <c r="V142" s="13">
        <v>3333</v>
      </c>
      <c r="W142" s="13">
        <v>3684</v>
      </c>
      <c r="X142" s="13">
        <v>3378</v>
      </c>
      <c r="Y142" s="13">
        <v>4153</v>
      </c>
      <c r="Z142" s="13">
        <v>3240</v>
      </c>
      <c r="AA142" s="13">
        <v>0</v>
      </c>
      <c r="AB142" s="13">
        <v>1680</v>
      </c>
      <c r="AC142" s="13">
        <v>3628</v>
      </c>
      <c r="AD142" s="13">
        <v>3489</v>
      </c>
    </row>
    <row r="143" spans="1:30" ht="15.75" thickBot="1" x14ac:dyDescent="0.3">
      <c r="A143" s="9" t="s">
        <v>536</v>
      </c>
      <c r="B143" s="9" t="s">
        <v>564</v>
      </c>
      <c r="C143" s="45" t="str">
        <f t="shared" si="2"/>
        <v>MLD16E166APIA11</v>
      </c>
      <c r="D143" s="10" t="s">
        <v>571</v>
      </c>
      <c r="E143" s="10" t="s">
        <v>572</v>
      </c>
      <c r="F143" s="9" t="s">
        <v>364</v>
      </c>
      <c r="G143" s="9" t="s">
        <v>262</v>
      </c>
      <c r="H143" s="12">
        <v>88</v>
      </c>
      <c r="I143" s="12">
        <v>196</v>
      </c>
      <c r="J143" s="13">
        <v>1103</v>
      </c>
      <c r="K143" s="13">
        <v>4053</v>
      </c>
      <c r="L143" s="13">
        <v>3798</v>
      </c>
      <c r="M143" s="13">
        <v>2681</v>
      </c>
      <c r="N143" s="13">
        <v>3197</v>
      </c>
      <c r="O143" s="13">
        <v>4437</v>
      </c>
      <c r="P143" s="13">
        <v>4094</v>
      </c>
      <c r="Q143" s="13">
        <v>2223</v>
      </c>
      <c r="R143" s="13">
        <v>2635</v>
      </c>
      <c r="S143" s="13">
        <v>4319</v>
      </c>
      <c r="T143" s="13">
        <v>4143</v>
      </c>
      <c r="U143" s="13">
        <v>3347</v>
      </c>
      <c r="V143" s="13">
        <v>3333</v>
      </c>
      <c r="W143" s="13">
        <v>3684</v>
      </c>
      <c r="X143" s="13">
        <v>3378</v>
      </c>
      <c r="Y143" s="13">
        <v>4153</v>
      </c>
      <c r="Z143" s="13">
        <v>3240</v>
      </c>
      <c r="AA143" s="13">
        <v>0</v>
      </c>
      <c r="AB143" s="13">
        <v>1680</v>
      </c>
      <c r="AC143" s="13">
        <v>3628</v>
      </c>
      <c r="AD143" s="13">
        <v>3489</v>
      </c>
    </row>
    <row r="144" spans="1:30" ht="15.75" thickBot="1" x14ac:dyDescent="0.3">
      <c r="A144" s="9" t="s">
        <v>536</v>
      </c>
      <c r="B144" s="9" t="s">
        <v>564</v>
      </c>
      <c r="C144" s="45" t="str">
        <f t="shared" si="2"/>
        <v>MLD16E166APIA12</v>
      </c>
      <c r="D144" s="10" t="s">
        <v>573</v>
      </c>
      <c r="E144" s="10" t="s">
        <v>574</v>
      </c>
      <c r="F144" s="9" t="s">
        <v>364</v>
      </c>
      <c r="G144" s="9" t="s">
        <v>262</v>
      </c>
      <c r="H144" s="12">
        <v>88</v>
      </c>
      <c r="I144" s="12">
        <v>-418</v>
      </c>
      <c r="J144" s="13">
        <v>1103</v>
      </c>
      <c r="K144" s="13">
        <v>4053</v>
      </c>
      <c r="L144" s="13">
        <v>3798</v>
      </c>
      <c r="M144" s="13">
        <v>2681</v>
      </c>
      <c r="N144" s="13">
        <v>3197</v>
      </c>
      <c r="O144" s="13">
        <v>4437</v>
      </c>
      <c r="P144" s="13">
        <v>4094</v>
      </c>
      <c r="Q144" s="13">
        <v>2223</v>
      </c>
      <c r="R144" s="13">
        <v>2635</v>
      </c>
      <c r="S144" s="13">
        <v>4319</v>
      </c>
      <c r="T144" s="13">
        <v>4143</v>
      </c>
      <c r="U144" s="13">
        <v>3347</v>
      </c>
      <c r="V144" s="13">
        <v>3333</v>
      </c>
      <c r="W144" s="13">
        <v>3684</v>
      </c>
      <c r="X144" s="13">
        <v>3378</v>
      </c>
      <c r="Y144" s="13">
        <v>4153</v>
      </c>
      <c r="Z144" s="13">
        <v>3240</v>
      </c>
      <c r="AA144" s="13">
        <v>0</v>
      </c>
      <c r="AB144" s="13">
        <v>1680</v>
      </c>
      <c r="AC144" s="13">
        <v>3628</v>
      </c>
      <c r="AD144" s="13">
        <v>3489</v>
      </c>
    </row>
    <row r="145" spans="1:30" ht="15.75" thickBot="1" x14ac:dyDescent="0.3">
      <c r="A145" s="9" t="s">
        <v>536</v>
      </c>
      <c r="B145" s="9" t="s">
        <v>564</v>
      </c>
      <c r="C145" s="45" t="str">
        <f t="shared" si="2"/>
        <v>MLDE025B84A1NB</v>
      </c>
      <c r="D145" s="10" t="s">
        <v>575</v>
      </c>
      <c r="E145" s="10" t="s">
        <v>576</v>
      </c>
      <c r="F145" s="9" t="s">
        <v>261</v>
      </c>
      <c r="G145" s="9" t="s">
        <v>262</v>
      </c>
      <c r="H145" s="11">
        <v>87.8048</v>
      </c>
      <c r="I145" s="12">
        <v>140</v>
      </c>
      <c r="J145" s="13">
        <v>0</v>
      </c>
      <c r="K145" s="13">
        <v>467</v>
      </c>
      <c r="L145" s="13">
        <v>1888</v>
      </c>
      <c r="M145" s="13">
        <v>1375</v>
      </c>
      <c r="N145" s="13">
        <v>1782</v>
      </c>
      <c r="O145" s="13">
        <v>2282</v>
      </c>
      <c r="P145" s="13">
        <v>1966</v>
      </c>
      <c r="Q145" s="13">
        <v>1217</v>
      </c>
      <c r="R145" s="13">
        <v>1464</v>
      </c>
      <c r="S145" s="13">
        <v>2085</v>
      </c>
      <c r="T145" s="13">
        <v>2152</v>
      </c>
      <c r="U145" s="13">
        <v>1792</v>
      </c>
      <c r="V145" s="13">
        <v>1971</v>
      </c>
      <c r="W145" s="13">
        <v>2930</v>
      </c>
      <c r="X145" s="13">
        <v>2706</v>
      </c>
      <c r="Y145" s="13">
        <v>3076</v>
      </c>
      <c r="Z145" s="13">
        <v>2547</v>
      </c>
      <c r="AA145" s="13">
        <v>0</v>
      </c>
      <c r="AB145" s="13">
        <v>1164</v>
      </c>
      <c r="AC145" s="13">
        <v>2956</v>
      </c>
      <c r="AD145" s="13">
        <v>2904</v>
      </c>
    </row>
    <row r="146" spans="1:30" ht="15.75" thickBot="1" x14ac:dyDescent="0.3">
      <c r="A146" s="9" t="s">
        <v>536</v>
      </c>
      <c r="B146" s="9" t="s">
        <v>564</v>
      </c>
      <c r="C146" s="45" t="str">
        <f t="shared" si="2"/>
        <v>MLDE025B84B1NB</v>
      </c>
      <c r="D146" s="10" t="s">
        <v>577</v>
      </c>
      <c r="E146" s="10" t="s">
        <v>578</v>
      </c>
      <c r="F146" s="9" t="s">
        <v>261</v>
      </c>
      <c r="G146" s="9" t="s">
        <v>262</v>
      </c>
      <c r="H146" s="12">
        <v>80</v>
      </c>
      <c r="I146" s="12">
        <v>1021</v>
      </c>
      <c r="J146" s="13">
        <v>0</v>
      </c>
      <c r="K146" s="13">
        <v>0</v>
      </c>
      <c r="L146" s="13">
        <v>260</v>
      </c>
      <c r="M146" s="13">
        <v>318</v>
      </c>
      <c r="N146" s="13">
        <v>250</v>
      </c>
      <c r="O146" s="13">
        <v>416</v>
      </c>
      <c r="P146" s="13">
        <v>450</v>
      </c>
      <c r="Q146" s="13">
        <v>304</v>
      </c>
      <c r="R146" s="13">
        <v>342</v>
      </c>
      <c r="S146" s="13">
        <v>469</v>
      </c>
      <c r="T146" s="13">
        <v>488</v>
      </c>
      <c r="U146" s="13">
        <v>450</v>
      </c>
      <c r="V146" s="13">
        <v>497</v>
      </c>
      <c r="W146" s="13">
        <v>698</v>
      </c>
      <c r="X146" s="13">
        <v>660</v>
      </c>
      <c r="Y146" s="13">
        <v>794</v>
      </c>
      <c r="Z146" s="13">
        <v>607</v>
      </c>
      <c r="AA146" s="13">
        <v>0</v>
      </c>
      <c r="AB146" s="13">
        <v>292</v>
      </c>
      <c r="AC146" s="13">
        <v>698</v>
      </c>
      <c r="AD146" s="13">
        <v>660</v>
      </c>
    </row>
    <row r="147" spans="1:30" ht="15.75" thickBot="1" x14ac:dyDescent="0.3">
      <c r="A147" s="9" t="s">
        <v>536</v>
      </c>
      <c r="B147" s="9" t="s">
        <v>564</v>
      </c>
      <c r="C147" s="45" t="str">
        <f t="shared" si="2"/>
        <v>MLDE025B85A1NB</v>
      </c>
      <c r="D147" s="10" t="s">
        <v>579</v>
      </c>
      <c r="E147" s="10" t="s">
        <v>576</v>
      </c>
      <c r="F147" s="9" t="s">
        <v>261</v>
      </c>
      <c r="G147" s="9" t="s">
        <v>262</v>
      </c>
      <c r="H147" s="11">
        <v>87.8048</v>
      </c>
      <c r="I147" s="12">
        <v>411</v>
      </c>
      <c r="J147" s="13">
        <v>0</v>
      </c>
      <c r="K147" s="13">
        <v>467</v>
      </c>
      <c r="L147" s="13">
        <v>1888</v>
      </c>
      <c r="M147" s="13">
        <v>1375</v>
      </c>
      <c r="N147" s="13">
        <v>1782</v>
      </c>
      <c r="O147" s="13">
        <v>2282</v>
      </c>
      <c r="P147" s="13">
        <v>1966</v>
      </c>
      <c r="Q147" s="13">
        <v>1217</v>
      </c>
      <c r="R147" s="13">
        <v>1464</v>
      </c>
      <c r="S147" s="13">
        <v>2085</v>
      </c>
      <c r="T147" s="13">
        <v>2152</v>
      </c>
      <c r="U147" s="13">
        <v>1792</v>
      </c>
      <c r="V147" s="13">
        <v>1971</v>
      </c>
      <c r="W147" s="13">
        <v>2930</v>
      </c>
      <c r="X147" s="13">
        <v>2706</v>
      </c>
      <c r="Y147" s="13">
        <v>3076</v>
      </c>
      <c r="Z147" s="13">
        <v>2547</v>
      </c>
      <c r="AA147" s="13">
        <v>0</v>
      </c>
      <c r="AB147" s="13">
        <v>1164</v>
      </c>
      <c r="AC147" s="13">
        <v>2956</v>
      </c>
      <c r="AD147" s="13">
        <v>2904</v>
      </c>
    </row>
    <row r="148" spans="1:30" ht="15.75" thickBot="1" x14ac:dyDescent="0.3">
      <c r="A148" s="9" t="s">
        <v>536</v>
      </c>
      <c r="B148" s="9" t="s">
        <v>564</v>
      </c>
      <c r="C148" s="45" t="str">
        <f t="shared" si="2"/>
        <v>MLDE025B85B1NB</v>
      </c>
      <c r="D148" s="10" t="s">
        <v>580</v>
      </c>
      <c r="E148" s="10" t="s">
        <v>581</v>
      </c>
      <c r="F148" s="9" t="s">
        <v>261</v>
      </c>
      <c r="G148" s="9" t="s">
        <v>262</v>
      </c>
      <c r="H148" s="12">
        <v>80</v>
      </c>
      <c r="I148" s="12">
        <v>720</v>
      </c>
      <c r="J148" s="13">
        <v>0</v>
      </c>
      <c r="K148" s="13">
        <v>0</v>
      </c>
      <c r="L148" s="13">
        <v>260</v>
      </c>
      <c r="M148" s="13">
        <v>318</v>
      </c>
      <c r="N148" s="13">
        <v>250</v>
      </c>
      <c r="O148" s="13">
        <v>416</v>
      </c>
      <c r="P148" s="13">
        <v>450</v>
      </c>
      <c r="Q148" s="13">
        <v>304</v>
      </c>
      <c r="R148" s="13">
        <v>342</v>
      </c>
      <c r="S148" s="13">
        <v>469</v>
      </c>
      <c r="T148" s="13">
        <v>488</v>
      </c>
      <c r="U148" s="13">
        <v>450</v>
      </c>
      <c r="V148" s="13">
        <v>497</v>
      </c>
      <c r="W148" s="13">
        <v>698</v>
      </c>
      <c r="X148" s="13">
        <v>660</v>
      </c>
      <c r="Y148" s="13">
        <v>794</v>
      </c>
      <c r="Z148" s="13">
        <v>607</v>
      </c>
      <c r="AA148" s="13">
        <v>0</v>
      </c>
      <c r="AB148" s="13">
        <v>292</v>
      </c>
      <c r="AC148" s="13">
        <v>698</v>
      </c>
      <c r="AD148" s="13">
        <v>660</v>
      </c>
    </row>
    <row r="149" spans="1:30" ht="15.75" thickBot="1" x14ac:dyDescent="0.3">
      <c r="A149" s="9" t="s">
        <v>536</v>
      </c>
      <c r="B149" s="9" t="s">
        <v>564</v>
      </c>
      <c r="C149" s="45" t="str">
        <f t="shared" si="2"/>
        <v>MLDE26656APIA02</v>
      </c>
      <c r="D149" s="10" t="s">
        <v>582</v>
      </c>
      <c r="E149" s="10" t="s">
        <v>583</v>
      </c>
      <c r="F149" s="9" t="s">
        <v>261</v>
      </c>
      <c r="G149" s="9" t="s">
        <v>262</v>
      </c>
      <c r="H149" s="12">
        <v>124</v>
      </c>
      <c r="I149" s="12">
        <v>1251</v>
      </c>
      <c r="J149" s="13">
        <v>0</v>
      </c>
      <c r="K149" s="13">
        <v>2650</v>
      </c>
      <c r="L149" s="13">
        <v>2016</v>
      </c>
      <c r="M149" s="13">
        <v>2224</v>
      </c>
      <c r="N149" s="13">
        <v>2566</v>
      </c>
      <c r="O149" s="13">
        <v>2947</v>
      </c>
      <c r="P149" s="13">
        <v>2338</v>
      </c>
      <c r="Q149" s="13">
        <v>1890</v>
      </c>
      <c r="R149" s="13">
        <v>2739</v>
      </c>
      <c r="S149" s="13">
        <v>3122</v>
      </c>
      <c r="T149" s="13">
        <v>3145</v>
      </c>
      <c r="U149" s="13">
        <v>2266</v>
      </c>
      <c r="V149" s="13">
        <v>3751</v>
      </c>
      <c r="W149" s="13">
        <v>4129</v>
      </c>
      <c r="X149" s="13">
        <v>3578</v>
      </c>
      <c r="Y149" s="13">
        <v>5593</v>
      </c>
      <c r="Z149" s="13">
        <v>1208</v>
      </c>
      <c r="AA149" s="13">
        <v>0</v>
      </c>
      <c r="AB149" s="13">
        <v>3336</v>
      </c>
      <c r="AC149" s="13">
        <v>4193</v>
      </c>
      <c r="AD149" s="13">
        <v>3888</v>
      </c>
    </row>
    <row r="150" spans="1:30" ht="15.75" thickBot="1" x14ac:dyDescent="0.3">
      <c r="A150" s="9" t="s">
        <v>536</v>
      </c>
      <c r="B150" s="9" t="s">
        <v>564</v>
      </c>
      <c r="C150" s="45" t="str">
        <f t="shared" si="2"/>
        <v>MLDE26657APIA02</v>
      </c>
      <c r="D150" s="10" t="s">
        <v>584</v>
      </c>
      <c r="E150" s="10" t="s">
        <v>585</v>
      </c>
      <c r="F150" s="9" t="s">
        <v>261</v>
      </c>
      <c r="G150" s="9" t="s">
        <v>262</v>
      </c>
      <c r="H150" s="12">
        <v>124</v>
      </c>
      <c r="I150" s="12">
        <v>4067</v>
      </c>
      <c r="J150" s="13">
        <v>0</v>
      </c>
      <c r="K150" s="13">
        <v>2650</v>
      </c>
      <c r="L150" s="13">
        <v>2016</v>
      </c>
      <c r="M150" s="13">
        <v>2224</v>
      </c>
      <c r="N150" s="13">
        <v>2566</v>
      </c>
      <c r="O150" s="13">
        <v>2947</v>
      </c>
      <c r="P150" s="13">
        <v>2338</v>
      </c>
      <c r="Q150" s="13">
        <v>1890</v>
      </c>
      <c r="R150" s="13">
        <v>2739</v>
      </c>
      <c r="S150" s="13">
        <v>3122</v>
      </c>
      <c r="T150" s="13">
        <v>3145</v>
      </c>
      <c r="U150" s="13">
        <v>2266</v>
      </c>
      <c r="V150" s="13">
        <v>3751</v>
      </c>
      <c r="W150" s="13">
        <v>4129</v>
      </c>
      <c r="X150" s="13">
        <v>3578</v>
      </c>
      <c r="Y150" s="13">
        <v>5593</v>
      </c>
      <c r="Z150" s="13">
        <v>1208</v>
      </c>
      <c r="AA150" s="13">
        <v>0</v>
      </c>
      <c r="AB150" s="13">
        <v>3336</v>
      </c>
      <c r="AC150" s="13">
        <v>4193</v>
      </c>
      <c r="AD150" s="13">
        <v>3888</v>
      </c>
    </row>
    <row r="151" spans="1:30" ht="15.75" thickBot="1" x14ac:dyDescent="0.3">
      <c r="A151" s="9" t="s">
        <v>536</v>
      </c>
      <c r="B151" s="9" t="s">
        <v>564</v>
      </c>
      <c r="C151" s="45" t="str">
        <f t="shared" si="2"/>
        <v>MLDE27406GPIA05</v>
      </c>
      <c r="D151" s="10" t="s">
        <v>586</v>
      </c>
      <c r="E151" s="10" t="s">
        <v>587</v>
      </c>
      <c r="F151" s="9" t="s">
        <v>261</v>
      </c>
      <c r="G151" s="9" t="s">
        <v>262</v>
      </c>
      <c r="H151" s="12">
        <v>120</v>
      </c>
      <c r="I151" s="12">
        <v>1254</v>
      </c>
      <c r="J151" s="13">
        <v>0</v>
      </c>
      <c r="K151" s="13">
        <v>443</v>
      </c>
      <c r="L151" s="13">
        <v>849</v>
      </c>
      <c r="M151" s="13">
        <v>963</v>
      </c>
      <c r="N151" s="13">
        <v>1172</v>
      </c>
      <c r="O151" s="13">
        <v>1378</v>
      </c>
      <c r="P151" s="13">
        <v>956</v>
      </c>
      <c r="Q151" s="13">
        <v>704</v>
      </c>
      <c r="R151" s="13">
        <v>1126</v>
      </c>
      <c r="S151" s="13">
        <v>1311</v>
      </c>
      <c r="T151" s="13">
        <v>1331</v>
      </c>
      <c r="U151" s="13">
        <v>963</v>
      </c>
      <c r="V151" s="13">
        <v>1641</v>
      </c>
      <c r="W151" s="13">
        <v>1817</v>
      </c>
      <c r="X151" s="13">
        <v>1528</v>
      </c>
      <c r="Y151" s="13">
        <v>2406</v>
      </c>
      <c r="Z151" s="13">
        <v>522</v>
      </c>
      <c r="AA151" s="13">
        <v>0</v>
      </c>
      <c r="AB151" s="13">
        <v>1472</v>
      </c>
      <c r="AC151" s="13">
        <v>1856</v>
      </c>
      <c r="AD151" s="13">
        <v>1704</v>
      </c>
    </row>
    <row r="152" spans="1:30" ht="15.75" thickBot="1" x14ac:dyDescent="0.3">
      <c r="A152" s="9" t="s">
        <v>536</v>
      </c>
      <c r="B152" s="9" t="s">
        <v>564</v>
      </c>
      <c r="C152" s="45" t="str">
        <f t="shared" si="2"/>
        <v>MLDE27407GPIA05</v>
      </c>
      <c r="D152" s="10" t="s">
        <v>588</v>
      </c>
      <c r="E152" s="10" t="s">
        <v>589</v>
      </c>
      <c r="F152" s="9" t="s">
        <v>261</v>
      </c>
      <c r="G152" s="9" t="s">
        <v>262</v>
      </c>
      <c r="H152" s="12">
        <v>120</v>
      </c>
      <c r="I152" s="12">
        <v>1343</v>
      </c>
      <c r="J152" s="13">
        <v>0</v>
      </c>
      <c r="K152" s="13">
        <v>443</v>
      </c>
      <c r="L152" s="13">
        <v>849</v>
      </c>
      <c r="M152" s="13">
        <v>963</v>
      </c>
      <c r="N152" s="13">
        <v>1172</v>
      </c>
      <c r="O152" s="13">
        <v>1378</v>
      </c>
      <c r="P152" s="13">
        <v>956</v>
      </c>
      <c r="Q152" s="13">
        <v>704</v>
      </c>
      <c r="R152" s="13">
        <v>1126</v>
      </c>
      <c r="S152" s="13">
        <v>1311</v>
      </c>
      <c r="T152" s="13">
        <v>1331</v>
      </c>
      <c r="U152" s="13">
        <v>963</v>
      </c>
      <c r="V152" s="13">
        <v>1641</v>
      </c>
      <c r="W152" s="13">
        <v>1817</v>
      </c>
      <c r="X152" s="13">
        <v>1528</v>
      </c>
      <c r="Y152" s="13">
        <v>2406</v>
      </c>
      <c r="Z152" s="13">
        <v>522</v>
      </c>
      <c r="AA152" s="13">
        <v>0</v>
      </c>
      <c r="AB152" s="13">
        <v>1472</v>
      </c>
      <c r="AC152" s="13">
        <v>1856</v>
      </c>
      <c r="AD152" s="13">
        <v>1704</v>
      </c>
    </row>
    <row r="153" spans="1:30" ht="15.75" thickBot="1" x14ac:dyDescent="0.3">
      <c r="A153" s="9" t="s">
        <v>536</v>
      </c>
      <c r="B153" s="9" t="s">
        <v>564</v>
      </c>
      <c r="C153" s="45" t="str">
        <f t="shared" si="2"/>
        <v>N1WB E245A22 AA3ZHE</v>
      </c>
      <c r="D153" s="10" t="s">
        <v>590</v>
      </c>
      <c r="E153" s="10" t="s">
        <v>591</v>
      </c>
      <c r="F153" s="9" t="s">
        <v>261</v>
      </c>
      <c r="G153" s="9" t="s">
        <v>262</v>
      </c>
      <c r="H153" s="12">
        <v>80</v>
      </c>
      <c r="I153" s="12">
        <v>2203</v>
      </c>
      <c r="J153" s="13">
        <v>0</v>
      </c>
      <c r="K153" s="13">
        <v>0</v>
      </c>
      <c r="L153" s="13">
        <v>0</v>
      </c>
      <c r="M153" s="13">
        <v>341</v>
      </c>
      <c r="N153" s="13">
        <v>768</v>
      </c>
      <c r="O153" s="13">
        <v>672</v>
      </c>
      <c r="P153" s="13">
        <v>864</v>
      </c>
      <c r="Q153" s="13">
        <v>720</v>
      </c>
      <c r="R153" s="13">
        <v>816</v>
      </c>
      <c r="S153" s="13">
        <v>1056</v>
      </c>
      <c r="T153" s="13">
        <v>1104</v>
      </c>
      <c r="U153" s="13">
        <v>864</v>
      </c>
      <c r="V153" s="13">
        <v>1008</v>
      </c>
      <c r="W153" s="13">
        <v>1344</v>
      </c>
      <c r="X153" s="13">
        <v>1200</v>
      </c>
      <c r="Y153" s="13">
        <v>1392</v>
      </c>
      <c r="Z153" s="13">
        <v>1008</v>
      </c>
      <c r="AA153" s="13">
        <v>192</v>
      </c>
      <c r="AB153" s="13">
        <v>768</v>
      </c>
      <c r="AC153" s="13">
        <v>1200</v>
      </c>
      <c r="AD153" s="13">
        <v>1296</v>
      </c>
    </row>
    <row r="154" spans="1:30" ht="15.75" thickBot="1" x14ac:dyDescent="0.3">
      <c r="A154" s="9" t="s">
        <v>536</v>
      </c>
      <c r="B154" s="9" t="s">
        <v>592</v>
      </c>
      <c r="C154" s="45" t="str">
        <f t="shared" si="2"/>
        <v>KB3B 21291A34 AD</v>
      </c>
      <c r="D154" s="10" t="s">
        <v>593</v>
      </c>
      <c r="E154" s="10" t="s">
        <v>594</v>
      </c>
      <c r="F154" s="9" t="s">
        <v>494</v>
      </c>
      <c r="G154" s="9" t="s">
        <v>262</v>
      </c>
      <c r="H154" s="11">
        <v>61.328699999999998</v>
      </c>
      <c r="I154" s="12">
        <v>84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18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64</v>
      </c>
      <c r="AA154" s="13">
        <v>0</v>
      </c>
      <c r="AB154" s="13">
        <v>0</v>
      </c>
      <c r="AC154" s="13">
        <v>0</v>
      </c>
      <c r="AD154" s="13">
        <v>0</v>
      </c>
    </row>
    <row r="155" spans="1:30" ht="15.75" thickBot="1" x14ac:dyDescent="0.3">
      <c r="A155" s="9" t="s">
        <v>536</v>
      </c>
      <c r="B155" s="9" t="s">
        <v>592</v>
      </c>
      <c r="C155" s="45" t="str">
        <f t="shared" si="2"/>
        <v>KB3B 21291A35 AD</v>
      </c>
      <c r="D155" s="10" t="s">
        <v>595</v>
      </c>
      <c r="E155" s="10" t="s">
        <v>596</v>
      </c>
      <c r="F155" s="9" t="s">
        <v>494</v>
      </c>
      <c r="G155" s="9" t="s">
        <v>262</v>
      </c>
      <c r="H155" s="11">
        <v>61.328699999999998</v>
      </c>
      <c r="I155" s="12">
        <v>223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3">
        <v>0</v>
      </c>
      <c r="AD155" s="13">
        <v>0</v>
      </c>
    </row>
    <row r="156" spans="1:30" ht="15.75" thickBot="1" x14ac:dyDescent="0.3">
      <c r="A156" s="9" t="s">
        <v>536</v>
      </c>
      <c r="B156" s="9" t="s">
        <v>592</v>
      </c>
      <c r="C156" s="45" t="str">
        <f t="shared" si="2"/>
        <v>KB3B 2141018 AC</v>
      </c>
      <c r="D156" s="10" t="s">
        <v>597</v>
      </c>
      <c r="E156" s="10" t="s">
        <v>598</v>
      </c>
      <c r="F156" s="9" t="s">
        <v>494</v>
      </c>
      <c r="G156" s="9" t="s">
        <v>262</v>
      </c>
      <c r="H156" s="11">
        <v>70.588200000000001</v>
      </c>
      <c r="I156" s="8"/>
      <c r="J156" s="13">
        <v>135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90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135</v>
      </c>
      <c r="AA156" s="13">
        <v>0</v>
      </c>
      <c r="AB156" s="13">
        <v>0</v>
      </c>
      <c r="AC156" s="13">
        <v>0</v>
      </c>
      <c r="AD156" s="13">
        <v>0</v>
      </c>
    </row>
    <row r="157" spans="1:30" ht="15.75" thickBot="1" x14ac:dyDescent="0.3">
      <c r="A157" s="9" t="s">
        <v>536</v>
      </c>
      <c r="B157" s="9" t="s">
        <v>592</v>
      </c>
      <c r="C157" s="45" t="str">
        <f t="shared" si="2"/>
        <v>KB3B 26291A34 AD</v>
      </c>
      <c r="D157" s="10" t="s">
        <v>599</v>
      </c>
      <c r="E157" s="10" t="s">
        <v>594</v>
      </c>
      <c r="F157" s="9" t="s">
        <v>494</v>
      </c>
      <c r="G157" s="9" t="s">
        <v>262</v>
      </c>
      <c r="H157" s="11">
        <v>57.7849</v>
      </c>
      <c r="I157" s="12">
        <v>28</v>
      </c>
      <c r="J157" s="13">
        <v>0</v>
      </c>
      <c r="K157" s="13">
        <v>0</v>
      </c>
      <c r="L157" s="13">
        <v>111</v>
      </c>
      <c r="M157" s="13">
        <v>0</v>
      </c>
      <c r="N157" s="13">
        <v>0</v>
      </c>
      <c r="O157" s="13">
        <v>0</v>
      </c>
      <c r="P157" s="13">
        <v>0</v>
      </c>
      <c r="Q157" s="13">
        <v>150</v>
      </c>
      <c r="R157" s="13">
        <v>0</v>
      </c>
      <c r="S157" s="13">
        <v>151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198</v>
      </c>
      <c r="AA157" s="13">
        <v>0</v>
      </c>
      <c r="AB157" s="13">
        <v>0</v>
      </c>
      <c r="AC157" s="13">
        <v>0</v>
      </c>
      <c r="AD157" s="13">
        <v>0</v>
      </c>
    </row>
    <row r="158" spans="1:30" ht="15.75" thickBot="1" x14ac:dyDescent="0.3">
      <c r="A158" s="9" t="s">
        <v>536</v>
      </c>
      <c r="B158" s="9" t="s">
        <v>592</v>
      </c>
      <c r="C158" s="45" t="str">
        <f t="shared" si="2"/>
        <v>KB3B 26291A35 AD</v>
      </c>
      <c r="D158" s="10" t="s">
        <v>600</v>
      </c>
      <c r="E158" s="10" t="s">
        <v>596</v>
      </c>
      <c r="F158" s="9" t="s">
        <v>494</v>
      </c>
      <c r="G158" s="9" t="s">
        <v>262</v>
      </c>
      <c r="H158" s="11">
        <v>57.7849</v>
      </c>
      <c r="I158" s="12">
        <v>459</v>
      </c>
      <c r="J158" s="13">
        <v>0</v>
      </c>
      <c r="K158" s="13">
        <v>0</v>
      </c>
      <c r="L158" s="13">
        <v>111</v>
      </c>
      <c r="M158" s="13">
        <v>0</v>
      </c>
      <c r="N158" s="13">
        <v>0</v>
      </c>
      <c r="O158" s="13">
        <v>0</v>
      </c>
      <c r="P158" s="13">
        <v>0</v>
      </c>
      <c r="Q158" s="13">
        <v>150</v>
      </c>
      <c r="R158" s="13">
        <v>0</v>
      </c>
      <c r="S158" s="13">
        <v>151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198</v>
      </c>
      <c r="AA158" s="13">
        <v>0</v>
      </c>
      <c r="AB158" s="13">
        <v>0</v>
      </c>
      <c r="AC158" s="13">
        <v>0</v>
      </c>
      <c r="AD158" s="13">
        <v>0</v>
      </c>
    </row>
    <row r="159" spans="1:30" ht="15.75" thickBot="1" x14ac:dyDescent="0.3">
      <c r="A159" s="9" t="s">
        <v>536</v>
      </c>
      <c r="B159" s="9" t="s">
        <v>592</v>
      </c>
      <c r="C159" s="45" t="str">
        <f t="shared" si="2"/>
        <v>MLD16L558D</v>
      </c>
      <c r="D159" s="10" t="s">
        <v>601</v>
      </c>
      <c r="E159" s="10" t="s">
        <v>602</v>
      </c>
      <c r="F159" s="9" t="s">
        <v>261</v>
      </c>
      <c r="G159" s="9" t="s">
        <v>262</v>
      </c>
      <c r="H159" s="11">
        <v>80.898799999999994</v>
      </c>
      <c r="I159" s="12">
        <v>63</v>
      </c>
      <c r="J159" s="13">
        <v>0</v>
      </c>
      <c r="K159" s="13">
        <v>628</v>
      </c>
      <c r="L159" s="13">
        <v>1346</v>
      </c>
      <c r="M159" s="13">
        <v>928</v>
      </c>
      <c r="N159" s="13">
        <v>1264</v>
      </c>
      <c r="O159" s="13">
        <v>1344</v>
      </c>
      <c r="P159" s="13">
        <v>1072</v>
      </c>
      <c r="Q159" s="13">
        <v>768</v>
      </c>
      <c r="R159" s="13">
        <v>1456</v>
      </c>
      <c r="S159" s="13">
        <v>1152</v>
      </c>
      <c r="T159" s="13">
        <v>1168</v>
      </c>
      <c r="U159" s="13">
        <v>1248</v>
      </c>
      <c r="V159" s="13">
        <v>1560</v>
      </c>
      <c r="W159" s="13">
        <v>1488</v>
      </c>
      <c r="X159" s="13">
        <v>1392</v>
      </c>
      <c r="Y159" s="13">
        <v>1680</v>
      </c>
      <c r="Z159" s="13">
        <v>1008</v>
      </c>
      <c r="AA159" s="13">
        <v>0</v>
      </c>
      <c r="AB159" s="13">
        <v>736</v>
      </c>
      <c r="AC159" s="13">
        <v>1840</v>
      </c>
      <c r="AD159" s="13">
        <v>1776</v>
      </c>
    </row>
    <row r="160" spans="1:30" ht="15.75" thickBot="1" x14ac:dyDescent="0.3">
      <c r="A160" s="9" t="s">
        <v>536</v>
      </c>
      <c r="B160" s="9" t="s">
        <v>592</v>
      </c>
      <c r="C160" s="45" t="str">
        <f t="shared" si="2"/>
        <v>MLD16L558F</v>
      </c>
      <c r="D160" s="10" t="s">
        <v>603</v>
      </c>
      <c r="E160" s="10" t="s">
        <v>604</v>
      </c>
      <c r="F160" s="9" t="s">
        <v>261</v>
      </c>
      <c r="G160" s="9" t="s">
        <v>262</v>
      </c>
      <c r="H160" s="11">
        <v>85.714200000000005</v>
      </c>
      <c r="I160" s="12">
        <v>33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60</v>
      </c>
      <c r="P160" s="13">
        <v>192</v>
      </c>
      <c r="Q160" s="13">
        <v>160</v>
      </c>
      <c r="R160" s="13">
        <v>368</v>
      </c>
      <c r="S160" s="13">
        <v>224</v>
      </c>
      <c r="T160" s="13">
        <v>176</v>
      </c>
      <c r="U160" s="13">
        <v>256</v>
      </c>
      <c r="V160" s="13">
        <v>198</v>
      </c>
      <c r="W160" s="13">
        <v>208</v>
      </c>
      <c r="X160" s="13">
        <v>224</v>
      </c>
      <c r="Y160" s="13">
        <v>320</v>
      </c>
      <c r="Z160" s="13">
        <v>192</v>
      </c>
      <c r="AA160" s="13">
        <v>0</v>
      </c>
      <c r="AB160" s="13">
        <v>96</v>
      </c>
      <c r="AC160" s="13">
        <v>240</v>
      </c>
      <c r="AD160" s="13">
        <v>240</v>
      </c>
    </row>
    <row r="161" spans="1:30" ht="15.75" thickBot="1" x14ac:dyDescent="0.3">
      <c r="A161" s="9" t="s">
        <v>536</v>
      </c>
      <c r="B161" s="9" t="s">
        <v>592</v>
      </c>
      <c r="C161" s="45" t="str">
        <f t="shared" si="2"/>
        <v>MLD16L559D</v>
      </c>
      <c r="D161" s="10" t="s">
        <v>605</v>
      </c>
      <c r="E161" s="10" t="s">
        <v>606</v>
      </c>
      <c r="F161" s="9" t="s">
        <v>261</v>
      </c>
      <c r="G161" s="9" t="s">
        <v>262</v>
      </c>
      <c r="H161" s="11">
        <v>80.898799999999994</v>
      </c>
      <c r="I161" s="12">
        <v>82</v>
      </c>
      <c r="J161" s="13">
        <v>0</v>
      </c>
      <c r="K161" s="13">
        <v>628</v>
      </c>
      <c r="L161" s="13">
        <v>1346</v>
      </c>
      <c r="M161" s="13">
        <v>928</v>
      </c>
      <c r="N161" s="13">
        <v>1264</v>
      </c>
      <c r="O161" s="13">
        <v>1344</v>
      </c>
      <c r="P161" s="13">
        <v>1072</v>
      </c>
      <c r="Q161" s="13">
        <v>768</v>
      </c>
      <c r="R161" s="13">
        <v>1456</v>
      </c>
      <c r="S161" s="13">
        <v>1152</v>
      </c>
      <c r="T161" s="13">
        <v>1168</v>
      </c>
      <c r="U161" s="13">
        <v>1248</v>
      </c>
      <c r="V161" s="13">
        <v>1560</v>
      </c>
      <c r="W161" s="13">
        <v>1488</v>
      </c>
      <c r="X161" s="13">
        <v>1392</v>
      </c>
      <c r="Y161" s="13">
        <v>1680</v>
      </c>
      <c r="Z161" s="13">
        <v>1008</v>
      </c>
      <c r="AA161" s="13">
        <v>0</v>
      </c>
      <c r="AB161" s="13">
        <v>736</v>
      </c>
      <c r="AC161" s="13">
        <v>1840</v>
      </c>
      <c r="AD161" s="13">
        <v>1776</v>
      </c>
    </row>
    <row r="162" spans="1:30" ht="15.75" thickBot="1" x14ac:dyDescent="0.3">
      <c r="A162" s="9" t="s">
        <v>536</v>
      </c>
      <c r="B162" s="9" t="s">
        <v>592</v>
      </c>
      <c r="C162" s="45" t="str">
        <f t="shared" si="2"/>
        <v>MLD16L559F</v>
      </c>
      <c r="D162" s="10" t="s">
        <v>607</v>
      </c>
      <c r="E162" s="10" t="s">
        <v>608</v>
      </c>
      <c r="F162" s="9" t="s">
        <v>261</v>
      </c>
      <c r="G162" s="9" t="s">
        <v>262</v>
      </c>
      <c r="H162" s="11">
        <v>85.714200000000005</v>
      </c>
      <c r="I162" s="12">
        <v>47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60</v>
      </c>
      <c r="P162" s="13">
        <v>192</v>
      </c>
      <c r="Q162" s="13">
        <v>160</v>
      </c>
      <c r="R162" s="13">
        <v>368</v>
      </c>
      <c r="S162" s="13">
        <v>224</v>
      </c>
      <c r="T162" s="13">
        <v>176</v>
      </c>
      <c r="U162" s="13">
        <v>256</v>
      </c>
      <c r="V162" s="13">
        <v>198</v>
      </c>
      <c r="W162" s="13">
        <v>208</v>
      </c>
      <c r="X162" s="13">
        <v>224</v>
      </c>
      <c r="Y162" s="13">
        <v>320</v>
      </c>
      <c r="Z162" s="13">
        <v>192</v>
      </c>
      <c r="AA162" s="13">
        <v>0</v>
      </c>
      <c r="AB162" s="13">
        <v>96</v>
      </c>
      <c r="AC162" s="13">
        <v>240</v>
      </c>
      <c r="AD162" s="13">
        <v>240</v>
      </c>
    </row>
    <row r="163" spans="1:30" ht="15.75" thickBot="1" x14ac:dyDescent="0.3">
      <c r="A163" s="9" t="s">
        <v>536</v>
      </c>
      <c r="B163" s="9" t="s">
        <v>592</v>
      </c>
      <c r="C163" s="45" t="str">
        <f t="shared" si="2"/>
        <v>MLD16L560D</v>
      </c>
      <c r="D163" s="10" t="s">
        <v>609</v>
      </c>
      <c r="E163" s="10" t="s">
        <v>610</v>
      </c>
      <c r="F163" s="9" t="s">
        <v>261</v>
      </c>
      <c r="G163" s="9" t="s">
        <v>262</v>
      </c>
      <c r="H163" s="11">
        <v>80.898799999999994</v>
      </c>
      <c r="I163" s="12">
        <v>93</v>
      </c>
      <c r="J163" s="13">
        <v>0</v>
      </c>
      <c r="K163" s="13">
        <v>628</v>
      </c>
      <c r="L163" s="13">
        <v>1346</v>
      </c>
      <c r="M163" s="13">
        <v>928</v>
      </c>
      <c r="N163" s="13">
        <v>1264</v>
      </c>
      <c r="O163" s="13">
        <v>1344</v>
      </c>
      <c r="P163" s="13">
        <v>1072</v>
      </c>
      <c r="Q163" s="13">
        <v>768</v>
      </c>
      <c r="R163" s="13">
        <v>1456</v>
      </c>
      <c r="S163" s="13">
        <v>1152</v>
      </c>
      <c r="T163" s="13">
        <v>1168</v>
      </c>
      <c r="U163" s="13">
        <v>1248</v>
      </c>
      <c r="V163" s="13">
        <v>1560</v>
      </c>
      <c r="W163" s="13">
        <v>1488</v>
      </c>
      <c r="X163" s="13">
        <v>1392</v>
      </c>
      <c r="Y163" s="13">
        <v>1680</v>
      </c>
      <c r="Z163" s="13">
        <v>1008</v>
      </c>
      <c r="AA163" s="13">
        <v>0</v>
      </c>
      <c r="AB163" s="13">
        <v>736</v>
      </c>
      <c r="AC163" s="13">
        <v>1840</v>
      </c>
      <c r="AD163" s="13">
        <v>1776</v>
      </c>
    </row>
    <row r="164" spans="1:30" ht="15.75" thickBot="1" x14ac:dyDescent="0.3">
      <c r="A164" s="9" t="s">
        <v>536</v>
      </c>
      <c r="B164" s="9" t="s">
        <v>592</v>
      </c>
      <c r="C164" s="45" t="str">
        <f t="shared" si="2"/>
        <v>MLD16L560F</v>
      </c>
      <c r="D164" s="10" t="s">
        <v>611</v>
      </c>
      <c r="E164" s="10" t="s">
        <v>612</v>
      </c>
      <c r="F164" s="9" t="s">
        <v>261</v>
      </c>
      <c r="G164" s="9" t="s">
        <v>262</v>
      </c>
      <c r="H164" s="11">
        <v>85.714200000000005</v>
      </c>
      <c r="I164" s="12">
        <v>63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60</v>
      </c>
      <c r="P164" s="13">
        <v>192</v>
      </c>
      <c r="Q164" s="13">
        <v>160</v>
      </c>
      <c r="R164" s="13">
        <v>368</v>
      </c>
      <c r="S164" s="13">
        <v>224</v>
      </c>
      <c r="T164" s="13">
        <v>176</v>
      </c>
      <c r="U164" s="13">
        <v>256</v>
      </c>
      <c r="V164" s="13">
        <v>198</v>
      </c>
      <c r="W164" s="13">
        <v>208</v>
      </c>
      <c r="X164" s="13">
        <v>224</v>
      </c>
      <c r="Y164" s="13">
        <v>320</v>
      </c>
      <c r="Z164" s="13">
        <v>192</v>
      </c>
      <c r="AA164" s="13">
        <v>0</v>
      </c>
      <c r="AB164" s="13">
        <v>96</v>
      </c>
      <c r="AC164" s="13">
        <v>240</v>
      </c>
      <c r="AD164" s="13">
        <v>240</v>
      </c>
    </row>
    <row r="165" spans="1:30" ht="15.75" thickBot="1" x14ac:dyDescent="0.3">
      <c r="A165" s="9" t="s">
        <v>536</v>
      </c>
      <c r="B165" s="9" t="s">
        <v>592</v>
      </c>
      <c r="C165" s="45" t="str">
        <f t="shared" si="2"/>
        <v>MLD16L561D</v>
      </c>
      <c r="D165" s="10" t="s">
        <v>613</v>
      </c>
      <c r="E165" s="10" t="s">
        <v>614</v>
      </c>
      <c r="F165" s="9" t="s">
        <v>261</v>
      </c>
      <c r="G165" s="9" t="s">
        <v>262</v>
      </c>
      <c r="H165" s="11">
        <v>80.898799999999994</v>
      </c>
      <c r="I165" s="12">
        <v>112</v>
      </c>
      <c r="J165" s="13">
        <v>0</v>
      </c>
      <c r="K165" s="13">
        <v>628</v>
      </c>
      <c r="L165" s="13">
        <v>1346</v>
      </c>
      <c r="M165" s="13">
        <v>928</v>
      </c>
      <c r="N165" s="13">
        <v>1264</v>
      </c>
      <c r="O165" s="13">
        <v>1344</v>
      </c>
      <c r="P165" s="13">
        <v>1072</v>
      </c>
      <c r="Q165" s="13">
        <v>768</v>
      </c>
      <c r="R165" s="13">
        <v>1456</v>
      </c>
      <c r="S165" s="13">
        <v>1152</v>
      </c>
      <c r="T165" s="13">
        <v>1168</v>
      </c>
      <c r="U165" s="13">
        <v>1248</v>
      </c>
      <c r="V165" s="13">
        <v>1560</v>
      </c>
      <c r="W165" s="13">
        <v>1488</v>
      </c>
      <c r="X165" s="13">
        <v>1392</v>
      </c>
      <c r="Y165" s="13">
        <v>1680</v>
      </c>
      <c r="Z165" s="13">
        <v>1008</v>
      </c>
      <c r="AA165" s="13">
        <v>0</v>
      </c>
      <c r="AB165" s="13">
        <v>736</v>
      </c>
      <c r="AC165" s="13">
        <v>1840</v>
      </c>
      <c r="AD165" s="13">
        <v>1776</v>
      </c>
    </row>
    <row r="166" spans="1:30" ht="15.75" thickBot="1" x14ac:dyDescent="0.3">
      <c r="A166" s="9" t="s">
        <v>536</v>
      </c>
      <c r="B166" s="9" t="s">
        <v>592</v>
      </c>
      <c r="C166" s="45" t="str">
        <f t="shared" si="2"/>
        <v>MLD16L561F</v>
      </c>
      <c r="D166" s="10" t="s">
        <v>615</v>
      </c>
      <c r="E166" s="10" t="s">
        <v>616</v>
      </c>
      <c r="F166" s="9" t="s">
        <v>261</v>
      </c>
      <c r="G166" s="9" t="s">
        <v>262</v>
      </c>
      <c r="H166" s="11">
        <v>85.714200000000005</v>
      </c>
      <c r="I166" s="12">
        <v>77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60</v>
      </c>
      <c r="P166" s="13">
        <v>192</v>
      </c>
      <c r="Q166" s="13">
        <v>160</v>
      </c>
      <c r="R166" s="13">
        <v>368</v>
      </c>
      <c r="S166" s="13">
        <v>224</v>
      </c>
      <c r="T166" s="13">
        <v>176</v>
      </c>
      <c r="U166" s="13">
        <v>256</v>
      </c>
      <c r="V166" s="13">
        <v>198</v>
      </c>
      <c r="W166" s="13">
        <v>208</v>
      </c>
      <c r="X166" s="13">
        <v>224</v>
      </c>
      <c r="Y166" s="13">
        <v>320</v>
      </c>
      <c r="Z166" s="13">
        <v>192</v>
      </c>
      <c r="AA166" s="13">
        <v>0</v>
      </c>
      <c r="AB166" s="13">
        <v>96</v>
      </c>
      <c r="AC166" s="13">
        <v>240</v>
      </c>
      <c r="AD166" s="13">
        <v>240</v>
      </c>
    </row>
    <row r="167" spans="1:30" ht="15.75" thickBot="1" x14ac:dyDescent="0.3">
      <c r="A167" s="9" t="s">
        <v>536</v>
      </c>
      <c r="B167" s="9" t="s">
        <v>592</v>
      </c>
      <c r="C167" s="45" t="str">
        <f t="shared" si="2"/>
        <v>MLDE291A34A</v>
      </c>
      <c r="D167" s="10" t="s">
        <v>617</v>
      </c>
      <c r="E167" s="10" t="s">
        <v>618</v>
      </c>
      <c r="F167" s="9" t="s">
        <v>261</v>
      </c>
      <c r="G167" s="9" t="s">
        <v>262</v>
      </c>
      <c r="H167" s="11">
        <v>81.818100000000001</v>
      </c>
      <c r="I167" s="8"/>
      <c r="J167" s="13">
        <v>0</v>
      </c>
      <c r="K167" s="13">
        <v>90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83</v>
      </c>
      <c r="R167" s="13">
        <v>0</v>
      </c>
      <c r="S167" s="13">
        <v>76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111</v>
      </c>
      <c r="AA167" s="13">
        <v>0</v>
      </c>
      <c r="AB167" s="13">
        <v>0</v>
      </c>
      <c r="AC167" s="13">
        <v>0</v>
      </c>
      <c r="AD167" s="13">
        <v>0</v>
      </c>
    </row>
    <row r="168" spans="1:30" ht="15.75" thickBot="1" x14ac:dyDescent="0.3">
      <c r="A168" s="9" t="s">
        <v>536</v>
      </c>
      <c r="B168" s="9" t="s">
        <v>592</v>
      </c>
      <c r="C168" s="45" t="str">
        <f t="shared" si="2"/>
        <v>MLDE291A34MAPIA01</v>
      </c>
      <c r="D168" s="10" t="s">
        <v>619</v>
      </c>
      <c r="E168" s="10" t="s">
        <v>620</v>
      </c>
      <c r="F168" s="9" t="s">
        <v>261</v>
      </c>
      <c r="G168" s="9" t="s">
        <v>262</v>
      </c>
      <c r="H168" s="11">
        <v>81.818200000000004</v>
      </c>
      <c r="I168" s="12">
        <v>188</v>
      </c>
      <c r="J168" s="13">
        <v>0</v>
      </c>
      <c r="K168" s="13">
        <v>1589</v>
      </c>
      <c r="L168" s="13">
        <v>960</v>
      </c>
      <c r="M168" s="13">
        <v>1184</v>
      </c>
      <c r="N168" s="13">
        <v>1280</v>
      </c>
      <c r="O168" s="13">
        <v>1408</v>
      </c>
      <c r="P168" s="13">
        <v>1184</v>
      </c>
      <c r="Q168" s="13">
        <v>992</v>
      </c>
      <c r="R168" s="13">
        <v>1344</v>
      </c>
      <c r="S168" s="13">
        <v>1628</v>
      </c>
      <c r="T168" s="13">
        <v>1600</v>
      </c>
      <c r="U168" s="13">
        <v>1088</v>
      </c>
      <c r="V168" s="13">
        <v>1856</v>
      </c>
      <c r="W168" s="13">
        <v>2080</v>
      </c>
      <c r="X168" s="13">
        <v>1824</v>
      </c>
      <c r="Y168" s="13">
        <v>2528</v>
      </c>
      <c r="Z168" s="13">
        <v>977</v>
      </c>
      <c r="AA168" s="13">
        <v>64</v>
      </c>
      <c r="AB168" s="13">
        <v>1487</v>
      </c>
      <c r="AC168" s="13">
        <v>2080</v>
      </c>
      <c r="AD168" s="13">
        <v>1952</v>
      </c>
    </row>
    <row r="169" spans="1:30" ht="15.75" thickBot="1" x14ac:dyDescent="0.3">
      <c r="A169" s="9" t="s">
        <v>536</v>
      </c>
      <c r="B169" s="9" t="s">
        <v>592</v>
      </c>
      <c r="C169" s="45" t="str">
        <f t="shared" si="2"/>
        <v>MLDE291A35A</v>
      </c>
      <c r="D169" s="10" t="s">
        <v>621</v>
      </c>
      <c r="E169" s="10" t="s">
        <v>622</v>
      </c>
      <c r="F169" s="9" t="s">
        <v>261</v>
      </c>
      <c r="G169" s="9" t="s">
        <v>262</v>
      </c>
      <c r="H169" s="11">
        <v>81.818100000000001</v>
      </c>
      <c r="I169" s="8"/>
      <c r="J169" s="13">
        <v>0</v>
      </c>
      <c r="K169" s="13">
        <v>90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83</v>
      </c>
      <c r="R169" s="13">
        <v>0</v>
      </c>
      <c r="S169" s="13">
        <v>76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111</v>
      </c>
      <c r="AA169" s="13">
        <v>0</v>
      </c>
      <c r="AB169" s="13">
        <v>0</v>
      </c>
      <c r="AC169" s="13">
        <v>0</v>
      </c>
      <c r="AD169" s="13">
        <v>0</v>
      </c>
    </row>
    <row r="170" spans="1:30" ht="15.75" thickBot="1" x14ac:dyDescent="0.3">
      <c r="A170" s="9" t="s">
        <v>536</v>
      </c>
      <c r="B170" s="9" t="s">
        <v>592</v>
      </c>
      <c r="C170" s="45" t="str">
        <f t="shared" si="2"/>
        <v>MLDE291A35MAPIA01</v>
      </c>
      <c r="D170" s="10" t="s">
        <v>623</v>
      </c>
      <c r="E170" s="10" t="s">
        <v>624</v>
      </c>
      <c r="F170" s="9" t="s">
        <v>261</v>
      </c>
      <c r="G170" s="9" t="s">
        <v>262</v>
      </c>
      <c r="H170" s="11">
        <v>81.818200000000004</v>
      </c>
      <c r="I170" s="12">
        <v>58</v>
      </c>
      <c r="J170" s="13">
        <v>0</v>
      </c>
      <c r="K170" s="13">
        <v>1589</v>
      </c>
      <c r="L170" s="13">
        <v>960</v>
      </c>
      <c r="M170" s="13">
        <v>1184</v>
      </c>
      <c r="N170" s="13">
        <v>1280</v>
      </c>
      <c r="O170" s="13">
        <v>1408</v>
      </c>
      <c r="P170" s="13">
        <v>1184</v>
      </c>
      <c r="Q170" s="13">
        <v>992</v>
      </c>
      <c r="R170" s="13">
        <v>1344</v>
      </c>
      <c r="S170" s="13">
        <v>1628</v>
      </c>
      <c r="T170" s="13">
        <v>1600</v>
      </c>
      <c r="U170" s="13">
        <v>1088</v>
      </c>
      <c r="V170" s="13">
        <v>1856</v>
      </c>
      <c r="W170" s="13">
        <v>2080</v>
      </c>
      <c r="X170" s="13">
        <v>1824</v>
      </c>
      <c r="Y170" s="13">
        <v>2528</v>
      </c>
      <c r="Z170" s="13">
        <v>977</v>
      </c>
      <c r="AA170" s="13">
        <v>64</v>
      </c>
      <c r="AB170" s="13">
        <v>1487</v>
      </c>
      <c r="AC170" s="13">
        <v>2080</v>
      </c>
      <c r="AD170" s="13">
        <v>1952</v>
      </c>
    </row>
    <row r="171" spans="1:30" ht="15.75" thickBot="1" x14ac:dyDescent="0.3">
      <c r="A171" s="9" t="s">
        <v>536</v>
      </c>
      <c r="B171" s="9" t="s">
        <v>592</v>
      </c>
      <c r="C171" s="45" t="str">
        <f t="shared" si="2"/>
        <v>MLDE41018CPIA01</v>
      </c>
      <c r="D171" s="10" t="s">
        <v>625</v>
      </c>
      <c r="E171" s="10" t="s">
        <v>626</v>
      </c>
      <c r="F171" s="9" t="s">
        <v>261</v>
      </c>
      <c r="G171" s="9" t="s">
        <v>262</v>
      </c>
      <c r="H171" s="12">
        <v>160</v>
      </c>
      <c r="I171" s="12">
        <v>-59</v>
      </c>
      <c r="J171" s="13">
        <v>0</v>
      </c>
      <c r="K171" s="13">
        <v>185</v>
      </c>
      <c r="L171" s="13">
        <v>1380</v>
      </c>
      <c r="M171" s="13">
        <v>960</v>
      </c>
      <c r="N171" s="13">
        <v>1220</v>
      </c>
      <c r="O171" s="13">
        <v>1340</v>
      </c>
      <c r="P171" s="13">
        <v>1420</v>
      </c>
      <c r="Q171" s="13">
        <v>1060</v>
      </c>
      <c r="R171" s="13">
        <v>1020</v>
      </c>
      <c r="S171" s="13">
        <v>1530</v>
      </c>
      <c r="T171" s="13">
        <v>1600</v>
      </c>
      <c r="U171" s="13">
        <v>1480</v>
      </c>
      <c r="V171" s="13">
        <v>1237</v>
      </c>
      <c r="W171" s="13">
        <v>2080</v>
      </c>
      <c r="X171" s="13">
        <v>1940</v>
      </c>
      <c r="Y171" s="13">
        <v>1920</v>
      </c>
      <c r="Z171" s="13">
        <v>2259</v>
      </c>
      <c r="AA171" s="13">
        <v>60</v>
      </c>
      <c r="AB171" s="13">
        <v>660</v>
      </c>
      <c r="AC171" s="13">
        <v>2100</v>
      </c>
      <c r="AD171" s="13">
        <v>2060</v>
      </c>
    </row>
    <row r="172" spans="1:30" ht="15.75" thickBot="1" x14ac:dyDescent="0.3">
      <c r="A172" s="9" t="s">
        <v>536</v>
      </c>
      <c r="B172" s="9" t="s">
        <v>592</v>
      </c>
      <c r="C172" s="45" t="str">
        <f t="shared" si="2"/>
        <v>N1WB E28344 DA</v>
      </c>
      <c r="D172" s="10" t="s">
        <v>627</v>
      </c>
      <c r="E172" s="10" t="s">
        <v>628</v>
      </c>
      <c r="F172" s="9" t="s">
        <v>261</v>
      </c>
      <c r="G172" s="9" t="s">
        <v>262</v>
      </c>
      <c r="H172" s="11">
        <v>84.705799999999996</v>
      </c>
      <c r="I172" s="12">
        <v>1884</v>
      </c>
      <c r="J172" s="13">
        <v>0</v>
      </c>
      <c r="K172" s="13">
        <v>0</v>
      </c>
      <c r="L172" s="13">
        <v>1236</v>
      </c>
      <c r="M172" s="13">
        <v>789</v>
      </c>
      <c r="N172" s="13">
        <v>1296</v>
      </c>
      <c r="O172" s="13">
        <v>1088</v>
      </c>
      <c r="P172" s="13">
        <v>1136</v>
      </c>
      <c r="Q172" s="13">
        <v>656</v>
      </c>
      <c r="R172" s="13">
        <v>1072</v>
      </c>
      <c r="S172" s="13">
        <v>1200</v>
      </c>
      <c r="T172" s="13">
        <v>1312</v>
      </c>
      <c r="U172" s="13">
        <v>1536</v>
      </c>
      <c r="V172" s="13">
        <v>910</v>
      </c>
      <c r="W172" s="13">
        <v>1712</v>
      </c>
      <c r="X172" s="13">
        <v>1536</v>
      </c>
      <c r="Y172" s="13">
        <v>1728</v>
      </c>
      <c r="Z172" s="13">
        <v>1792</v>
      </c>
      <c r="AA172" s="13">
        <v>0</v>
      </c>
      <c r="AB172" s="13">
        <v>368</v>
      </c>
      <c r="AC172" s="13">
        <v>1840</v>
      </c>
      <c r="AD172" s="13">
        <v>1808</v>
      </c>
    </row>
    <row r="173" spans="1:30" ht="15.75" thickBot="1" x14ac:dyDescent="0.3">
      <c r="A173" s="9" t="s">
        <v>536</v>
      </c>
      <c r="B173" s="9" t="s">
        <v>592</v>
      </c>
      <c r="C173" s="45" t="str">
        <f t="shared" si="2"/>
        <v>N1WB E28345 DA</v>
      </c>
      <c r="D173" s="10" t="s">
        <v>629</v>
      </c>
      <c r="E173" s="10" t="s">
        <v>630</v>
      </c>
      <c r="F173" s="9" t="s">
        <v>261</v>
      </c>
      <c r="G173" s="9" t="s">
        <v>262</v>
      </c>
      <c r="H173" s="11">
        <v>84.705799999999996</v>
      </c>
      <c r="I173" s="12">
        <v>1687</v>
      </c>
      <c r="J173" s="13">
        <v>0</v>
      </c>
      <c r="K173" s="13">
        <v>0</v>
      </c>
      <c r="L173" s="13">
        <v>1236</v>
      </c>
      <c r="M173" s="13">
        <v>789</v>
      </c>
      <c r="N173" s="13">
        <v>1296</v>
      </c>
      <c r="O173" s="13">
        <v>1088</v>
      </c>
      <c r="P173" s="13">
        <v>1136</v>
      </c>
      <c r="Q173" s="13">
        <v>656</v>
      </c>
      <c r="R173" s="13">
        <v>1072</v>
      </c>
      <c r="S173" s="13">
        <v>1200</v>
      </c>
      <c r="T173" s="13">
        <v>1312</v>
      </c>
      <c r="U173" s="13">
        <v>1536</v>
      </c>
      <c r="V173" s="13">
        <v>910</v>
      </c>
      <c r="W173" s="13">
        <v>1712</v>
      </c>
      <c r="X173" s="13">
        <v>1536</v>
      </c>
      <c r="Y173" s="13">
        <v>1728</v>
      </c>
      <c r="Z173" s="13">
        <v>1792</v>
      </c>
      <c r="AA173" s="13">
        <v>0</v>
      </c>
      <c r="AB173" s="13">
        <v>368</v>
      </c>
      <c r="AC173" s="13">
        <v>1840</v>
      </c>
      <c r="AD173" s="13">
        <v>1808</v>
      </c>
    </row>
    <row r="174" spans="1:30" ht="15.75" thickBot="1" x14ac:dyDescent="0.3">
      <c r="A174" s="9" t="s">
        <v>536</v>
      </c>
      <c r="B174" s="9" t="s">
        <v>631</v>
      </c>
      <c r="C174" s="45" t="str">
        <f t="shared" si="2"/>
        <v>MLDE13200A</v>
      </c>
      <c r="D174" s="10" t="s">
        <v>632</v>
      </c>
      <c r="E174" s="10" t="s">
        <v>633</v>
      </c>
      <c r="F174" s="9" t="s">
        <v>261</v>
      </c>
      <c r="G174" s="9" t="s">
        <v>262</v>
      </c>
      <c r="H174" s="11">
        <v>71.287099999999995</v>
      </c>
      <c r="I174" s="12">
        <v>1026</v>
      </c>
      <c r="J174" s="13">
        <v>0</v>
      </c>
      <c r="K174" s="13">
        <v>614</v>
      </c>
      <c r="L174" s="13">
        <v>1362</v>
      </c>
      <c r="M174" s="13">
        <v>1000</v>
      </c>
      <c r="N174" s="13">
        <v>1160</v>
      </c>
      <c r="O174" s="13">
        <v>1432</v>
      </c>
      <c r="P174" s="13">
        <v>1368</v>
      </c>
      <c r="Q174" s="13">
        <v>986</v>
      </c>
      <c r="R174" s="13">
        <v>1132</v>
      </c>
      <c r="S174" s="13">
        <v>1518</v>
      </c>
      <c r="T174" s="13">
        <v>1570</v>
      </c>
      <c r="U174" s="13">
        <v>1318</v>
      </c>
      <c r="V174" s="13">
        <v>1404</v>
      </c>
      <c r="W174" s="13">
        <v>2066</v>
      </c>
      <c r="X174" s="13">
        <v>1930</v>
      </c>
      <c r="Y174" s="13">
        <v>2254</v>
      </c>
      <c r="Z174" s="13">
        <v>1860</v>
      </c>
      <c r="AA174" s="13">
        <v>0</v>
      </c>
      <c r="AB174" s="13">
        <v>822</v>
      </c>
      <c r="AC174" s="13">
        <v>2066</v>
      </c>
      <c r="AD174" s="13">
        <v>2016</v>
      </c>
    </row>
    <row r="175" spans="1:30" ht="15.75" thickBot="1" x14ac:dyDescent="0.3">
      <c r="A175" s="9" t="s">
        <v>536</v>
      </c>
      <c r="B175" s="9" t="s">
        <v>631</v>
      </c>
      <c r="C175" s="45" t="str">
        <f t="shared" si="2"/>
        <v>MLDE13201A</v>
      </c>
      <c r="D175" s="10" t="s">
        <v>634</v>
      </c>
      <c r="E175" s="10" t="s">
        <v>635</v>
      </c>
      <c r="F175" s="9" t="s">
        <v>261</v>
      </c>
      <c r="G175" s="9" t="s">
        <v>262</v>
      </c>
      <c r="H175" s="11">
        <v>71.287099999999995</v>
      </c>
      <c r="I175" s="12">
        <v>1013</v>
      </c>
      <c r="J175" s="13">
        <v>0</v>
      </c>
      <c r="K175" s="13">
        <v>614</v>
      </c>
      <c r="L175" s="13">
        <v>1362</v>
      </c>
      <c r="M175" s="13">
        <v>1000</v>
      </c>
      <c r="N175" s="13">
        <v>1160</v>
      </c>
      <c r="O175" s="13">
        <v>1432</v>
      </c>
      <c r="P175" s="13">
        <v>1368</v>
      </c>
      <c r="Q175" s="13">
        <v>986</v>
      </c>
      <c r="R175" s="13">
        <v>1132</v>
      </c>
      <c r="S175" s="13">
        <v>1518</v>
      </c>
      <c r="T175" s="13">
        <v>1570</v>
      </c>
      <c r="U175" s="13">
        <v>1318</v>
      </c>
      <c r="V175" s="13">
        <v>1404</v>
      </c>
      <c r="W175" s="13">
        <v>2066</v>
      </c>
      <c r="X175" s="13">
        <v>1930</v>
      </c>
      <c r="Y175" s="13">
        <v>2254</v>
      </c>
      <c r="Z175" s="13">
        <v>1860</v>
      </c>
      <c r="AA175" s="13">
        <v>0</v>
      </c>
      <c r="AB175" s="13">
        <v>822</v>
      </c>
      <c r="AC175" s="13">
        <v>2066</v>
      </c>
      <c r="AD175" s="13">
        <v>2016</v>
      </c>
    </row>
    <row r="176" spans="1:30" ht="15.75" thickBot="1" x14ac:dyDescent="0.3">
      <c r="A176" s="9" t="s">
        <v>536</v>
      </c>
      <c r="B176" s="9" t="s">
        <v>631</v>
      </c>
      <c r="C176" s="45" t="str">
        <f t="shared" si="2"/>
        <v>MLDE243A52E</v>
      </c>
      <c r="D176" s="10" t="s">
        <v>636</v>
      </c>
      <c r="E176" s="10" t="s">
        <v>637</v>
      </c>
      <c r="F176" s="9" t="s">
        <v>261</v>
      </c>
      <c r="G176" s="9" t="s">
        <v>262</v>
      </c>
      <c r="H176" s="11">
        <v>66.666600000000003</v>
      </c>
      <c r="I176" s="12">
        <v>34</v>
      </c>
      <c r="J176" s="13">
        <v>80</v>
      </c>
      <c r="K176" s="13">
        <v>1584</v>
      </c>
      <c r="L176" s="13">
        <v>1210</v>
      </c>
      <c r="M176" s="13">
        <v>998</v>
      </c>
      <c r="N176" s="13">
        <v>1170</v>
      </c>
      <c r="O176" s="13">
        <v>1432</v>
      </c>
      <c r="P176" s="13">
        <v>1368</v>
      </c>
      <c r="Q176" s="13">
        <v>994</v>
      </c>
      <c r="R176" s="13">
        <v>1144</v>
      </c>
      <c r="S176" s="13">
        <v>1502</v>
      </c>
      <c r="T176" s="13">
        <v>1572</v>
      </c>
      <c r="U176" s="13">
        <v>1332</v>
      </c>
      <c r="V176" s="13">
        <v>1394</v>
      </c>
      <c r="W176" s="13">
        <v>2058</v>
      </c>
      <c r="X176" s="13">
        <v>1934</v>
      </c>
      <c r="Y176" s="13">
        <v>2268</v>
      </c>
      <c r="Z176" s="13">
        <v>1856</v>
      </c>
      <c r="AA176" s="13">
        <v>0</v>
      </c>
      <c r="AB176" s="13">
        <v>828</v>
      </c>
      <c r="AC176" s="13">
        <v>2070</v>
      </c>
      <c r="AD176" s="13">
        <v>2014</v>
      </c>
    </row>
    <row r="177" spans="1:30" ht="15.75" thickBot="1" x14ac:dyDescent="0.3">
      <c r="A177" s="9" t="s">
        <v>536</v>
      </c>
      <c r="B177" s="9" t="s">
        <v>631</v>
      </c>
      <c r="C177" s="45" t="str">
        <f t="shared" si="2"/>
        <v>MLDE243A53E</v>
      </c>
      <c r="D177" s="10" t="s">
        <v>638</v>
      </c>
      <c r="E177" s="10" t="s">
        <v>639</v>
      </c>
      <c r="F177" s="9" t="s">
        <v>261</v>
      </c>
      <c r="G177" s="9" t="s">
        <v>262</v>
      </c>
      <c r="H177" s="11">
        <v>66.666600000000003</v>
      </c>
      <c r="I177" s="12">
        <v>-154</v>
      </c>
      <c r="J177" s="13">
        <v>80</v>
      </c>
      <c r="K177" s="13">
        <v>1584</v>
      </c>
      <c r="L177" s="13">
        <v>1210</v>
      </c>
      <c r="M177" s="13">
        <v>998</v>
      </c>
      <c r="N177" s="13">
        <v>1170</v>
      </c>
      <c r="O177" s="13">
        <v>1432</v>
      </c>
      <c r="P177" s="13">
        <v>1368</v>
      </c>
      <c r="Q177" s="13">
        <v>994</v>
      </c>
      <c r="R177" s="13">
        <v>1144</v>
      </c>
      <c r="S177" s="13">
        <v>1502</v>
      </c>
      <c r="T177" s="13">
        <v>1572</v>
      </c>
      <c r="U177" s="13">
        <v>1332</v>
      </c>
      <c r="V177" s="13">
        <v>1394</v>
      </c>
      <c r="W177" s="13">
        <v>2058</v>
      </c>
      <c r="X177" s="13">
        <v>1934</v>
      </c>
      <c r="Y177" s="13">
        <v>2268</v>
      </c>
      <c r="Z177" s="13">
        <v>1856</v>
      </c>
      <c r="AA177" s="13">
        <v>0</v>
      </c>
      <c r="AB177" s="13">
        <v>828</v>
      </c>
      <c r="AC177" s="13">
        <v>2070</v>
      </c>
      <c r="AD177" s="13">
        <v>2014</v>
      </c>
    </row>
    <row r="178" spans="1:30" ht="15.75" thickBot="1" x14ac:dyDescent="0.3">
      <c r="A178" s="9" t="s">
        <v>536</v>
      </c>
      <c r="B178" s="9" t="s">
        <v>631</v>
      </c>
      <c r="C178" s="45" t="str">
        <f t="shared" si="2"/>
        <v>MLDE31006E</v>
      </c>
      <c r="D178" s="10" t="s">
        <v>640</v>
      </c>
      <c r="E178" s="10" t="s">
        <v>641</v>
      </c>
      <c r="F178" s="9" t="s">
        <v>261</v>
      </c>
      <c r="G178" s="9" t="s">
        <v>262</v>
      </c>
      <c r="H178" s="11">
        <v>85.714200000000005</v>
      </c>
      <c r="I178" s="12">
        <v>608</v>
      </c>
      <c r="J178" s="13">
        <v>0</v>
      </c>
      <c r="K178" s="13">
        <v>1280</v>
      </c>
      <c r="L178" s="13">
        <v>1370</v>
      </c>
      <c r="M178" s="13">
        <v>990</v>
      </c>
      <c r="N178" s="13">
        <v>1170</v>
      </c>
      <c r="O178" s="13">
        <v>1438</v>
      </c>
      <c r="P178" s="13">
        <v>1364</v>
      </c>
      <c r="Q178" s="13">
        <v>990</v>
      </c>
      <c r="R178" s="13">
        <v>1137</v>
      </c>
      <c r="S178" s="13">
        <v>1504</v>
      </c>
      <c r="T178" s="13">
        <v>1576</v>
      </c>
      <c r="U178" s="13">
        <v>1324</v>
      </c>
      <c r="V178" s="13">
        <v>1400</v>
      </c>
      <c r="W178" s="13">
        <v>2062</v>
      </c>
      <c r="X178" s="13">
        <v>1932</v>
      </c>
      <c r="Y178" s="13">
        <v>2248</v>
      </c>
      <c r="Z178" s="13">
        <v>1848</v>
      </c>
      <c r="AA178" s="13">
        <v>0</v>
      </c>
      <c r="AB178" s="13">
        <v>828</v>
      </c>
      <c r="AC178" s="13">
        <v>2076</v>
      </c>
      <c r="AD178" s="13">
        <v>2020</v>
      </c>
    </row>
    <row r="179" spans="1:30" ht="15.75" thickBot="1" x14ac:dyDescent="0.3">
      <c r="A179" s="9" t="s">
        <v>536</v>
      </c>
      <c r="B179" s="9" t="s">
        <v>631</v>
      </c>
      <c r="C179" s="45" t="str">
        <f t="shared" si="2"/>
        <v>MLDE31007E</v>
      </c>
      <c r="D179" s="10" t="s">
        <v>642</v>
      </c>
      <c r="E179" s="10" t="s">
        <v>643</v>
      </c>
      <c r="F179" s="9" t="s">
        <v>261</v>
      </c>
      <c r="G179" s="9" t="s">
        <v>262</v>
      </c>
      <c r="H179" s="11">
        <v>85.714200000000005</v>
      </c>
      <c r="I179" s="12">
        <v>242</v>
      </c>
      <c r="J179" s="13">
        <v>0</v>
      </c>
      <c r="K179" s="13">
        <v>1545</v>
      </c>
      <c r="L179" s="13">
        <v>1360</v>
      </c>
      <c r="M179" s="13">
        <v>1004</v>
      </c>
      <c r="N179" s="13">
        <v>1160</v>
      </c>
      <c r="O179" s="13">
        <v>1436</v>
      </c>
      <c r="P179" s="13">
        <v>1376</v>
      </c>
      <c r="Q179" s="13">
        <v>990</v>
      </c>
      <c r="R179" s="13">
        <v>1136</v>
      </c>
      <c r="S179" s="13">
        <v>1496</v>
      </c>
      <c r="T179" s="13">
        <v>1570</v>
      </c>
      <c r="U179" s="13">
        <v>1338</v>
      </c>
      <c r="V179" s="13">
        <v>1400</v>
      </c>
      <c r="W179" s="13">
        <v>2054</v>
      </c>
      <c r="X179" s="13">
        <v>1928</v>
      </c>
      <c r="Y179" s="13">
        <v>2260</v>
      </c>
      <c r="Z179" s="13">
        <v>1852</v>
      </c>
      <c r="AA179" s="13">
        <v>0</v>
      </c>
      <c r="AB179" s="13">
        <v>828</v>
      </c>
      <c r="AC179" s="13">
        <v>2076</v>
      </c>
      <c r="AD179" s="13">
        <v>2020</v>
      </c>
    </row>
    <row r="180" spans="1:30" ht="15.75" thickBot="1" x14ac:dyDescent="0.3">
      <c r="A180" s="9" t="s">
        <v>536</v>
      </c>
      <c r="B180" s="9" t="s">
        <v>644</v>
      </c>
      <c r="C180" s="45" t="str">
        <f t="shared" si="2"/>
        <v>KB3B 17G750 AE</v>
      </c>
      <c r="D180" s="10" t="s">
        <v>645</v>
      </c>
      <c r="E180" s="10" t="s">
        <v>646</v>
      </c>
      <c r="F180" s="9" t="s">
        <v>494</v>
      </c>
      <c r="G180" s="9" t="s">
        <v>262</v>
      </c>
      <c r="H180" s="11">
        <v>63.157800000000002</v>
      </c>
      <c r="I180" s="12">
        <v>40</v>
      </c>
      <c r="J180" s="13">
        <v>0</v>
      </c>
      <c r="K180" s="13">
        <v>74</v>
      </c>
      <c r="L180" s="13">
        <v>114</v>
      </c>
      <c r="M180" s="13">
        <v>0</v>
      </c>
      <c r="N180" s="13">
        <v>72</v>
      </c>
      <c r="O180" s="13">
        <v>0</v>
      </c>
      <c r="P180" s="13">
        <v>108</v>
      </c>
      <c r="Q180" s="13">
        <v>0</v>
      </c>
      <c r="R180" s="13">
        <v>102</v>
      </c>
      <c r="S180" s="13">
        <v>78</v>
      </c>
      <c r="T180" s="13">
        <v>0</v>
      </c>
      <c r="U180" s="13">
        <v>0</v>
      </c>
      <c r="V180" s="13">
        <v>126</v>
      </c>
      <c r="W180" s="13">
        <v>0</v>
      </c>
      <c r="X180" s="13">
        <v>0</v>
      </c>
      <c r="Y180" s="13">
        <v>0</v>
      </c>
      <c r="Z180" s="13">
        <v>168</v>
      </c>
      <c r="AA180" s="13">
        <v>0</v>
      </c>
      <c r="AB180" s="13">
        <v>0</v>
      </c>
      <c r="AC180" s="13">
        <v>0</v>
      </c>
      <c r="AD180" s="13">
        <v>0</v>
      </c>
    </row>
    <row r="181" spans="1:30" ht="15.75" thickBot="1" x14ac:dyDescent="0.3">
      <c r="A181" s="9" t="s">
        <v>536</v>
      </c>
      <c r="B181" s="9" t="s">
        <v>644</v>
      </c>
      <c r="C181" s="45" t="str">
        <f t="shared" si="2"/>
        <v>MLDBEE17681</v>
      </c>
      <c r="D181" s="10" t="s">
        <v>647</v>
      </c>
      <c r="E181" s="10" t="s">
        <v>648</v>
      </c>
      <c r="F181" s="9" t="s">
        <v>404</v>
      </c>
      <c r="G181" s="9" t="s">
        <v>262</v>
      </c>
      <c r="H181" s="11">
        <v>65.454499999999996</v>
      </c>
      <c r="I181" s="12">
        <v>108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304</v>
      </c>
      <c r="P181" s="13">
        <v>240</v>
      </c>
      <c r="Q181" s="13">
        <v>240</v>
      </c>
      <c r="R181" s="13">
        <v>156</v>
      </c>
      <c r="S181" s="13">
        <v>156</v>
      </c>
      <c r="T181" s="13">
        <v>156</v>
      </c>
      <c r="U181" s="13">
        <v>144</v>
      </c>
      <c r="V181" s="13">
        <v>240</v>
      </c>
      <c r="W181" s="13">
        <v>240</v>
      </c>
      <c r="X181" s="13">
        <v>168</v>
      </c>
      <c r="Y181" s="13">
        <v>216</v>
      </c>
      <c r="Z181" s="13">
        <v>0</v>
      </c>
      <c r="AA181" s="13">
        <v>132</v>
      </c>
      <c r="AB181" s="13">
        <v>132</v>
      </c>
      <c r="AC181" s="13">
        <v>144</v>
      </c>
      <c r="AD181" s="13">
        <v>156</v>
      </c>
    </row>
    <row r="182" spans="1:30" ht="15.75" thickBot="1" x14ac:dyDescent="0.3">
      <c r="A182" s="9" t="s">
        <v>536</v>
      </c>
      <c r="B182" s="9" t="s">
        <v>644</v>
      </c>
      <c r="C182" s="45" t="str">
        <f t="shared" si="2"/>
        <v>MLDBEE17693</v>
      </c>
      <c r="D182" s="10" t="s">
        <v>649</v>
      </c>
      <c r="E182" s="10" t="s">
        <v>650</v>
      </c>
      <c r="F182" s="9" t="s">
        <v>404</v>
      </c>
      <c r="G182" s="9" t="s">
        <v>262</v>
      </c>
      <c r="H182" s="11">
        <v>65.454499999999996</v>
      </c>
      <c r="I182" s="12">
        <v>115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304</v>
      </c>
      <c r="P182" s="13">
        <v>240</v>
      </c>
      <c r="Q182" s="13">
        <v>240</v>
      </c>
      <c r="R182" s="13">
        <v>156</v>
      </c>
      <c r="S182" s="13">
        <v>156</v>
      </c>
      <c r="T182" s="13">
        <v>156</v>
      </c>
      <c r="U182" s="13">
        <v>144</v>
      </c>
      <c r="V182" s="13">
        <v>240</v>
      </c>
      <c r="W182" s="13">
        <v>240</v>
      </c>
      <c r="X182" s="13">
        <v>168</v>
      </c>
      <c r="Y182" s="13">
        <v>216</v>
      </c>
      <c r="Z182" s="13">
        <v>0</v>
      </c>
      <c r="AA182" s="13">
        <v>132</v>
      </c>
      <c r="AB182" s="13">
        <v>132</v>
      </c>
      <c r="AC182" s="13">
        <v>144</v>
      </c>
      <c r="AD182" s="13">
        <v>156</v>
      </c>
    </row>
    <row r="183" spans="1:30" ht="15.75" thickBot="1" x14ac:dyDescent="0.3">
      <c r="A183" s="9" t="s">
        <v>536</v>
      </c>
      <c r="B183" s="9" t="s">
        <v>644</v>
      </c>
      <c r="C183" s="45" t="str">
        <f t="shared" si="2"/>
        <v>MLDBEE17808</v>
      </c>
      <c r="D183" s="10" t="s">
        <v>651</v>
      </c>
      <c r="E183" s="10" t="s">
        <v>652</v>
      </c>
      <c r="F183" s="9" t="s">
        <v>404</v>
      </c>
      <c r="G183" s="9" t="s">
        <v>262</v>
      </c>
      <c r="H183" s="11">
        <v>65.454499999999996</v>
      </c>
      <c r="I183" s="12">
        <v>10</v>
      </c>
      <c r="J183" s="13">
        <v>0</v>
      </c>
      <c r="K183" s="13">
        <v>77</v>
      </c>
      <c r="L183" s="13">
        <v>0</v>
      </c>
      <c r="M183" s="13">
        <v>0</v>
      </c>
      <c r="N183" s="13">
        <v>0</v>
      </c>
      <c r="O183" s="13">
        <v>180</v>
      </c>
      <c r="P183" s="13">
        <v>168</v>
      </c>
      <c r="Q183" s="13">
        <v>156</v>
      </c>
      <c r="R183" s="13">
        <v>120</v>
      </c>
      <c r="S183" s="13">
        <v>108</v>
      </c>
      <c r="T183" s="13">
        <v>108</v>
      </c>
      <c r="U183" s="13">
        <v>84</v>
      </c>
      <c r="V183" s="13">
        <v>168</v>
      </c>
      <c r="W183" s="13">
        <v>144</v>
      </c>
      <c r="X183" s="13">
        <v>120</v>
      </c>
      <c r="Y183" s="13">
        <v>84</v>
      </c>
      <c r="Z183" s="13">
        <v>0</v>
      </c>
      <c r="AA183" s="13">
        <v>96</v>
      </c>
      <c r="AB183" s="13">
        <v>84</v>
      </c>
      <c r="AC183" s="13">
        <v>72</v>
      </c>
      <c r="AD183" s="13">
        <v>108</v>
      </c>
    </row>
    <row r="184" spans="1:30" ht="15.75" thickBot="1" x14ac:dyDescent="0.3">
      <c r="A184" s="9" t="s">
        <v>536</v>
      </c>
      <c r="B184" s="9" t="s">
        <v>644</v>
      </c>
      <c r="C184" s="45" t="str">
        <f t="shared" si="2"/>
        <v>MLDBEE17853</v>
      </c>
      <c r="D184" s="10" t="s">
        <v>653</v>
      </c>
      <c r="E184" s="10" t="s">
        <v>654</v>
      </c>
      <c r="F184" s="9" t="s">
        <v>404</v>
      </c>
      <c r="G184" s="9" t="s">
        <v>262</v>
      </c>
      <c r="H184" s="11">
        <v>65.454499999999996</v>
      </c>
      <c r="I184" s="12">
        <v>24</v>
      </c>
      <c r="J184" s="13">
        <v>0</v>
      </c>
      <c r="K184" s="13">
        <v>77</v>
      </c>
      <c r="L184" s="13">
        <v>0</v>
      </c>
      <c r="M184" s="13">
        <v>0</v>
      </c>
      <c r="N184" s="13">
        <v>0</v>
      </c>
      <c r="O184" s="13">
        <v>180</v>
      </c>
      <c r="P184" s="13">
        <v>168</v>
      </c>
      <c r="Q184" s="13">
        <v>156</v>
      </c>
      <c r="R184" s="13">
        <v>120</v>
      </c>
      <c r="S184" s="13">
        <v>108</v>
      </c>
      <c r="T184" s="13">
        <v>108</v>
      </c>
      <c r="U184" s="13">
        <v>84</v>
      </c>
      <c r="V184" s="13">
        <v>168</v>
      </c>
      <c r="W184" s="13">
        <v>144</v>
      </c>
      <c r="X184" s="13">
        <v>120</v>
      </c>
      <c r="Y184" s="13">
        <v>84</v>
      </c>
      <c r="Z184" s="13">
        <v>0</v>
      </c>
      <c r="AA184" s="13">
        <v>96</v>
      </c>
      <c r="AB184" s="13">
        <v>84</v>
      </c>
      <c r="AC184" s="13">
        <v>72</v>
      </c>
      <c r="AD184" s="13">
        <v>108</v>
      </c>
    </row>
    <row r="185" spans="1:30" ht="15.75" thickBot="1" x14ac:dyDescent="0.3">
      <c r="A185" s="9" t="s">
        <v>536</v>
      </c>
      <c r="B185" s="9" t="s">
        <v>644</v>
      </c>
      <c r="C185" s="45" t="str">
        <f t="shared" si="2"/>
        <v>MLDBEE88424</v>
      </c>
      <c r="D185" s="10" t="s">
        <v>655</v>
      </c>
      <c r="E185" s="10" t="s">
        <v>656</v>
      </c>
      <c r="F185" s="9" t="s">
        <v>404</v>
      </c>
      <c r="G185" s="9" t="s">
        <v>262</v>
      </c>
      <c r="H185" s="11">
        <v>65.454499999999996</v>
      </c>
      <c r="I185" s="12">
        <v>10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106</v>
      </c>
      <c r="P185" s="13">
        <v>80</v>
      </c>
      <c r="Q185" s="13">
        <v>80</v>
      </c>
      <c r="R185" s="13">
        <v>40</v>
      </c>
      <c r="S185" s="13">
        <v>50</v>
      </c>
      <c r="T185" s="13">
        <v>50</v>
      </c>
      <c r="U185" s="13">
        <v>40</v>
      </c>
      <c r="V185" s="13">
        <v>90</v>
      </c>
      <c r="W185" s="13">
        <v>90</v>
      </c>
      <c r="X185" s="13">
        <v>60</v>
      </c>
      <c r="Y185" s="13">
        <v>110</v>
      </c>
      <c r="Z185" s="13">
        <v>0</v>
      </c>
      <c r="AA185" s="13">
        <v>50</v>
      </c>
      <c r="AB185" s="13">
        <v>50</v>
      </c>
      <c r="AC185" s="13">
        <v>60</v>
      </c>
      <c r="AD185" s="13">
        <v>60</v>
      </c>
    </row>
    <row r="186" spans="1:30" ht="15.75" thickBot="1" x14ac:dyDescent="0.3">
      <c r="A186" s="9" t="s">
        <v>536</v>
      </c>
      <c r="B186" s="9" t="s">
        <v>644</v>
      </c>
      <c r="C186" s="45" t="str">
        <f t="shared" si="2"/>
        <v>MLDBEE88523</v>
      </c>
      <c r="D186" s="10" t="s">
        <v>657</v>
      </c>
      <c r="E186" s="10" t="s">
        <v>658</v>
      </c>
      <c r="F186" s="9" t="s">
        <v>404</v>
      </c>
      <c r="G186" s="9" t="s">
        <v>262</v>
      </c>
      <c r="H186" s="11">
        <v>65.454499999999996</v>
      </c>
      <c r="I186" s="12">
        <v>15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106</v>
      </c>
      <c r="P186" s="13">
        <v>80</v>
      </c>
      <c r="Q186" s="13">
        <v>80</v>
      </c>
      <c r="R186" s="13">
        <v>40</v>
      </c>
      <c r="S186" s="13">
        <v>50</v>
      </c>
      <c r="T186" s="13">
        <v>50</v>
      </c>
      <c r="U186" s="13">
        <v>40</v>
      </c>
      <c r="V186" s="13">
        <v>90</v>
      </c>
      <c r="W186" s="13">
        <v>90</v>
      </c>
      <c r="X186" s="13">
        <v>60</v>
      </c>
      <c r="Y186" s="13">
        <v>110</v>
      </c>
      <c r="Z186" s="13">
        <v>0</v>
      </c>
      <c r="AA186" s="13">
        <v>50</v>
      </c>
      <c r="AB186" s="13">
        <v>50</v>
      </c>
      <c r="AC186" s="13">
        <v>60</v>
      </c>
      <c r="AD186" s="13">
        <v>60</v>
      </c>
    </row>
    <row r="187" spans="1:30" ht="15.75" thickBot="1" x14ac:dyDescent="0.3">
      <c r="A187" s="9" t="s">
        <v>536</v>
      </c>
      <c r="B187" s="9" t="s">
        <v>644</v>
      </c>
      <c r="C187" s="45" t="str">
        <f t="shared" si="2"/>
        <v>MLDBEE90860</v>
      </c>
      <c r="D187" s="10" t="s">
        <v>659</v>
      </c>
      <c r="E187" s="10" t="s">
        <v>660</v>
      </c>
      <c r="F187" s="9" t="s">
        <v>404</v>
      </c>
      <c r="G187" s="9" t="s">
        <v>262</v>
      </c>
      <c r="H187" s="11">
        <v>73.469300000000004</v>
      </c>
      <c r="I187" s="8"/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47</v>
      </c>
      <c r="P187" s="13">
        <v>152</v>
      </c>
      <c r="Q187" s="13">
        <v>152</v>
      </c>
      <c r="R187" s="13">
        <v>76</v>
      </c>
      <c r="S187" s="13">
        <v>76</v>
      </c>
      <c r="T187" s="13">
        <v>152</v>
      </c>
      <c r="U187" s="13">
        <v>76</v>
      </c>
      <c r="V187" s="13">
        <v>228</v>
      </c>
      <c r="W187" s="13">
        <v>152</v>
      </c>
      <c r="X187" s="13">
        <v>76</v>
      </c>
      <c r="Y187" s="13">
        <v>76</v>
      </c>
      <c r="Z187" s="13">
        <v>0</v>
      </c>
      <c r="AA187" s="13">
        <v>76</v>
      </c>
      <c r="AB187" s="13">
        <v>76</v>
      </c>
      <c r="AC187" s="13">
        <v>76</v>
      </c>
      <c r="AD187" s="13">
        <v>152</v>
      </c>
    </row>
    <row r="188" spans="1:30" ht="15.75" thickBot="1" x14ac:dyDescent="0.3">
      <c r="A188" s="9" t="s">
        <v>536</v>
      </c>
      <c r="B188" s="9" t="s">
        <v>644</v>
      </c>
      <c r="C188" s="45" t="str">
        <f t="shared" si="2"/>
        <v>MLDBEJ25370</v>
      </c>
      <c r="D188" s="10" t="s">
        <v>661</v>
      </c>
      <c r="E188" s="10" t="s">
        <v>662</v>
      </c>
      <c r="F188" s="9" t="s">
        <v>404</v>
      </c>
      <c r="G188" s="9" t="s">
        <v>262</v>
      </c>
      <c r="H188" s="11">
        <v>66.666600000000003</v>
      </c>
      <c r="I188" s="12">
        <v>15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68</v>
      </c>
      <c r="Q188" s="13">
        <v>72</v>
      </c>
      <c r="R188" s="13">
        <v>48</v>
      </c>
      <c r="S188" s="13">
        <v>36</v>
      </c>
      <c r="T188" s="13">
        <v>48</v>
      </c>
      <c r="U188" s="13">
        <v>48</v>
      </c>
      <c r="V188" s="13">
        <v>84</v>
      </c>
      <c r="W188" s="13">
        <v>96</v>
      </c>
      <c r="X188" s="13">
        <v>60</v>
      </c>
      <c r="Y188" s="13">
        <v>108</v>
      </c>
      <c r="Z188" s="13">
        <v>0</v>
      </c>
      <c r="AA188" s="13">
        <v>48</v>
      </c>
      <c r="AB188" s="13">
        <v>48</v>
      </c>
      <c r="AC188" s="13">
        <v>60</v>
      </c>
      <c r="AD188" s="13">
        <v>60</v>
      </c>
    </row>
    <row r="189" spans="1:30" ht="15.75" thickBot="1" x14ac:dyDescent="0.3">
      <c r="A189" s="9" t="s">
        <v>536</v>
      </c>
      <c r="B189" s="9" t="s">
        <v>644</v>
      </c>
      <c r="C189" s="45" t="str">
        <f t="shared" si="2"/>
        <v>MLDBEJ25375</v>
      </c>
      <c r="D189" s="10" t="s">
        <v>663</v>
      </c>
      <c r="E189" s="10" t="s">
        <v>664</v>
      </c>
      <c r="F189" s="9" t="s">
        <v>404</v>
      </c>
      <c r="G189" s="9" t="s">
        <v>262</v>
      </c>
      <c r="H189" s="11">
        <v>66.666600000000003</v>
      </c>
      <c r="I189" s="12">
        <v>13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68</v>
      </c>
      <c r="Q189" s="13">
        <v>72</v>
      </c>
      <c r="R189" s="13">
        <v>48</v>
      </c>
      <c r="S189" s="13">
        <v>36</v>
      </c>
      <c r="T189" s="13">
        <v>48</v>
      </c>
      <c r="U189" s="13">
        <v>48</v>
      </c>
      <c r="V189" s="13">
        <v>84</v>
      </c>
      <c r="W189" s="13">
        <v>96</v>
      </c>
      <c r="X189" s="13">
        <v>60</v>
      </c>
      <c r="Y189" s="13">
        <v>108</v>
      </c>
      <c r="Z189" s="13">
        <v>0</v>
      </c>
      <c r="AA189" s="13">
        <v>48</v>
      </c>
      <c r="AB189" s="13">
        <v>48</v>
      </c>
      <c r="AC189" s="13">
        <v>60</v>
      </c>
      <c r="AD189" s="13">
        <v>60</v>
      </c>
    </row>
    <row r="190" spans="1:30" ht="15.75" thickBot="1" x14ac:dyDescent="0.3">
      <c r="A190" s="9" t="s">
        <v>536</v>
      </c>
      <c r="B190" s="9" t="s">
        <v>644</v>
      </c>
      <c r="C190" s="45" t="str">
        <f t="shared" si="2"/>
        <v>MLDBEP59461</v>
      </c>
      <c r="D190" s="10" t="s">
        <v>665</v>
      </c>
      <c r="E190" s="10" t="s">
        <v>444</v>
      </c>
      <c r="F190" s="9" t="s">
        <v>404</v>
      </c>
      <c r="G190" s="9" t="s">
        <v>262</v>
      </c>
      <c r="H190" s="11">
        <v>71.287099999999995</v>
      </c>
      <c r="I190" s="12">
        <v>36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128</v>
      </c>
      <c r="P190" s="13">
        <v>240</v>
      </c>
      <c r="Q190" s="13">
        <v>240</v>
      </c>
      <c r="R190" s="13">
        <v>159</v>
      </c>
      <c r="S190" s="13">
        <v>165</v>
      </c>
      <c r="T190" s="13">
        <v>156</v>
      </c>
      <c r="U190" s="13">
        <v>144</v>
      </c>
      <c r="V190" s="13">
        <v>240</v>
      </c>
      <c r="W190" s="13">
        <v>240</v>
      </c>
      <c r="X190" s="13">
        <v>168</v>
      </c>
      <c r="Y190" s="13">
        <v>219</v>
      </c>
      <c r="Z190" s="13">
        <v>3</v>
      </c>
      <c r="AA190" s="13">
        <v>135</v>
      </c>
      <c r="AB190" s="13">
        <v>147</v>
      </c>
      <c r="AC190" s="13">
        <v>132</v>
      </c>
      <c r="AD190" s="13">
        <v>156</v>
      </c>
    </row>
    <row r="191" spans="1:30" ht="15.75" thickBot="1" x14ac:dyDescent="0.3">
      <c r="A191" s="9" t="s">
        <v>536</v>
      </c>
      <c r="B191" s="9" t="s">
        <v>644</v>
      </c>
      <c r="C191" s="45" t="str">
        <f t="shared" si="2"/>
        <v>MLDBEP59463</v>
      </c>
      <c r="D191" s="10" t="s">
        <v>666</v>
      </c>
      <c r="E191" s="10" t="s">
        <v>667</v>
      </c>
      <c r="F191" s="9" t="s">
        <v>404</v>
      </c>
      <c r="G191" s="9" t="s">
        <v>262</v>
      </c>
      <c r="H191" s="11">
        <v>71.287099999999995</v>
      </c>
      <c r="I191" s="12">
        <v>75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128</v>
      </c>
      <c r="P191" s="13">
        <v>240</v>
      </c>
      <c r="Q191" s="13">
        <v>240</v>
      </c>
      <c r="R191" s="13">
        <v>159</v>
      </c>
      <c r="S191" s="13">
        <v>165</v>
      </c>
      <c r="T191" s="13">
        <v>156</v>
      </c>
      <c r="U191" s="13">
        <v>144</v>
      </c>
      <c r="V191" s="13">
        <v>240</v>
      </c>
      <c r="W191" s="13">
        <v>240</v>
      </c>
      <c r="X191" s="13">
        <v>168</v>
      </c>
      <c r="Y191" s="13">
        <v>219</v>
      </c>
      <c r="Z191" s="13">
        <v>3</v>
      </c>
      <c r="AA191" s="13">
        <v>135</v>
      </c>
      <c r="AB191" s="13">
        <v>147</v>
      </c>
      <c r="AC191" s="13">
        <v>132</v>
      </c>
      <c r="AD191" s="13">
        <v>156</v>
      </c>
    </row>
    <row r="192" spans="1:30" ht="15.75" thickBot="1" x14ac:dyDescent="0.3">
      <c r="A192" s="9" t="s">
        <v>536</v>
      </c>
      <c r="B192" s="9" t="s">
        <v>644</v>
      </c>
      <c r="C192" s="45" t="str">
        <f t="shared" si="2"/>
        <v>MLDE291A18PIA01</v>
      </c>
      <c r="D192" s="10" t="s">
        <v>668</v>
      </c>
      <c r="E192" s="10" t="s">
        <v>669</v>
      </c>
      <c r="F192" s="9" t="s">
        <v>261</v>
      </c>
      <c r="G192" s="9" t="s">
        <v>262</v>
      </c>
      <c r="H192" s="12">
        <v>160</v>
      </c>
      <c r="I192" s="8"/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189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202</v>
      </c>
      <c r="AA192" s="13">
        <v>0</v>
      </c>
      <c r="AB192" s="13">
        <v>0</v>
      </c>
      <c r="AC192" s="13">
        <v>0</v>
      </c>
      <c r="AD192" s="13">
        <v>0</v>
      </c>
    </row>
    <row r="193" spans="1:30" ht="15.75" thickBot="1" x14ac:dyDescent="0.3">
      <c r="A193" s="9" t="s">
        <v>536</v>
      </c>
      <c r="B193" s="9" t="s">
        <v>670</v>
      </c>
      <c r="C193" s="45" t="str">
        <f t="shared" si="2"/>
        <v>JL34 17626 AF</v>
      </c>
      <c r="D193" s="10" t="s">
        <v>671</v>
      </c>
      <c r="E193" s="10" t="s">
        <v>672</v>
      </c>
      <c r="F193" s="9" t="s">
        <v>494</v>
      </c>
      <c r="G193" s="9" t="s">
        <v>262</v>
      </c>
      <c r="H193" s="11">
        <v>65.454499999999996</v>
      </c>
      <c r="I193" s="12">
        <v>511</v>
      </c>
      <c r="J193" s="13">
        <v>0</v>
      </c>
      <c r="K193" s="13">
        <v>35</v>
      </c>
      <c r="L193" s="13">
        <v>0</v>
      </c>
      <c r="M193" s="13">
        <v>0</v>
      </c>
      <c r="N193" s="13">
        <v>0</v>
      </c>
      <c r="O193" s="13">
        <v>534</v>
      </c>
      <c r="P193" s="13">
        <v>0</v>
      </c>
      <c r="Q193" s="13">
        <v>0</v>
      </c>
      <c r="R193" s="13">
        <v>0</v>
      </c>
      <c r="S193" s="13">
        <v>498</v>
      </c>
      <c r="T193" s="13">
        <v>0</v>
      </c>
      <c r="U193" s="13">
        <v>0</v>
      </c>
      <c r="V193" s="13">
        <v>768</v>
      </c>
      <c r="W193" s="13">
        <v>0</v>
      </c>
      <c r="X193" s="13">
        <v>0</v>
      </c>
      <c r="Y193" s="13">
        <v>0</v>
      </c>
      <c r="Z193" s="13">
        <v>576</v>
      </c>
      <c r="AA193" s="13">
        <v>0</v>
      </c>
      <c r="AB193" s="13">
        <v>0</v>
      </c>
      <c r="AC193" s="13">
        <v>0</v>
      </c>
      <c r="AD193" s="13">
        <v>0</v>
      </c>
    </row>
    <row r="194" spans="1:30" ht="15.75" thickBot="1" x14ac:dyDescent="0.3">
      <c r="A194" s="9" t="s">
        <v>536</v>
      </c>
      <c r="B194" s="9" t="s">
        <v>670</v>
      </c>
      <c r="C194" s="45" t="str">
        <f t="shared" si="2"/>
        <v>MLD2623943SUB00</v>
      </c>
      <c r="D194" s="10" t="s">
        <v>673</v>
      </c>
      <c r="E194" s="10" t="s">
        <v>674</v>
      </c>
      <c r="F194" s="9" t="s">
        <v>494</v>
      </c>
      <c r="G194" s="9" t="s">
        <v>262</v>
      </c>
      <c r="H194" s="12">
        <v>60</v>
      </c>
      <c r="I194" s="12">
        <v>16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6</v>
      </c>
      <c r="W194" s="13">
        <v>0</v>
      </c>
      <c r="X194" s="13">
        <v>0</v>
      </c>
      <c r="Y194" s="13">
        <v>0</v>
      </c>
      <c r="Z194" s="13">
        <v>4</v>
      </c>
      <c r="AA194" s="13">
        <v>0</v>
      </c>
      <c r="AB194" s="13">
        <v>0</v>
      </c>
      <c r="AC194" s="13">
        <v>0</v>
      </c>
      <c r="AD194" s="13">
        <v>0</v>
      </c>
    </row>
    <row r="195" spans="1:30" ht="15.75" thickBot="1" x14ac:dyDescent="0.3">
      <c r="A195" s="9" t="s">
        <v>536</v>
      </c>
      <c r="B195" s="9" t="s">
        <v>670</v>
      </c>
      <c r="C195" s="45" t="str">
        <f t="shared" si="2"/>
        <v>MLDBEI78141</v>
      </c>
      <c r="D195" s="10" t="s">
        <v>675</v>
      </c>
      <c r="E195" s="10" t="s">
        <v>676</v>
      </c>
      <c r="F195" s="9" t="s">
        <v>404</v>
      </c>
      <c r="G195" s="9" t="s">
        <v>262</v>
      </c>
      <c r="H195" s="12">
        <v>80</v>
      </c>
      <c r="I195" s="8"/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48</v>
      </c>
      <c r="P195" s="13">
        <v>80</v>
      </c>
      <c r="Q195" s="13">
        <v>80</v>
      </c>
      <c r="R195" s="13">
        <v>40</v>
      </c>
      <c r="S195" s="13">
        <v>50</v>
      </c>
      <c r="T195" s="13">
        <v>40</v>
      </c>
      <c r="U195" s="13">
        <v>50</v>
      </c>
      <c r="V195" s="13">
        <v>90</v>
      </c>
      <c r="W195" s="13">
        <v>90</v>
      </c>
      <c r="X195" s="13">
        <v>50</v>
      </c>
      <c r="Y195" s="13">
        <v>120</v>
      </c>
      <c r="Z195" s="13">
        <v>0</v>
      </c>
      <c r="AA195" s="13">
        <v>50</v>
      </c>
      <c r="AB195" s="13">
        <v>50</v>
      </c>
      <c r="AC195" s="13">
        <v>60</v>
      </c>
      <c r="AD195" s="13">
        <v>50</v>
      </c>
    </row>
    <row r="196" spans="1:30" ht="15.75" thickBot="1" x14ac:dyDescent="0.3">
      <c r="A196" s="9" t="s">
        <v>536</v>
      </c>
      <c r="B196" s="9" t="s">
        <v>670</v>
      </c>
      <c r="C196" s="45" t="str">
        <f t="shared" si="2"/>
        <v>MLDE23942-A</v>
      </c>
      <c r="D196" s="10" t="s">
        <v>677</v>
      </c>
      <c r="E196" s="10" t="s">
        <v>678</v>
      </c>
      <c r="F196" s="9" t="s">
        <v>261</v>
      </c>
      <c r="G196" s="9" t="s">
        <v>262</v>
      </c>
      <c r="H196" s="11">
        <v>54.545400000000001</v>
      </c>
      <c r="I196" s="12">
        <v>1997</v>
      </c>
      <c r="J196" s="13">
        <v>155</v>
      </c>
      <c r="K196" s="13">
        <v>1491</v>
      </c>
      <c r="L196" s="13">
        <v>735</v>
      </c>
      <c r="M196" s="13">
        <v>1016</v>
      </c>
      <c r="N196" s="13">
        <v>1214</v>
      </c>
      <c r="O196" s="13">
        <v>1424</v>
      </c>
      <c r="P196" s="13">
        <v>832</v>
      </c>
      <c r="Q196" s="13">
        <v>674</v>
      </c>
      <c r="R196" s="13">
        <v>1236</v>
      </c>
      <c r="S196" s="13">
        <v>1330</v>
      </c>
      <c r="T196" s="13">
        <v>1335</v>
      </c>
      <c r="U196" s="13">
        <v>866</v>
      </c>
      <c r="V196" s="13">
        <v>1832</v>
      </c>
      <c r="W196" s="13">
        <v>1824</v>
      </c>
      <c r="X196" s="13">
        <v>1446</v>
      </c>
      <c r="Y196" s="13">
        <v>2651</v>
      </c>
      <c r="Z196" s="13">
        <v>3</v>
      </c>
      <c r="AA196" s="13">
        <v>0</v>
      </c>
      <c r="AB196" s="13">
        <v>1828</v>
      </c>
      <c r="AC196" s="13">
        <v>1856</v>
      </c>
      <c r="AD196" s="13">
        <v>1668</v>
      </c>
    </row>
    <row r="197" spans="1:30" ht="15.75" thickBot="1" x14ac:dyDescent="0.3">
      <c r="A197" s="9" t="s">
        <v>536</v>
      </c>
      <c r="B197" s="9" t="s">
        <v>670</v>
      </c>
      <c r="C197" s="45" t="str">
        <f t="shared" si="2"/>
        <v>MLDE23942-A-INSERT</v>
      </c>
      <c r="D197" s="10" t="s">
        <v>679</v>
      </c>
      <c r="E197" s="10" t="s">
        <v>680</v>
      </c>
      <c r="F197" s="9" t="s">
        <v>261</v>
      </c>
      <c r="G197" s="9" t="s">
        <v>262</v>
      </c>
      <c r="H197" s="11">
        <v>61.0169</v>
      </c>
      <c r="I197" s="12">
        <v>1000</v>
      </c>
      <c r="J197" s="13">
        <v>0</v>
      </c>
      <c r="K197" s="13">
        <v>0</v>
      </c>
      <c r="L197" s="13">
        <v>0</v>
      </c>
      <c r="M197" s="13">
        <v>259</v>
      </c>
      <c r="N197" s="13">
        <v>269</v>
      </c>
      <c r="O197" s="13">
        <v>343</v>
      </c>
      <c r="P197" s="13">
        <v>416</v>
      </c>
      <c r="Q197" s="13">
        <v>357</v>
      </c>
      <c r="R197" s="13">
        <v>471</v>
      </c>
      <c r="S197" s="13">
        <v>510</v>
      </c>
      <c r="T197" s="13">
        <v>478</v>
      </c>
      <c r="U197" s="13">
        <v>337</v>
      </c>
      <c r="V197" s="13">
        <v>642</v>
      </c>
      <c r="W197" s="13">
        <v>572</v>
      </c>
      <c r="X197" s="13">
        <v>582</v>
      </c>
      <c r="Y197" s="13">
        <v>945</v>
      </c>
      <c r="Z197" s="13">
        <v>0</v>
      </c>
      <c r="AA197" s="13">
        <v>0</v>
      </c>
      <c r="AB197" s="13">
        <v>606</v>
      </c>
      <c r="AC197" s="13">
        <v>584</v>
      </c>
      <c r="AD197" s="13">
        <v>543</v>
      </c>
    </row>
    <row r="198" spans="1:30" ht="15.75" thickBot="1" x14ac:dyDescent="0.3">
      <c r="A198" s="9" t="s">
        <v>536</v>
      </c>
      <c r="B198" s="9" t="s">
        <v>670</v>
      </c>
      <c r="C198" s="45" t="str">
        <f t="shared" ref="C198:C261" si="3">TRIM(D198)</f>
        <v>MLDE23943-A-INSERT</v>
      </c>
      <c r="D198" s="10" t="s">
        <v>681</v>
      </c>
      <c r="E198" s="10" t="s">
        <v>682</v>
      </c>
      <c r="F198" s="9" t="s">
        <v>261</v>
      </c>
      <c r="G198" s="9" t="s">
        <v>262</v>
      </c>
      <c r="H198" s="11">
        <v>61.0169</v>
      </c>
      <c r="I198" s="12">
        <v>111</v>
      </c>
      <c r="J198" s="13">
        <v>0</v>
      </c>
      <c r="K198" s="13">
        <v>528</v>
      </c>
      <c r="L198" s="13">
        <v>296</v>
      </c>
      <c r="M198" s="13">
        <v>293</v>
      </c>
      <c r="N198" s="13">
        <v>253</v>
      </c>
      <c r="O198" s="13">
        <v>343</v>
      </c>
      <c r="P198" s="13">
        <v>416</v>
      </c>
      <c r="Q198" s="13">
        <v>357</v>
      </c>
      <c r="R198" s="13">
        <v>485</v>
      </c>
      <c r="S198" s="13">
        <v>512</v>
      </c>
      <c r="T198" s="13">
        <v>478</v>
      </c>
      <c r="U198" s="13">
        <v>337</v>
      </c>
      <c r="V198" s="13">
        <v>657</v>
      </c>
      <c r="W198" s="13">
        <v>569</v>
      </c>
      <c r="X198" s="13">
        <v>582</v>
      </c>
      <c r="Y198" s="13">
        <v>945</v>
      </c>
      <c r="Z198" s="13">
        <v>7</v>
      </c>
      <c r="AA198" s="13">
        <v>0</v>
      </c>
      <c r="AB198" s="13">
        <v>606</v>
      </c>
      <c r="AC198" s="13">
        <v>584</v>
      </c>
      <c r="AD198" s="13">
        <v>543</v>
      </c>
    </row>
    <row r="199" spans="1:30" ht="15.75" thickBot="1" x14ac:dyDescent="0.3">
      <c r="A199" s="9" t="s">
        <v>536</v>
      </c>
      <c r="B199" s="9" t="s">
        <v>670</v>
      </c>
      <c r="C199" s="45" t="str">
        <f t="shared" si="3"/>
        <v>MLDE23943-B</v>
      </c>
      <c r="D199" s="10" t="s">
        <v>683</v>
      </c>
      <c r="E199" s="10" t="s">
        <v>684</v>
      </c>
      <c r="F199" s="9" t="s">
        <v>261</v>
      </c>
      <c r="G199" s="9" t="s">
        <v>262</v>
      </c>
      <c r="H199" s="11">
        <v>54.545400000000001</v>
      </c>
      <c r="I199" s="12">
        <v>1128</v>
      </c>
      <c r="J199" s="13">
        <v>22</v>
      </c>
      <c r="K199" s="13">
        <v>1491</v>
      </c>
      <c r="L199" s="13">
        <v>734</v>
      </c>
      <c r="M199" s="13">
        <v>1016</v>
      </c>
      <c r="N199" s="13">
        <v>1213</v>
      </c>
      <c r="O199" s="13">
        <v>1424</v>
      </c>
      <c r="P199" s="13">
        <v>835</v>
      </c>
      <c r="Q199" s="13">
        <v>673</v>
      </c>
      <c r="R199" s="13">
        <v>1240</v>
      </c>
      <c r="S199" s="13">
        <v>1327</v>
      </c>
      <c r="T199" s="13">
        <v>1333</v>
      </c>
      <c r="U199" s="13">
        <v>866</v>
      </c>
      <c r="V199" s="13">
        <v>1829</v>
      </c>
      <c r="W199" s="13">
        <v>1826</v>
      </c>
      <c r="X199" s="13">
        <v>1448</v>
      </c>
      <c r="Y199" s="13">
        <v>2649</v>
      </c>
      <c r="Z199" s="13">
        <v>0</v>
      </c>
      <c r="AA199" s="13">
        <v>0</v>
      </c>
      <c r="AB199" s="13">
        <v>1830</v>
      </c>
      <c r="AC199" s="13">
        <v>1855</v>
      </c>
      <c r="AD199" s="13">
        <v>1667</v>
      </c>
    </row>
    <row r="200" spans="1:30" ht="15.75" thickBot="1" x14ac:dyDescent="0.3">
      <c r="A200" s="9" t="s">
        <v>536</v>
      </c>
      <c r="B200" s="9" t="s">
        <v>670</v>
      </c>
      <c r="C200" s="45" t="str">
        <f t="shared" si="3"/>
        <v>MLDE27406-G</v>
      </c>
      <c r="D200" s="10" t="s">
        <v>685</v>
      </c>
      <c r="E200" s="10" t="s">
        <v>686</v>
      </c>
      <c r="F200" s="9" t="s">
        <v>261</v>
      </c>
      <c r="G200" s="9" t="s">
        <v>262</v>
      </c>
      <c r="H200" s="11">
        <v>54.545400000000001</v>
      </c>
      <c r="I200" s="12">
        <v>908</v>
      </c>
      <c r="J200" s="13">
        <v>155</v>
      </c>
      <c r="K200" s="13">
        <v>1491</v>
      </c>
      <c r="L200" s="13">
        <v>735</v>
      </c>
      <c r="M200" s="13">
        <v>1016</v>
      </c>
      <c r="N200" s="13">
        <v>1214</v>
      </c>
      <c r="O200" s="13">
        <v>1424</v>
      </c>
      <c r="P200" s="13">
        <v>832</v>
      </c>
      <c r="Q200" s="13">
        <v>674</v>
      </c>
      <c r="R200" s="13">
        <v>1236</v>
      </c>
      <c r="S200" s="13">
        <v>1330</v>
      </c>
      <c r="T200" s="13">
        <v>1335</v>
      </c>
      <c r="U200" s="13">
        <v>866</v>
      </c>
      <c r="V200" s="13">
        <v>1832</v>
      </c>
      <c r="W200" s="13">
        <v>1824</v>
      </c>
      <c r="X200" s="13">
        <v>1446</v>
      </c>
      <c r="Y200" s="13">
        <v>2651</v>
      </c>
      <c r="Z200" s="13">
        <v>3</v>
      </c>
      <c r="AA200" s="13">
        <v>0</v>
      </c>
      <c r="AB200" s="13">
        <v>1828</v>
      </c>
      <c r="AC200" s="13">
        <v>1856</v>
      </c>
      <c r="AD200" s="13">
        <v>1668</v>
      </c>
    </row>
    <row r="201" spans="1:30" ht="15.75" thickBot="1" x14ac:dyDescent="0.3">
      <c r="A201" s="9" t="s">
        <v>536</v>
      </c>
      <c r="B201" s="9" t="s">
        <v>670</v>
      </c>
      <c r="C201" s="45" t="str">
        <f t="shared" si="3"/>
        <v>MLDE27406-M</v>
      </c>
      <c r="D201" s="10" t="s">
        <v>687</v>
      </c>
      <c r="E201" s="10" t="s">
        <v>688</v>
      </c>
      <c r="F201" s="9" t="s">
        <v>261</v>
      </c>
      <c r="G201" s="9" t="s">
        <v>262</v>
      </c>
      <c r="H201" s="11">
        <v>61.0169</v>
      </c>
      <c r="I201" s="12">
        <v>1049</v>
      </c>
      <c r="J201" s="13">
        <v>0</v>
      </c>
      <c r="K201" s="13">
        <v>0</v>
      </c>
      <c r="L201" s="13">
        <v>0</v>
      </c>
      <c r="M201" s="13">
        <v>259</v>
      </c>
      <c r="N201" s="13">
        <v>269</v>
      </c>
      <c r="O201" s="13">
        <v>343</v>
      </c>
      <c r="P201" s="13">
        <v>416</v>
      </c>
      <c r="Q201" s="13">
        <v>357</v>
      </c>
      <c r="R201" s="13">
        <v>471</v>
      </c>
      <c r="S201" s="13">
        <v>510</v>
      </c>
      <c r="T201" s="13">
        <v>478</v>
      </c>
      <c r="U201" s="13">
        <v>337</v>
      </c>
      <c r="V201" s="13">
        <v>642</v>
      </c>
      <c r="W201" s="13">
        <v>572</v>
      </c>
      <c r="X201" s="13">
        <v>582</v>
      </c>
      <c r="Y201" s="13">
        <v>945</v>
      </c>
      <c r="Z201" s="13">
        <v>0</v>
      </c>
      <c r="AA201" s="13">
        <v>0</v>
      </c>
      <c r="AB201" s="13">
        <v>606</v>
      </c>
      <c r="AC201" s="13">
        <v>584</v>
      </c>
      <c r="AD201" s="13">
        <v>543</v>
      </c>
    </row>
    <row r="202" spans="1:30" ht="15.75" thickBot="1" x14ac:dyDescent="0.3">
      <c r="A202" s="9" t="s">
        <v>536</v>
      </c>
      <c r="B202" s="9" t="s">
        <v>670</v>
      </c>
      <c r="C202" s="45" t="str">
        <f t="shared" si="3"/>
        <v>MLDE27407-G</v>
      </c>
      <c r="D202" s="10" t="s">
        <v>689</v>
      </c>
      <c r="E202" s="10" t="s">
        <v>690</v>
      </c>
      <c r="F202" s="9" t="s">
        <v>261</v>
      </c>
      <c r="G202" s="9" t="s">
        <v>262</v>
      </c>
      <c r="H202" s="11">
        <v>54.545400000000001</v>
      </c>
      <c r="I202" s="12">
        <v>713</v>
      </c>
      <c r="J202" s="13">
        <v>22</v>
      </c>
      <c r="K202" s="13">
        <v>1491</v>
      </c>
      <c r="L202" s="13">
        <v>734</v>
      </c>
      <c r="M202" s="13">
        <v>1016</v>
      </c>
      <c r="N202" s="13">
        <v>1213</v>
      </c>
      <c r="O202" s="13">
        <v>1424</v>
      </c>
      <c r="P202" s="13">
        <v>835</v>
      </c>
      <c r="Q202" s="13">
        <v>673</v>
      </c>
      <c r="R202" s="13">
        <v>1240</v>
      </c>
      <c r="S202" s="13">
        <v>1327</v>
      </c>
      <c r="T202" s="13">
        <v>1333</v>
      </c>
      <c r="U202" s="13">
        <v>866</v>
      </c>
      <c r="V202" s="13">
        <v>1829</v>
      </c>
      <c r="W202" s="13">
        <v>1826</v>
      </c>
      <c r="X202" s="13">
        <v>1448</v>
      </c>
      <c r="Y202" s="13">
        <v>2649</v>
      </c>
      <c r="Z202" s="13">
        <v>0</v>
      </c>
      <c r="AA202" s="13">
        <v>0</v>
      </c>
      <c r="AB202" s="13">
        <v>1830</v>
      </c>
      <c r="AC202" s="13">
        <v>1855</v>
      </c>
      <c r="AD202" s="13">
        <v>1667</v>
      </c>
    </row>
    <row r="203" spans="1:30" ht="15.75" thickBot="1" x14ac:dyDescent="0.3">
      <c r="A203" s="9" t="s">
        <v>536</v>
      </c>
      <c r="B203" s="9" t="s">
        <v>670</v>
      </c>
      <c r="C203" s="45" t="str">
        <f t="shared" si="3"/>
        <v>MLDE27407-M</v>
      </c>
      <c r="D203" s="10" t="s">
        <v>691</v>
      </c>
      <c r="E203" s="10" t="s">
        <v>692</v>
      </c>
      <c r="F203" s="9" t="s">
        <v>261</v>
      </c>
      <c r="G203" s="9" t="s">
        <v>262</v>
      </c>
      <c r="H203" s="11">
        <v>61.0169</v>
      </c>
      <c r="I203" s="12">
        <v>594</v>
      </c>
      <c r="J203" s="13">
        <v>0</v>
      </c>
      <c r="K203" s="13">
        <v>528</v>
      </c>
      <c r="L203" s="13">
        <v>296</v>
      </c>
      <c r="M203" s="13">
        <v>293</v>
      </c>
      <c r="N203" s="13">
        <v>253</v>
      </c>
      <c r="O203" s="13">
        <v>343</v>
      </c>
      <c r="P203" s="13">
        <v>416</v>
      </c>
      <c r="Q203" s="13">
        <v>357</v>
      </c>
      <c r="R203" s="13">
        <v>485</v>
      </c>
      <c r="S203" s="13">
        <v>512</v>
      </c>
      <c r="T203" s="13">
        <v>478</v>
      </c>
      <c r="U203" s="13">
        <v>337</v>
      </c>
      <c r="V203" s="13">
        <v>657</v>
      </c>
      <c r="W203" s="13">
        <v>569</v>
      </c>
      <c r="X203" s="13">
        <v>582</v>
      </c>
      <c r="Y203" s="13">
        <v>945</v>
      </c>
      <c r="Z203" s="13">
        <v>7</v>
      </c>
      <c r="AA203" s="13">
        <v>0</v>
      </c>
      <c r="AB203" s="13">
        <v>606</v>
      </c>
      <c r="AC203" s="13">
        <v>584</v>
      </c>
      <c r="AD203" s="13">
        <v>543</v>
      </c>
    </row>
    <row r="204" spans="1:30" ht="15.75" thickBot="1" x14ac:dyDescent="0.3">
      <c r="A204" s="9" t="s">
        <v>536</v>
      </c>
      <c r="B204" s="9" t="s">
        <v>693</v>
      </c>
      <c r="C204" s="45" t="str">
        <f t="shared" si="3"/>
        <v>85154936</v>
      </c>
      <c r="D204" s="10" t="s">
        <v>694</v>
      </c>
      <c r="E204" s="10" t="s">
        <v>695</v>
      </c>
      <c r="F204" s="9" t="s">
        <v>404</v>
      </c>
      <c r="G204" s="9" t="s">
        <v>262</v>
      </c>
      <c r="H204" s="12">
        <v>72</v>
      </c>
      <c r="I204" s="12">
        <v>663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591</v>
      </c>
      <c r="Q204" s="13">
        <v>0</v>
      </c>
      <c r="R204" s="13">
        <v>0</v>
      </c>
      <c r="S204" s="13">
        <v>0</v>
      </c>
      <c r="T204" s="13">
        <v>612</v>
      </c>
      <c r="U204" s="13">
        <v>0</v>
      </c>
      <c r="V204" s="13">
        <v>0</v>
      </c>
      <c r="W204" s="13">
        <v>612</v>
      </c>
      <c r="X204" s="13">
        <v>0</v>
      </c>
      <c r="Y204" s="13">
        <v>0</v>
      </c>
      <c r="Z204" s="13">
        <v>0</v>
      </c>
      <c r="AA204" s="13">
        <v>612</v>
      </c>
      <c r="AB204" s="13">
        <v>0</v>
      </c>
      <c r="AC204" s="13">
        <v>0</v>
      </c>
      <c r="AD204" s="13">
        <v>0</v>
      </c>
    </row>
    <row r="205" spans="1:30" ht="15.75" thickBot="1" x14ac:dyDescent="0.3">
      <c r="A205" s="9" t="s">
        <v>536</v>
      </c>
      <c r="B205" s="9" t="s">
        <v>693</v>
      </c>
      <c r="C205" s="45" t="str">
        <f t="shared" si="3"/>
        <v>DET7YS8691AA.P1OS</v>
      </c>
      <c r="D205" s="10" t="s">
        <v>696</v>
      </c>
      <c r="E205" s="10" t="s">
        <v>697</v>
      </c>
      <c r="F205" s="9" t="s">
        <v>698</v>
      </c>
      <c r="G205" s="9" t="s">
        <v>262</v>
      </c>
      <c r="H205" s="11">
        <v>102.8571</v>
      </c>
      <c r="I205" s="12">
        <v>5234</v>
      </c>
      <c r="J205" s="13">
        <v>0</v>
      </c>
      <c r="K205" s="13">
        <v>0</v>
      </c>
      <c r="L205" s="13">
        <v>1728</v>
      </c>
      <c r="M205" s="13">
        <v>1728</v>
      </c>
      <c r="N205" s="13">
        <v>1728</v>
      </c>
      <c r="O205" s="13">
        <v>1728</v>
      </c>
      <c r="P205" s="13">
        <v>1728</v>
      </c>
      <c r="Q205" s="13">
        <v>1728</v>
      </c>
      <c r="R205" s="13">
        <v>1152</v>
      </c>
      <c r="S205" s="13">
        <v>1152</v>
      </c>
      <c r="T205" s="13">
        <v>1728</v>
      </c>
      <c r="U205" s="13">
        <v>1152</v>
      </c>
      <c r="V205" s="13">
        <v>1152</v>
      </c>
      <c r="W205" s="13">
        <v>1152</v>
      </c>
      <c r="X205" s="13">
        <v>1152</v>
      </c>
      <c r="Y205" s="13">
        <v>0</v>
      </c>
      <c r="Z205" s="13">
        <v>1152</v>
      </c>
      <c r="AA205" s="13">
        <v>1152</v>
      </c>
      <c r="AB205" s="13">
        <v>1728</v>
      </c>
      <c r="AC205" s="13">
        <v>1152</v>
      </c>
      <c r="AD205" s="13">
        <v>1152</v>
      </c>
    </row>
    <row r="206" spans="1:30" ht="15.75" thickBot="1" x14ac:dyDescent="0.3">
      <c r="A206" s="9" t="s">
        <v>536</v>
      </c>
      <c r="B206" s="9" t="s">
        <v>693</v>
      </c>
      <c r="C206" s="45" t="str">
        <f t="shared" si="3"/>
        <v>DET7YS8691AA.P6OS</v>
      </c>
      <c r="D206" s="10" t="s">
        <v>699</v>
      </c>
      <c r="E206" s="10" t="s">
        <v>700</v>
      </c>
      <c r="F206" s="9" t="s">
        <v>698</v>
      </c>
      <c r="G206" s="9" t="s">
        <v>262</v>
      </c>
      <c r="H206" s="11">
        <v>102.8571</v>
      </c>
      <c r="I206" s="12">
        <v>5024</v>
      </c>
      <c r="J206" s="13">
        <v>0</v>
      </c>
      <c r="K206" s="13">
        <v>0</v>
      </c>
      <c r="L206" s="13">
        <v>1728</v>
      </c>
      <c r="M206" s="13">
        <v>1728</v>
      </c>
      <c r="N206" s="13">
        <v>1728</v>
      </c>
      <c r="O206" s="13">
        <v>1728</v>
      </c>
      <c r="P206" s="13">
        <v>1728</v>
      </c>
      <c r="Q206" s="13">
        <v>1728</v>
      </c>
      <c r="R206" s="13">
        <v>1152</v>
      </c>
      <c r="S206" s="13">
        <v>1152</v>
      </c>
      <c r="T206" s="13">
        <v>1728</v>
      </c>
      <c r="U206" s="13">
        <v>1152</v>
      </c>
      <c r="V206" s="13">
        <v>1152</v>
      </c>
      <c r="W206" s="13">
        <v>1152</v>
      </c>
      <c r="X206" s="13">
        <v>1152</v>
      </c>
      <c r="Y206" s="13">
        <v>0</v>
      </c>
      <c r="Z206" s="13">
        <v>1152</v>
      </c>
      <c r="AA206" s="13">
        <v>1152</v>
      </c>
      <c r="AB206" s="13">
        <v>1728</v>
      </c>
      <c r="AC206" s="13">
        <v>1152</v>
      </c>
      <c r="AD206" s="13">
        <v>1152</v>
      </c>
    </row>
    <row r="207" spans="1:30" ht="15.75" thickBot="1" x14ac:dyDescent="0.3">
      <c r="A207" s="9" t="s">
        <v>536</v>
      </c>
      <c r="B207" s="9" t="s">
        <v>693</v>
      </c>
      <c r="C207" s="45" t="str">
        <f t="shared" si="3"/>
        <v>DET7YS87AAOS</v>
      </c>
      <c r="D207" s="10" t="s">
        <v>701</v>
      </c>
      <c r="E207" s="10" t="s">
        <v>702</v>
      </c>
      <c r="F207" s="9" t="s">
        <v>698</v>
      </c>
      <c r="G207" s="9" t="s">
        <v>262</v>
      </c>
      <c r="H207" s="11">
        <v>102.8571</v>
      </c>
      <c r="I207" s="12">
        <v>2880</v>
      </c>
      <c r="J207" s="13">
        <v>0</v>
      </c>
      <c r="K207" s="13">
        <v>0</v>
      </c>
      <c r="L207" s="13">
        <v>1728</v>
      </c>
      <c r="M207" s="13">
        <v>1728</v>
      </c>
      <c r="N207" s="13">
        <v>1728</v>
      </c>
      <c r="O207" s="13">
        <v>1728</v>
      </c>
      <c r="P207" s="13">
        <v>1728</v>
      </c>
      <c r="Q207" s="13">
        <v>1728</v>
      </c>
      <c r="R207" s="13">
        <v>1152</v>
      </c>
      <c r="S207" s="13">
        <v>1152</v>
      </c>
      <c r="T207" s="13">
        <v>1728</v>
      </c>
      <c r="U207" s="13">
        <v>1152</v>
      </c>
      <c r="V207" s="13">
        <v>1152</v>
      </c>
      <c r="W207" s="13">
        <v>1152</v>
      </c>
      <c r="X207" s="13">
        <v>1152</v>
      </c>
      <c r="Y207" s="13">
        <v>0</v>
      </c>
      <c r="Z207" s="13">
        <v>1152</v>
      </c>
      <c r="AA207" s="13">
        <v>1152</v>
      </c>
      <c r="AB207" s="13">
        <v>1728</v>
      </c>
      <c r="AC207" s="13">
        <v>1152</v>
      </c>
      <c r="AD207" s="13">
        <v>1152</v>
      </c>
    </row>
    <row r="208" spans="1:30" ht="15.75" thickBot="1" x14ac:dyDescent="0.3">
      <c r="A208" s="9" t="s">
        <v>536</v>
      </c>
      <c r="B208" s="9" t="s">
        <v>693</v>
      </c>
      <c r="C208" s="45" t="str">
        <f t="shared" si="3"/>
        <v>DET7YS88AAOS</v>
      </c>
      <c r="D208" s="10" t="s">
        <v>703</v>
      </c>
      <c r="E208" s="10" t="s">
        <v>704</v>
      </c>
      <c r="F208" s="9" t="s">
        <v>698</v>
      </c>
      <c r="G208" s="9" t="s">
        <v>262</v>
      </c>
      <c r="H208" s="11">
        <v>102.8571</v>
      </c>
      <c r="I208" s="12">
        <v>6336</v>
      </c>
      <c r="J208" s="13">
        <v>0</v>
      </c>
      <c r="K208" s="13">
        <v>0</v>
      </c>
      <c r="L208" s="13">
        <v>1728</v>
      </c>
      <c r="M208" s="13">
        <v>1728</v>
      </c>
      <c r="N208" s="13">
        <v>1728</v>
      </c>
      <c r="O208" s="13">
        <v>1728</v>
      </c>
      <c r="P208" s="13">
        <v>1728</v>
      </c>
      <c r="Q208" s="13">
        <v>1728</v>
      </c>
      <c r="R208" s="13">
        <v>1152</v>
      </c>
      <c r="S208" s="13">
        <v>1152</v>
      </c>
      <c r="T208" s="13">
        <v>1728</v>
      </c>
      <c r="U208" s="13">
        <v>1152</v>
      </c>
      <c r="V208" s="13">
        <v>1152</v>
      </c>
      <c r="W208" s="13">
        <v>1152</v>
      </c>
      <c r="X208" s="13">
        <v>1152</v>
      </c>
      <c r="Y208" s="13">
        <v>0</v>
      </c>
      <c r="Z208" s="13">
        <v>1152</v>
      </c>
      <c r="AA208" s="13">
        <v>1152</v>
      </c>
      <c r="AB208" s="13">
        <v>1728</v>
      </c>
      <c r="AC208" s="13">
        <v>1152</v>
      </c>
      <c r="AD208" s="13">
        <v>1152</v>
      </c>
    </row>
    <row r="209" spans="1:30" ht="15.75" thickBot="1" x14ac:dyDescent="0.3">
      <c r="A209" s="9" t="s">
        <v>536</v>
      </c>
      <c r="B209" s="9" t="s">
        <v>693</v>
      </c>
      <c r="C209" s="45" t="str">
        <f t="shared" si="3"/>
        <v>DET7YS89AAOS</v>
      </c>
      <c r="D209" s="10" t="s">
        <v>705</v>
      </c>
      <c r="E209" s="10" t="s">
        <v>706</v>
      </c>
      <c r="F209" s="9" t="s">
        <v>698</v>
      </c>
      <c r="G209" s="9" t="s">
        <v>262</v>
      </c>
      <c r="H209" s="11">
        <v>102.8571</v>
      </c>
      <c r="I209" s="12">
        <v>5760</v>
      </c>
      <c r="J209" s="13">
        <v>0</v>
      </c>
      <c r="K209" s="13">
        <v>0</v>
      </c>
      <c r="L209" s="13">
        <v>1728</v>
      </c>
      <c r="M209" s="13">
        <v>1728</v>
      </c>
      <c r="N209" s="13">
        <v>1728</v>
      </c>
      <c r="O209" s="13">
        <v>1728</v>
      </c>
      <c r="P209" s="13">
        <v>1728</v>
      </c>
      <c r="Q209" s="13">
        <v>1728</v>
      </c>
      <c r="R209" s="13">
        <v>1152</v>
      </c>
      <c r="S209" s="13">
        <v>1152</v>
      </c>
      <c r="T209" s="13">
        <v>1728</v>
      </c>
      <c r="U209" s="13">
        <v>1152</v>
      </c>
      <c r="V209" s="13">
        <v>1152</v>
      </c>
      <c r="W209" s="13">
        <v>1152</v>
      </c>
      <c r="X209" s="13">
        <v>1152</v>
      </c>
      <c r="Y209" s="13">
        <v>0</v>
      </c>
      <c r="Z209" s="13">
        <v>1152</v>
      </c>
      <c r="AA209" s="13">
        <v>1152</v>
      </c>
      <c r="AB209" s="13">
        <v>1728</v>
      </c>
      <c r="AC209" s="13">
        <v>1152</v>
      </c>
      <c r="AD209" s="13">
        <v>1152</v>
      </c>
    </row>
    <row r="210" spans="1:30" ht="15.75" thickBot="1" x14ac:dyDescent="0.3">
      <c r="A210" s="9" t="s">
        <v>536</v>
      </c>
      <c r="B210" s="9" t="s">
        <v>693</v>
      </c>
      <c r="C210" s="45" t="str">
        <f t="shared" si="3"/>
        <v>DET7YS90AAOS</v>
      </c>
      <c r="D210" s="10" t="s">
        <v>707</v>
      </c>
      <c r="E210" s="10" t="s">
        <v>708</v>
      </c>
      <c r="F210" s="9" t="s">
        <v>698</v>
      </c>
      <c r="G210" s="9" t="s">
        <v>262</v>
      </c>
      <c r="H210" s="11">
        <v>102.8571</v>
      </c>
      <c r="I210" s="12">
        <v>5421</v>
      </c>
      <c r="J210" s="13">
        <v>0</v>
      </c>
      <c r="K210" s="13">
        <v>0</v>
      </c>
      <c r="L210" s="13">
        <v>1728</v>
      </c>
      <c r="M210" s="13">
        <v>1728</v>
      </c>
      <c r="N210" s="13">
        <v>1728</v>
      </c>
      <c r="O210" s="13">
        <v>1728</v>
      </c>
      <c r="P210" s="13">
        <v>1728</v>
      </c>
      <c r="Q210" s="13">
        <v>1728</v>
      </c>
      <c r="R210" s="13">
        <v>1152</v>
      </c>
      <c r="S210" s="13">
        <v>1152</v>
      </c>
      <c r="T210" s="13">
        <v>1728</v>
      </c>
      <c r="U210" s="13">
        <v>1152</v>
      </c>
      <c r="V210" s="13">
        <v>1152</v>
      </c>
      <c r="W210" s="13">
        <v>1152</v>
      </c>
      <c r="X210" s="13">
        <v>1152</v>
      </c>
      <c r="Y210" s="13">
        <v>0</v>
      </c>
      <c r="Z210" s="13">
        <v>1152</v>
      </c>
      <c r="AA210" s="13">
        <v>1152</v>
      </c>
      <c r="AB210" s="13">
        <v>1728</v>
      </c>
      <c r="AC210" s="13">
        <v>1152</v>
      </c>
      <c r="AD210" s="13">
        <v>1152</v>
      </c>
    </row>
    <row r="211" spans="1:30" ht="15.75" thickBot="1" x14ac:dyDescent="0.3">
      <c r="A211" s="9" t="s">
        <v>536</v>
      </c>
      <c r="B211" s="9" t="s">
        <v>693</v>
      </c>
      <c r="C211" s="45" t="str">
        <f t="shared" si="3"/>
        <v>KB3B 17N397 AC</v>
      </c>
      <c r="D211" s="10" t="s">
        <v>709</v>
      </c>
      <c r="E211" s="10" t="s">
        <v>710</v>
      </c>
      <c r="F211" s="9" t="s">
        <v>494</v>
      </c>
      <c r="G211" s="9" t="s">
        <v>262</v>
      </c>
      <c r="H211" s="11">
        <v>101.4084</v>
      </c>
      <c r="I211" s="12">
        <v>138</v>
      </c>
      <c r="J211" s="13">
        <v>0</v>
      </c>
      <c r="K211" s="13">
        <v>0</v>
      </c>
      <c r="L211" s="13">
        <v>0</v>
      </c>
      <c r="M211" s="13">
        <v>354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504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</row>
    <row r="212" spans="1:30" ht="15.75" thickBot="1" x14ac:dyDescent="0.3">
      <c r="A212" s="9" t="s">
        <v>536</v>
      </c>
      <c r="B212" s="9" t="s">
        <v>693</v>
      </c>
      <c r="C212" s="45" t="str">
        <f t="shared" si="3"/>
        <v>MLD17C790GPIA</v>
      </c>
      <c r="D212" s="10" t="s">
        <v>711</v>
      </c>
      <c r="E212" s="10" t="s">
        <v>712</v>
      </c>
      <c r="F212" s="9" t="s">
        <v>261</v>
      </c>
      <c r="G212" s="9" t="s">
        <v>262</v>
      </c>
      <c r="H212" s="11">
        <v>116.129</v>
      </c>
      <c r="I212" s="12">
        <v>-196</v>
      </c>
      <c r="J212" s="13">
        <v>200</v>
      </c>
      <c r="K212" s="13">
        <v>540</v>
      </c>
      <c r="L212" s="13">
        <v>0</v>
      </c>
      <c r="M212" s="13">
        <v>108</v>
      </c>
      <c r="N212" s="13">
        <v>432</v>
      </c>
      <c r="O212" s="13">
        <v>0</v>
      </c>
      <c r="P212" s="13">
        <v>0</v>
      </c>
      <c r="Q212" s="13">
        <v>108</v>
      </c>
      <c r="R212" s="13">
        <v>432</v>
      </c>
      <c r="S212" s="13">
        <v>108</v>
      </c>
      <c r="T212" s="13">
        <v>432</v>
      </c>
      <c r="U212" s="13">
        <v>108</v>
      </c>
      <c r="V212" s="13">
        <v>436</v>
      </c>
      <c r="W212" s="13">
        <v>0</v>
      </c>
      <c r="X212" s="13">
        <v>108</v>
      </c>
      <c r="Y212" s="13">
        <v>540</v>
      </c>
      <c r="Z212" s="13">
        <v>432</v>
      </c>
      <c r="AA212" s="13">
        <v>0</v>
      </c>
      <c r="AB212" s="13">
        <v>0</v>
      </c>
      <c r="AC212" s="13">
        <v>108</v>
      </c>
      <c r="AD212" s="13">
        <v>432</v>
      </c>
    </row>
    <row r="213" spans="1:30" ht="15.75" thickBot="1" x14ac:dyDescent="0.3">
      <c r="A213" s="9" t="s">
        <v>536</v>
      </c>
      <c r="B213" s="9" t="s">
        <v>693</v>
      </c>
      <c r="C213" s="45" t="str">
        <f t="shared" si="3"/>
        <v>MLD17C791GPIA</v>
      </c>
      <c r="D213" s="10" t="s">
        <v>713</v>
      </c>
      <c r="E213" s="10" t="s">
        <v>714</v>
      </c>
      <c r="F213" s="9" t="s">
        <v>261</v>
      </c>
      <c r="G213" s="9" t="s">
        <v>262</v>
      </c>
      <c r="H213" s="11">
        <v>116.129</v>
      </c>
      <c r="I213" s="8"/>
      <c r="J213" s="13">
        <v>200</v>
      </c>
      <c r="K213" s="13">
        <v>540</v>
      </c>
      <c r="L213" s="13">
        <v>0</v>
      </c>
      <c r="M213" s="13">
        <v>108</v>
      </c>
      <c r="N213" s="13">
        <v>432</v>
      </c>
      <c r="O213" s="13">
        <v>0</v>
      </c>
      <c r="P213" s="13">
        <v>0</v>
      </c>
      <c r="Q213" s="13">
        <v>108</v>
      </c>
      <c r="R213" s="13">
        <v>432</v>
      </c>
      <c r="S213" s="13">
        <v>108</v>
      </c>
      <c r="T213" s="13">
        <v>432</v>
      </c>
      <c r="U213" s="13">
        <v>108</v>
      </c>
      <c r="V213" s="13">
        <v>436</v>
      </c>
      <c r="W213" s="13">
        <v>0</v>
      </c>
      <c r="X213" s="13">
        <v>108</v>
      </c>
      <c r="Y213" s="13">
        <v>540</v>
      </c>
      <c r="Z213" s="13">
        <v>432</v>
      </c>
      <c r="AA213" s="13">
        <v>0</v>
      </c>
      <c r="AB213" s="13">
        <v>0</v>
      </c>
      <c r="AC213" s="13">
        <v>108</v>
      </c>
      <c r="AD213" s="13">
        <v>432</v>
      </c>
    </row>
    <row r="214" spans="1:30" ht="15.75" thickBot="1" x14ac:dyDescent="0.3">
      <c r="A214" s="9" t="s">
        <v>536</v>
      </c>
      <c r="B214" s="9" t="s">
        <v>693</v>
      </c>
      <c r="C214" s="45" t="str">
        <f t="shared" si="3"/>
        <v>MLD17D698A</v>
      </c>
      <c r="D214" s="10" t="s">
        <v>715</v>
      </c>
      <c r="E214" s="10" t="s">
        <v>716</v>
      </c>
      <c r="F214" s="9" t="s">
        <v>261</v>
      </c>
      <c r="G214" s="9" t="s">
        <v>262</v>
      </c>
      <c r="H214" s="12">
        <v>90</v>
      </c>
      <c r="I214" s="12">
        <v>144</v>
      </c>
      <c r="J214" s="13">
        <v>0</v>
      </c>
      <c r="K214" s="13">
        <v>1602</v>
      </c>
      <c r="L214" s="13">
        <v>1253</v>
      </c>
      <c r="M214" s="13">
        <v>951</v>
      </c>
      <c r="N214" s="13">
        <v>1296</v>
      </c>
      <c r="O214" s="13">
        <v>1296</v>
      </c>
      <c r="P214" s="13">
        <v>1252</v>
      </c>
      <c r="Q214" s="13">
        <v>1080</v>
      </c>
      <c r="R214" s="13">
        <v>1167</v>
      </c>
      <c r="S214" s="13">
        <v>1512</v>
      </c>
      <c r="T214" s="13">
        <v>1512</v>
      </c>
      <c r="U214" s="13">
        <v>1469</v>
      </c>
      <c r="V214" s="13">
        <v>1425</v>
      </c>
      <c r="W214" s="13">
        <v>1987</v>
      </c>
      <c r="X214" s="13">
        <v>2074</v>
      </c>
      <c r="Y214" s="13">
        <v>1858</v>
      </c>
      <c r="Z214" s="13">
        <v>1904</v>
      </c>
      <c r="AA214" s="13">
        <v>130</v>
      </c>
      <c r="AB214" s="13">
        <v>950</v>
      </c>
      <c r="AC214" s="13">
        <v>2117</v>
      </c>
      <c r="AD214" s="13">
        <v>1944</v>
      </c>
    </row>
    <row r="215" spans="1:30" ht="15.75" thickBot="1" x14ac:dyDescent="0.3">
      <c r="A215" s="9" t="s">
        <v>536</v>
      </c>
      <c r="B215" s="9" t="s">
        <v>693</v>
      </c>
      <c r="C215" s="45" t="str">
        <f t="shared" si="3"/>
        <v>MLD17D699A</v>
      </c>
      <c r="D215" s="10" t="s">
        <v>717</v>
      </c>
      <c r="E215" s="10" t="s">
        <v>718</v>
      </c>
      <c r="F215" s="9" t="s">
        <v>261</v>
      </c>
      <c r="G215" s="9" t="s">
        <v>262</v>
      </c>
      <c r="H215" s="12">
        <v>90</v>
      </c>
      <c r="I215" s="8"/>
      <c r="J215" s="13">
        <v>0</v>
      </c>
      <c r="K215" s="13">
        <v>1602</v>
      </c>
      <c r="L215" s="13">
        <v>1253</v>
      </c>
      <c r="M215" s="13">
        <v>951</v>
      </c>
      <c r="N215" s="13">
        <v>1296</v>
      </c>
      <c r="O215" s="13">
        <v>1296</v>
      </c>
      <c r="P215" s="13">
        <v>1252</v>
      </c>
      <c r="Q215" s="13">
        <v>1080</v>
      </c>
      <c r="R215" s="13">
        <v>1167</v>
      </c>
      <c r="S215" s="13">
        <v>1512</v>
      </c>
      <c r="T215" s="13">
        <v>1512</v>
      </c>
      <c r="U215" s="13">
        <v>1469</v>
      </c>
      <c r="V215" s="13">
        <v>1425</v>
      </c>
      <c r="W215" s="13">
        <v>1987</v>
      </c>
      <c r="X215" s="13">
        <v>2074</v>
      </c>
      <c r="Y215" s="13">
        <v>1858</v>
      </c>
      <c r="Z215" s="13">
        <v>1904</v>
      </c>
      <c r="AA215" s="13">
        <v>130</v>
      </c>
      <c r="AB215" s="13">
        <v>950</v>
      </c>
      <c r="AC215" s="13">
        <v>2117</v>
      </c>
      <c r="AD215" s="13">
        <v>1944</v>
      </c>
    </row>
    <row r="216" spans="1:30" ht="15.75" thickBot="1" x14ac:dyDescent="0.3">
      <c r="A216" s="9" t="s">
        <v>536</v>
      </c>
      <c r="B216" s="9" t="s">
        <v>693</v>
      </c>
      <c r="C216" s="45" t="str">
        <f t="shared" si="3"/>
        <v>MLD26243C02</v>
      </c>
      <c r="D216" s="10" t="s">
        <v>719</v>
      </c>
      <c r="E216" s="10" t="s">
        <v>720</v>
      </c>
      <c r="F216" s="9" t="s">
        <v>494</v>
      </c>
      <c r="G216" s="9" t="s">
        <v>262</v>
      </c>
      <c r="H216" s="11">
        <v>121.21210000000001</v>
      </c>
      <c r="I216" s="12">
        <v>2427</v>
      </c>
      <c r="J216" s="13">
        <v>0</v>
      </c>
      <c r="K216" s="13">
        <v>0</v>
      </c>
      <c r="L216" s="13">
        <v>493</v>
      </c>
      <c r="M216" s="13">
        <v>1440</v>
      </c>
      <c r="N216" s="13">
        <v>1440</v>
      </c>
      <c r="O216" s="13">
        <v>1440</v>
      </c>
      <c r="P216" s="13">
        <v>864</v>
      </c>
      <c r="Q216" s="13">
        <v>576</v>
      </c>
      <c r="R216" s="13">
        <v>1440</v>
      </c>
      <c r="S216" s="13">
        <v>1532</v>
      </c>
      <c r="T216" s="13">
        <v>1440</v>
      </c>
      <c r="U216" s="13">
        <v>1359</v>
      </c>
      <c r="V216" s="13">
        <v>2016</v>
      </c>
      <c r="W216" s="13">
        <v>2304</v>
      </c>
      <c r="X216" s="13">
        <v>1440</v>
      </c>
      <c r="Y216" s="13">
        <v>2016</v>
      </c>
      <c r="Z216" s="13">
        <v>1728</v>
      </c>
      <c r="AA216" s="13">
        <v>0</v>
      </c>
      <c r="AB216" s="13">
        <v>1152</v>
      </c>
      <c r="AC216" s="13">
        <v>2304</v>
      </c>
      <c r="AD216" s="13">
        <v>2016</v>
      </c>
    </row>
    <row r="217" spans="1:30" ht="15.75" thickBot="1" x14ac:dyDescent="0.3">
      <c r="A217" s="9" t="s">
        <v>536</v>
      </c>
      <c r="B217" s="9" t="s">
        <v>693</v>
      </c>
      <c r="C217" s="45" t="str">
        <f t="shared" si="3"/>
        <v>MLD26243C03</v>
      </c>
      <c r="D217" s="10" t="s">
        <v>721</v>
      </c>
      <c r="E217" s="10" t="s">
        <v>722</v>
      </c>
      <c r="F217" s="9" t="s">
        <v>494</v>
      </c>
      <c r="G217" s="9" t="s">
        <v>262</v>
      </c>
      <c r="H217" s="11">
        <v>121.21210000000001</v>
      </c>
      <c r="I217" s="12">
        <v>1890</v>
      </c>
      <c r="J217" s="13">
        <v>0</v>
      </c>
      <c r="K217" s="13">
        <v>0</v>
      </c>
      <c r="L217" s="13">
        <v>493</v>
      </c>
      <c r="M217" s="13">
        <v>1440</v>
      </c>
      <c r="N217" s="13">
        <v>1440</v>
      </c>
      <c r="O217" s="13">
        <v>1440</v>
      </c>
      <c r="P217" s="13">
        <v>864</v>
      </c>
      <c r="Q217" s="13">
        <v>576</v>
      </c>
      <c r="R217" s="13">
        <v>1440</v>
      </c>
      <c r="S217" s="13">
        <v>1532</v>
      </c>
      <c r="T217" s="13">
        <v>1440</v>
      </c>
      <c r="U217" s="13">
        <v>1359</v>
      </c>
      <c r="V217" s="13">
        <v>2016</v>
      </c>
      <c r="W217" s="13">
        <v>2304</v>
      </c>
      <c r="X217" s="13">
        <v>1440</v>
      </c>
      <c r="Y217" s="13">
        <v>2016</v>
      </c>
      <c r="Z217" s="13">
        <v>1728</v>
      </c>
      <c r="AA217" s="13">
        <v>0</v>
      </c>
      <c r="AB217" s="13">
        <v>1152</v>
      </c>
      <c r="AC217" s="13">
        <v>2304</v>
      </c>
      <c r="AD217" s="13">
        <v>2016</v>
      </c>
    </row>
    <row r="218" spans="1:30" ht="15.75" thickBot="1" x14ac:dyDescent="0.3">
      <c r="A218" s="9" t="s">
        <v>536</v>
      </c>
      <c r="B218" s="9" t="s">
        <v>693</v>
      </c>
      <c r="C218" s="45" t="str">
        <f t="shared" si="3"/>
        <v>MLDBEI06601</v>
      </c>
      <c r="D218" s="10" t="s">
        <v>723</v>
      </c>
      <c r="E218" s="10" t="s">
        <v>724</v>
      </c>
      <c r="F218" s="9" t="s">
        <v>404</v>
      </c>
      <c r="G218" s="9" t="s">
        <v>262</v>
      </c>
      <c r="H218" s="12">
        <v>72</v>
      </c>
      <c r="I218" s="12">
        <v>48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  <c r="P218" s="13">
        <v>33</v>
      </c>
      <c r="Q218" s="13">
        <v>72</v>
      </c>
      <c r="R218" s="13">
        <v>48</v>
      </c>
      <c r="S218" s="13">
        <v>36</v>
      </c>
      <c r="T218" s="13">
        <v>48</v>
      </c>
      <c r="U218" s="13">
        <v>48</v>
      </c>
      <c r="V218" s="13">
        <v>84</v>
      </c>
      <c r="W218" s="13">
        <v>96</v>
      </c>
      <c r="X218" s="13">
        <v>60</v>
      </c>
      <c r="Y218" s="13">
        <v>108</v>
      </c>
      <c r="Z218" s="13">
        <v>0</v>
      </c>
      <c r="AA218" s="13">
        <v>48</v>
      </c>
      <c r="AB218" s="13">
        <v>48</v>
      </c>
      <c r="AC218" s="13">
        <v>60</v>
      </c>
      <c r="AD218" s="13">
        <v>60</v>
      </c>
    </row>
    <row r="219" spans="1:30" ht="15.75" thickBot="1" x14ac:dyDescent="0.3">
      <c r="A219" s="9" t="s">
        <v>536</v>
      </c>
      <c r="B219" s="9" t="s">
        <v>693</v>
      </c>
      <c r="C219" s="45" t="str">
        <f t="shared" si="3"/>
        <v>MLDBEI08207</v>
      </c>
      <c r="D219" s="10" t="s">
        <v>725</v>
      </c>
      <c r="E219" s="10" t="s">
        <v>726</v>
      </c>
      <c r="F219" s="9" t="s">
        <v>404</v>
      </c>
      <c r="G219" s="9" t="s">
        <v>262</v>
      </c>
      <c r="H219" s="12">
        <v>72</v>
      </c>
      <c r="I219" s="12">
        <v>767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  <c r="P219" s="13">
        <v>33</v>
      </c>
      <c r="Q219" s="13">
        <v>72</v>
      </c>
      <c r="R219" s="13">
        <v>48</v>
      </c>
      <c r="S219" s="13">
        <v>36</v>
      </c>
      <c r="T219" s="13">
        <v>48</v>
      </c>
      <c r="U219" s="13">
        <v>48</v>
      </c>
      <c r="V219" s="13">
        <v>84</v>
      </c>
      <c r="W219" s="13">
        <v>96</v>
      </c>
      <c r="X219" s="13">
        <v>60</v>
      </c>
      <c r="Y219" s="13">
        <v>108</v>
      </c>
      <c r="Z219" s="13">
        <v>0</v>
      </c>
      <c r="AA219" s="13">
        <v>48</v>
      </c>
      <c r="AB219" s="13">
        <v>48</v>
      </c>
      <c r="AC219" s="13">
        <v>60</v>
      </c>
      <c r="AD219" s="13">
        <v>60</v>
      </c>
    </row>
    <row r="220" spans="1:30" ht="15.75" thickBot="1" x14ac:dyDescent="0.3">
      <c r="A220" s="9" t="s">
        <v>536</v>
      </c>
      <c r="B220" s="9" t="s">
        <v>693</v>
      </c>
      <c r="C220" s="45" t="str">
        <f t="shared" si="3"/>
        <v>MLDE025B84B</v>
      </c>
      <c r="D220" s="10" t="s">
        <v>727</v>
      </c>
      <c r="E220" s="10" t="s">
        <v>578</v>
      </c>
      <c r="F220" s="9" t="s">
        <v>261</v>
      </c>
      <c r="G220" s="9" t="s">
        <v>262</v>
      </c>
      <c r="H220" s="11">
        <v>87.8048</v>
      </c>
      <c r="I220" s="12">
        <v>467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13">
        <v>0</v>
      </c>
      <c r="Q220" s="13">
        <v>114</v>
      </c>
      <c r="R220" s="13">
        <v>238</v>
      </c>
      <c r="S220" s="13">
        <v>238</v>
      </c>
      <c r="T220" s="13">
        <v>264</v>
      </c>
      <c r="U220" s="13">
        <v>212</v>
      </c>
      <c r="V220" s="13">
        <v>184</v>
      </c>
      <c r="W220" s="13">
        <v>264</v>
      </c>
      <c r="X220" s="13">
        <v>434</v>
      </c>
      <c r="Y220" s="13">
        <v>648</v>
      </c>
      <c r="Z220" s="13">
        <v>572</v>
      </c>
      <c r="AA220" s="13">
        <v>0</v>
      </c>
      <c r="AB220" s="13">
        <v>212</v>
      </c>
      <c r="AC220" s="13">
        <v>502</v>
      </c>
      <c r="AD220" s="13">
        <v>462</v>
      </c>
    </row>
    <row r="221" spans="1:30" ht="15.75" thickBot="1" x14ac:dyDescent="0.3">
      <c r="A221" s="9" t="s">
        <v>536</v>
      </c>
      <c r="B221" s="9" t="s">
        <v>693</v>
      </c>
      <c r="C221" s="45" t="str">
        <f t="shared" si="3"/>
        <v>MLDE025B85B</v>
      </c>
      <c r="D221" s="10" t="s">
        <v>728</v>
      </c>
      <c r="E221" s="10" t="s">
        <v>581</v>
      </c>
      <c r="F221" s="9" t="s">
        <v>261</v>
      </c>
      <c r="G221" s="9" t="s">
        <v>262</v>
      </c>
      <c r="H221" s="11">
        <v>87.8048</v>
      </c>
      <c r="I221" s="12">
        <v>2710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114</v>
      </c>
      <c r="R221" s="13">
        <v>238</v>
      </c>
      <c r="S221" s="13">
        <v>238</v>
      </c>
      <c r="T221" s="13">
        <v>264</v>
      </c>
      <c r="U221" s="13">
        <v>212</v>
      </c>
      <c r="V221" s="13">
        <v>184</v>
      </c>
      <c r="W221" s="13">
        <v>264</v>
      </c>
      <c r="X221" s="13">
        <v>434</v>
      </c>
      <c r="Y221" s="13">
        <v>648</v>
      </c>
      <c r="Z221" s="13">
        <v>572</v>
      </c>
      <c r="AA221" s="13">
        <v>0</v>
      </c>
      <c r="AB221" s="13">
        <v>212</v>
      </c>
      <c r="AC221" s="13">
        <v>502</v>
      </c>
      <c r="AD221" s="13">
        <v>462</v>
      </c>
    </row>
    <row r="222" spans="1:30" ht="15.75" thickBot="1" x14ac:dyDescent="0.3">
      <c r="A222" s="9" t="s">
        <v>536</v>
      </c>
      <c r="B222" s="9" t="s">
        <v>693</v>
      </c>
      <c r="C222" s="45" t="str">
        <f t="shared" si="3"/>
        <v>MLDE237W20BPIA01</v>
      </c>
      <c r="D222" s="10" t="s">
        <v>729</v>
      </c>
      <c r="E222" s="10" t="s">
        <v>730</v>
      </c>
      <c r="F222" s="9" t="s">
        <v>261</v>
      </c>
      <c r="G222" s="9" t="s">
        <v>262</v>
      </c>
      <c r="H222" s="12">
        <v>60</v>
      </c>
      <c r="I222" s="12">
        <v>348</v>
      </c>
      <c r="J222" s="13">
        <v>0</v>
      </c>
      <c r="K222" s="13">
        <v>0</v>
      </c>
      <c r="L222" s="13">
        <v>955</v>
      </c>
      <c r="M222" s="13">
        <v>1114</v>
      </c>
      <c r="N222" s="13">
        <v>1344</v>
      </c>
      <c r="O222" s="13">
        <v>1344</v>
      </c>
      <c r="P222" s="13">
        <v>1190</v>
      </c>
      <c r="Q222" s="13">
        <v>1038</v>
      </c>
      <c r="R222" s="13">
        <v>1228</v>
      </c>
      <c r="S222" s="13">
        <v>1498</v>
      </c>
      <c r="T222" s="13">
        <v>1574</v>
      </c>
      <c r="U222" s="13">
        <v>1344</v>
      </c>
      <c r="V222" s="13">
        <v>1581</v>
      </c>
      <c r="W222" s="13">
        <v>1998</v>
      </c>
      <c r="X222" s="13">
        <v>1958</v>
      </c>
      <c r="Y222" s="13">
        <v>2036</v>
      </c>
      <c r="Z222" s="13">
        <v>1496</v>
      </c>
      <c r="AA222" s="13">
        <v>232</v>
      </c>
      <c r="AB222" s="13">
        <v>1190</v>
      </c>
      <c r="AC222" s="13">
        <v>2112</v>
      </c>
      <c r="AD222" s="13">
        <v>2034</v>
      </c>
    </row>
    <row r="223" spans="1:30" ht="15.75" thickBot="1" x14ac:dyDescent="0.3">
      <c r="A223" s="9" t="s">
        <v>536</v>
      </c>
      <c r="B223" s="9" t="s">
        <v>693</v>
      </c>
      <c r="C223" s="45" t="str">
        <f t="shared" si="3"/>
        <v>MLDE237W21BPIA01</v>
      </c>
      <c r="D223" s="10" t="s">
        <v>731</v>
      </c>
      <c r="E223" s="10" t="s">
        <v>732</v>
      </c>
      <c r="F223" s="9" t="s">
        <v>261</v>
      </c>
      <c r="G223" s="9" t="s">
        <v>262</v>
      </c>
      <c r="H223" s="12">
        <v>60</v>
      </c>
      <c r="I223" s="12">
        <v>2090</v>
      </c>
      <c r="J223" s="13">
        <v>0</v>
      </c>
      <c r="K223" s="13">
        <v>0</v>
      </c>
      <c r="L223" s="13">
        <v>955</v>
      </c>
      <c r="M223" s="13">
        <v>1114</v>
      </c>
      <c r="N223" s="13">
        <v>1344</v>
      </c>
      <c r="O223" s="13">
        <v>1344</v>
      </c>
      <c r="P223" s="13">
        <v>1190</v>
      </c>
      <c r="Q223" s="13">
        <v>1038</v>
      </c>
      <c r="R223" s="13">
        <v>1228</v>
      </c>
      <c r="S223" s="13">
        <v>1498</v>
      </c>
      <c r="T223" s="13">
        <v>1574</v>
      </c>
      <c r="U223" s="13">
        <v>1344</v>
      </c>
      <c r="V223" s="13">
        <v>1581</v>
      </c>
      <c r="W223" s="13">
        <v>1998</v>
      </c>
      <c r="X223" s="13">
        <v>1958</v>
      </c>
      <c r="Y223" s="13">
        <v>2036</v>
      </c>
      <c r="Z223" s="13">
        <v>1496</v>
      </c>
      <c r="AA223" s="13">
        <v>232</v>
      </c>
      <c r="AB223" s="13">
        <v>1190</v>
      </c>
      <c r="AC223" s="13">
        <v>2112</v>
      </c>
      <c r="AD223" s="13">
        <v>2034</v>
      </c>
    </row>
    <row r="224" spans="1:30" ht="15.75" thickBot="1" x14ac:dyDescent="0.3">
      <c r="A224" s="9" t="s">
        <v>536</v>
      </c>
      <c r="B224" s="9" t="s">
        <v>693</v>
      </c>
      <c r="C224" s="45" t="str">
        <f t="shared" si="3"/>
        <v>MLDE23942APIA32</v>
      </c>
      <c r="D224" s="10" t="s">
        <v>733</v>
      </c>
      <c r="E224" s="10" t="s">
        <v>734</v>
      </c>
      <c r="F224" s="9" t="s">
        <v>261</v>
      </c>
      <c r="G224" s="9" t="s">
        <v>262</v>
      </c>
      <c r="H224" s="12">
        <v>90</v>
      </c>
      <c r="I224" s="12">
        <v>-8</v>
      </c>
      <c r="J224" s="13">
        <v>8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5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6</v>
      </c>
      <c r="W224" s="13">
        <v>0</v>
      </c>
      <c r="X224" s="13">
        <v>271</v>
      </c>
      <c r="Y224" s="13">
        <v>823</v>
      </c>
      <c r="Z224" s="13">
        <v>181</v>
      </c>
      <c r="AA224" s="13">
        <v>0</v>
      </c>
      <c r="AB224" s="13">
        <v>492</v>
      </c>
      <c r="AC224" s="13">
        <v>590</v>
      </c>
      <c r="AD224" s="13">
        <v>548</v>
      </c>
    </row>
    <row r="225" spans="1:30" ht="15.75" thickBot="1" x14ac:dyDescent="0.3">
      <c r="A225" s="9" t="s">
        <v>536</v>
      </c>
      <c r="B225" s="9" t="s">
        <v>693</v>
      </c>
      <c r="C225" s="45" t="str">
        <f t="shared" si="3"/>
        <v>MLDE23943APIA50</v>
      </c>
      <c r="D225" s="10" t="s">
        <v>735</v>
      </c>
      <c r="E225" s="10" t="s">
        <v>736</v>
      </c>
      <c r="F225" s="9" t="s">
        <v>261</v>
      </c>
      <c r="G225" s="9" t="s">
        <v>262</v>
      </c>
      <c r="H225" s="12">
        <v>90</v>
      </c>
      <c r="I225" s="12">
        <v>-6</v>
      </c>
      <c r="J225" s="13">
        <v>6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5</v>
      </c>
      <c r="Q225" s="13">
        <v>0</v>
      </c>
      <c r="R225" s="13">
        <v>0</v>
      </c>
      <c r="S225" s="13">
        <v>2</v>
      </c>
      <c r="T225" s="13">
        <v>0</v>
      </c>
      <c r="U225" s="13">
        <v>0</v>
      </c>
      <c r="V225" s="13">
        <v>16</v>
      </c>
      <c r="W225" s="13">
        <v>0</v>
      </c>
      <c r="X225" s="13">
        <v>273</v>
      </c>
      <c r="Y225" s="13">
        <v>823</v>
      </c>
      <c r="Z225" s="13">
        <v>181</v>
      </c>
      <c r="AA225" s="13">
        <v>0</v>
      </c>
      <c r="AB225" s="13">
        <v>492</v>
      </c>
      <c r="AC225" s="13">
        <v>590</v>
      </c>
      <c r="AD225" s="13">
        <v>548</v>
      </c>
    </row>
    <row r="226" spans="1:30" ht="15.75" thickBot="1" x14ac:dyDescent="0.3">
      <c r="A226" s="9" t="s">
        <v>536</v>
      </c>
      <c r="B226" s="9" t="s">
        <v>737</v>
      </c>
      <c r="C226" s="45" t="str">
        <f t="shared" si="3"/>
        <v>M2DB 17A793 AD</v>
      </c>
      <c r="D226" s="10" t="s">
        <v>738</v>
      </c>
      <c r="E226" s="10" t="s">
        <v>739</v>
      </c>
      <c r="F226" s="9" t="s">
        <v>364</v>
      </c>
      <c r="G226" s="9" t="s">
        <v>262</v>
      </c>
      <c r="H226" s="12">
        <v>68</v>
      </c>
      <c r="I226" s="12">
        <v>3264</v>
      </c>
      <c r="J226" s="13">
        <v>0</v>
      </c>
      <c r="K226" s="13">
        <v>2337</v>
      </c>
      <c r="L226" s="13">
        <v>2688</v>
      </c>
      <c r="M226" s="13">
        <v>2688</v>
      </c>
      <c r="N226" s="13">
        <v>4032</v>
      </c>
      <c r="O226" s="13">
        <v>2688</v>
      </c>
      <c r="P226" s="13">
        <v>4564</v>
      </c>
      <c r="Q226" s="13">
        <v>2240</v>
      </c>
      <c r="R226" s="13">
        <v>2688</v>
      </c>
      <c r="S226" s="13">
        <v>4480</v>
      </c>
      <c r="T226" s="13">
        <v>4032</v>
      </c>
      <c r="U226" s="13">
        <v>2240</v>
      </c>
      <c r="V226" s="13">
        <v>2688</v>
      </c>
      <c r="W226" s="13">
        <v>4032</v>
      </c>
      <c r="X226" s="13">
        <v>2688</v>
      </c>
      <c r="Y226" s="13">
        <v>4032</v>
      </c>
      <c r="Z226" s="13">
        <v>2380</v>
      </c>
      <c r="AA226" s="13">
        <v>448</v>
      </c>
      <c r="AB226" s="13">
        <v>2240</v>
      </c>
      <c r="AC226" s="13">
        <v>2688</v>
      </c>
      <c r="AD226" s="13">
        <v>4032</v>
      </c>
    </row>
    <row r="227" spans="1:30" ht="15.75" thickBot="1" x14ac:dyDescent="0.3">
      <c r="A227" s="9" t="s">
        <v>536</v>
      </c>
      <c r="B227" s="9" t="s">
        <v>737</v>
      </c>
      <c r="C227" s="45" t="str">
        <f t="shared" si="3"/>
        <v>M2DB 17A794 AD</v>
      </c>
      <c r="D227" s="10" t="s">
        <v>740</v>
      </c>
      <c r="E227" s="10" t="s">
        <v>741</v>
      </c>
      <c r="F227" s="9" t="s">
        <v>364</v>
      </c>
      <c r="G227" s="9" t="s">
        <v>262</v>
      </c>
      <c r="H227" s="12">
        <v>68</v>
      </c>
      <c r="I227" s="12">
        <v>2143</v>
      </c>
      <c r="J227" s="13">
        <v>0</v>
      </c>
      <c r="K227" s="13">
        <v>2337</v>
      </c>
      <c r="L227" s="13">
        <v>2688</v>
      </c>
      <c r="M227" s="13">
        <v>2688</v>
      </c>
      <c r="N227" s="13">
        <v>4032</v>
      </c>
      <c r="O227" s="13">
        <v>2688</v>
      </c>
      <c r="P227" s="13">
        <v>4564</v>
      </c>
      <c r="Q227" s="13">
        <v>2240</v>
      </c>
      <c r="R227" s="13">
        <v>2688</v>
      </c>
      <c r="S227" s="13">
        <v>4480</v>
      </c>
      <c r="T227" s="13">
        <v>4032</v>
      </c>
      <c r="U227" s="13">
        <v>2240</v>
      </c>
      <c r="V227" s="13">
        <v>2688</v>
      </c>
      <c r="W227" s="13">
        <v>4032</v>
      </c>
      <c r="X227" s="13">
        <v>2688</v>
      </c>
      <c r="Y227" s="13">
        <v>4032</v>
      </c>
      <c r="Z227" s="13">
        <v>2380</v>
      </c>
      <c r="AA227" s="13">
        <v>448</v>
      </c>
      <c r="AB227" s="13">
        <v>2240</v>
      </c>
      <c r="AC227" s="13">
        <v>2688</v>
      </c>
      <c r="AD227" s="13">
        <v>4032</v>
      </c>
    </row>
    <row r="228" spans="1:30" ht="15.75" thickBot="1" x14ac:dyDescent="0.3">
      <c r="A228" s="9" t="s">
        <v>536</v>
      </c>
      <c r="B228" s="9" t="s">
        <v>737</v>
      </c>
      <c r="C228" s="45" t="str">
        <f t="shared" si="3"/>
        <v>MLD17A386AC</v>
      </c>
      <c r="D228" s="10" t="s">
        <v>742</v>
      </c>
      <c r="E228" s="10" t="s">
        <v>743</v>
      </c>
      <c r="F228" s="9" t="s">
        <v>494</v>
      </c>
      <c r="G228" s="9" t="s">
        <v>262</v>
      </c>
      <c r="H228" s="11">
        <v>101.4084</v>
      </c>
      <c r="I228" s="8"/>
      <c r="J228" s="13">
        <v>0</v>
      </c>
      <c r="K228" s="13">
        <v>0</v>
      </c>
      <c r="L228" s="13">
        <v>0</v>
      </c>
      <c r="M228" s="13">
        <v>354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>
        <v>0</v>
      </c>
      <c r="U228" s="13">
        <v>0</v>
      </c>
      <c r="V228" s="13">
        <v>504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13">
        <v>0</v>
      </c>
      <c r="AD228" s="13">
        <v>0</v>
      </c>
    </row>
    <row r="229" spans="1:30" ht="15.75" thickBot="1" x14ac:dyDescent="0.3">
      <c r="A229" s="9" t="s">
        <v>536</v>
      </c>
      <c r="B229" s="9" t="s">
        <v>737</v>
      </c>
      <c r="C229" s="45" t="str">
        <f t="shared" si="3"/>
        <v>MLD17D550C</v>
      </c>
      <c r="D229" s="10" t="s">
        <v>744</v>
      </c>
      <c r="E229" s="10" t="s">
        <v>745</v>
      </c>
      <c r="F229" s="9" t="s">
        <v>261</v>
      </c>
      <c r="G229" s="9" t="s">
        <v>262</v>
      </c>
      <c r="H229" s="11">
        <v>83.7209</v>
      </c>
      <c r="I229" s="12">
        <v>96</v>
      </c>
      <c r="J229" s="13">
        <v>0</v>
      </c>
      <c r="K229" s="13">
        <v>1401</v>
      </c>
      <c r="L229" s="13">
        <v>1335</v>
      </c>
      <c r="M229" s="13">
        <v>969</v>
      </c>
      <c r="N229" s="13">
        <v>1220</v>
      </c>
      <c r="O229" s="13">
        <v>1334</v>
      </c>
      <c r="P229" s="13">
        <v>1478</v>
      </c>
      <c r="Q229" s="13">
        <v>1075</v>
      </c>
      <c r="R229" s="13">
        <v>1066</v>
      </c>
      <c r="S229" s="13">
        <v>1573</v>
      </c>
      <c r="T229" s="13">
        <v>1545</v>
      </c>
      <c r="U229" s="13">
        <v>1469</v>
      </c>
      <c r="V229" s="13">
        <v>1300</v>
      </c>
      <c r="W229" s="13">
        <v>2074</v>
      </c>
      <c r="X229" s="13">
        <v>2025</v>
      </c>
      <c r="Y229" s="13">
        <v>1901</v>
      </c>
      <c r="Z229" s="13">
        <v>2310</v>
      </c>
      <c r="AA229" s="13">
        <v>58</v>
      </c>
      <c r="AB229" s="13">
        <v>643</v>
      </c>
      <c r="AC229" s="13">
        <v>2074</v>
      </c>
      <c r="AD229" s="13">
        <v>2073</v>
      </c>
    </row>
    <row r="230" spans="1:30" ht="15.75" thickBot="1" x14ac:dyDescent="0.3">
      <c r="A230" s="9" t="s">
        <v>536</v>
      </c>
      <c r="B230" s="9" t="s">
        <v>737</v>
      </c>
      <c r="C230" s="45" t="str">
        <f t="shared" si="3"/>
        <v>MLD17D568C</v>
      </c>
      <c r="D230" s="10" t="s">
        <v>746</v>
      </c>
      <c r="E230" s="10" t="s">
        <v>747</v>
      </c>
      <c r="F230" s="9" t="s">
        <v>261</v>
      </c>
      <c r="G230" s="9" t="s">
        <v>262</v>
      </c>
      <c r="H230" s="11">
        <v>83.7209</v>
      </c>
      <c r="I230" s="12">
        <v>96</v>
      </c>
      <c r="J230" s="13">
        <v>0</v>
      </c>
      <c r="K230" s="13">
        <v>1401</v>
      </c>
      <c r="L230" s="13">
        <v>1335</v>
      </c>
      <c r="M230" s="13">
        <v>969</v>
      </c>
      <c r="N230" s="13">
        <v>1220</v>
      </c>
      <c r="O230" s="13">
        <v>1334</v>
      </c>
      <c r="P230" s="13">
        <v>1478</v>
      </c>
      <c r="Q230" s="13">
        <v>1075</v>
      </c>
      <c r="R230" s="13">
        <v>1066</v>
      </c>
      <c r="S230" s="13">
        <v>1573</v>
      </c>
      <c r="T230" s="13">
        <v>1545</v>
      </c>
      <c r="U230" s="13">
        <v>1469</v>
      </c>
      <c r="V230" s="13">
        <v>1300</v>
      </c>
      <c r="W230" s="13">
        <v>2074</v>
      </c>
      <c r="X230" s="13">
        <v>2025</v>
      </c>
      <c r="Y230" s="13">
        <v>1901</v>
      </c>
      <c r="Z230" s="13">
        <v>2310</v>
      </c>
      <c r="AA230" s="13">
        <v>58</v>
      </c>
      <c r="AB230" s="13">
        <v>643</v>
      </c>
      <c r="AC230" s="13">
        <v>2074</v>
      </c>
      <c r="AD230" s="13">
        <v>2073</v>
      </c>
    </row>
    <row r="231" spans="1:30" ht="15.75" thickBot="1" x14ac:dyDescent="0.3">
      <c r="A231" s="9" t="s">
        <v>536</v>
      </c>
      <c r="B231" s="9" t="s">
        <v>737</v>
      </c>
      <c r="C231" s="45" t="str">
        <f t="shared" si="3"/>
        <v>MLDBEP73313</v>
      </c>
      <c r="D231" s="10" t="s">
        <v>748</v>
      </c>
      <c r="E231" s="10" t="s">
        <v>749</v>
      </c>
      <c r="F231" s="9" t="s">
        <v>404</v>
      </c>
      <c r="G231" s="9" t="s">
        <v>262</v>
      </c>
      <c r="H231" s="12">
        <v>120</v>
      </c>
      <c r="I231" s="12">
        <v>730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  <c r="S231" s="13">
        <v>0</v>
      </c>
      <c r="T231" s="13">
        <v>0</v>
      </c>
      <c r="U231" s="13">
        <v>0</v>
      </c>
      <c r="V231" s="13">
        <v>0</v>
      </c>
      <c r="W231" s="13">
        <v>0</v>
      </c>
      <c r="X231" s="13">
        <v>0</v>
      </c>
      <c r="Y231" s="13">
        <v>0</v>
      </c>
      <c r="Z231" s="13">
        <v>0</v>
      </c>
      <c r="AA231" s="13">
        <v>33</v>
      </c>
      <c r="AB231" s="13">
        <v>0</v>
      </c>
      <c r="AC231" s="13">
        <v>0</v>
      </c>
      <c r="AD231" s="13">
        <v>120</v>
      </c>
    </row>
    <row r="232" spans="1:30" ht="15.75" thickBot="1" x14ac:dyDescent="0.3">
      <c r="A232" s="9" t="s">
        <v>536</v>
      </c>
      <c r="B232" s="9" t="s">
        <v>737</v>
      </c>
      <c r="C232" s="45" t="str">
        <f t="shared" si="3"/>
        <v>MLDE23942APIA30</v>
      </c>
      <c r="D232" s="10" t="s">
        <v>750</v>
      </c>
      <c r="E232" s="10" t="s">
        <v>734</v>
      </c>
      <c r="F232" s="9" t="s">
        <v>261</v>
      </c>
      <c r="G232" s="9" t="s">
        <v>262</v>
      </c>
      <c r="H232" s="12">
        <v>90</v>
      </c>
      <c r="I232" s="12">
        <v>1192</v>
      </c>
      <c r="J232" s="13">
        <v>0</v>
      </c>
      <c r="K232" s="13">
        <v>183</v>
      </c>
      <c r="L232" s="13">
        <v>682</v>
      </c>
      <c r="M232" s="13">
        <v>811</v>
      </c>
      <c r="N232" s="13">
        <v>1019</v>
      </c>
      <c r="O232" s="13">
        <v>1153</v>
      </c>
      <c r="P232" s="13">
        <v>762</v>
      </c>
      <c r="Q232" s="13">
        <v>575</v>
      </c>
      <c r="R232" s="13">
        <v>915</v>
      </c>
      <c r="S232" s="13">
        <v>1060</v>
      </c>
      <c r="T232" s="13">
        <v>1085</v>
      </c>
      <c r="U232" s="13">
        <v>767</v>
      </c>
      <c r="V232" s="13">
        <v>1298</v>
      </c>
      <c r="W232" s="13">
        <v>1480</v>
      </c>
      <c r="X232" s="13">
        <v>1220</v>
      </c>
      <c r="Y232" s="13">
        <v>1921</v>
      </c>
      <c r="Z232" s="13">
        <v>420</v>
      </c>
      <c r="AA232" s="13">
        <v>0</v>
      </c>
      <c r="AB232" s="13">
        <v>1176</v>
      </c>
      <c r="AC232" s="13">
        <v>1503</v>
      </c>
      <c r="AD232" s="13">
        <v>1396</v>
      </c>
    </row>
    <row r="233" spans="1:30" ht="15.75" thickBot="1" x14ac:dyDescent="0.3">
      <c r="A233" s="9" t="s">
        <v>536</v>
      </c>
      <c r="B233" s="9" t="s">
        <v>737</v>
      </c>
      <c r="C233" s="45" t="str">
        <f t="shared" si="3"/>
        <v>MLDE23943APIA30</v>
      </c>
      <c r="D233" s="10" t="s">
        <v>751</v>
      </c>
      <c r="E233" s="10" t="s">
        <v>752</v>
      </c>
      <c r="F233" s="9" t="s">
        <v>261</v>
      </c>
      <c r="G233" s="9" t="s">
        <v>262</v>
      </c>
      <c r="H233" s="12">
        <v>90</v>
      </c>
      <c r="I233" s="12">
        <v>2270</v>
      </c>
      <c r="J233" s="13">
        <v>0</v>
      </c>
      <c r="K233" s="13">
        <v>183</v>
      </c>
      <c r="L233" s="13">
        <v>682</v>
      </c>
      <c r="M233" s="13">
        <v>811</v>
      </c>
      <c r="N233" s="13">
        <v>1019</v>
      </c>
      <c r="O233" s="13">
        <v>1153</v>
      </c>
      <c r="P233" s="13">
        <v>762</v>
      </c>
      <c r="Q233" s="13">
        <v>575</v>
      </c>
      <c r="R233" s="13">
        <v>915</v>
      </c>
      <c r="S233" s="13">
        <v>1060</v>
      </c>
      <c r="T233" s="13">
        <v>1085</v>
      </c>
      <c r="U233" s="13">
        <v>767</v>
      </c>
      <c r="V233" s="13">
        <v>1298</v>
      </c>
      <c r="W233" s="13">
        <v>1480</v>
      </c>
      <c r="X233" s="13">
        <v>1220</v>
      </c>
      <c r="Y233" s="13">
        <v>1921</v>
      </c>
      <c r="Z233" s="13">
        <v>420</v>
      </c>
      <c r="AA233" s="13">
        <v>0</v>
      </c>
      <c r="AB233" s="13">
        <v>1176</v>
      </c>
      <c r="AC233" s="13">
        <v>1503</v>
      </c>
      <c r="AD233" s="13">
        <v>1396</v>
      </c>
    </row>
    <row r="234" spans="1:30" ht="15.75" thickBot="1" x14ac:dyDescent="0.3">
      <c r="A234" s="9" t="s">
        <v>536</v>
      </c>
      <c r="B234" s="9" t="s">
        <v>737</v>
      </c>
      <c r="C234" s="45" t="str">
        <f t="shared" si="3"/>
        <v>N1WB 9G924 BA</v>
      </c>
      <c r="D234" s="10" t="s">
        <v>753</v>
      </c>
      <c r="E234" s="10" t="s">
        <v>754</v>
      </c>
      <c r="F234" s="9" t="s">
        <v>261</v>
      </c>
      <c r="G234" s="9" t="s">
        <v>262</v>
      </c>
      <c r="H234" s="11">
        <v>102.8571</v>
      </c>
      <c r="I234" s="12">
        <v>83</v>
      </c>
      <c r="J234" s="13">
        <v>0</v>
      </c>
      <c r="K234" s="13">
        <v>0</v>
      </c>
      <c r="L234" s="13">
        <v>0</v>
      </c>
      <c r="M234" s="13">
        <v>143</v>
      </c>
      <c r="N234" s="13">
        <v>288</v>
      </c>
      <c r="O234" s="13">
        <v>307</v>
      </c>
      <c r="P234" s="13">
        <v>365</v>
      </c>
      <c r="Q234" s="13">
        <v>288</v>
      </c>
      <c r="R234" s="13">
        <v>307</v>
      </c>
      <c r="S234" s="13">
        <v>449</v>
      </c>
      <c r="T234" s="13">
        <v>480</v>
      </c>
      <c r="U234" s="13">
        <v>461</v>
      </c>
      <c r="V234" s="13">
        <v>423</v>
      </c>
      <c r="W234" s="13">
        <v>595</v>
      </c>
      <c r="X234" s="13">
        <v>653</v>
      </c>
      <c r="Y234" s="13">
        <v>595</v>
      </c>
      <c r="Z234" s="13">
        <v>582</v>
      </c>
      <c r="AA234" s="13">
        <v>58</v>
      </c>
      <c r="AB234" s="13">
        <v>346</v>
      </c>
      <c r="AC234" s="13">
        <v>595</v>
      </c>
      <c r="AD234" s="13">
        <v>653</v>
      </c>
    </row>
    <row r="235" spans="1:30" ht="15.75" thickBot="1" x14ac:dyDescent="0.3">
      <c r="A235" s="9" t="s">
        <v>536</v>
      </c>
      <c r="B235" s="9" t="s">
        <v>755</v>
      </c>
      <c r="C235" s="45" t="str">
        <f t="shared" si="3"/>
        <v>85686515</v>
      </c>
      <c r="D235" s="10" t="s">
        <v>756</v>
      </c>
      <c r="E235" s="10" t="s">
        <v>757</v>
      </c>
      <c r="F235" s="9" t="s">
        <v>404</v>
      </c>
      <c r="G235" s="9" t="s">
        <v>262</v>
      </c>
      <c r="H235" s="12">
        <v>120</v>
      </c>
      <c r="I235" s="12">
        <v>144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48</v>
      </c>
      <c r="Q235" s="13">
        <v>0</v>
      </c>
      <c r="R235" s="13">
        <v>96</v>
      </c>
      <c r="S235" s="13">
        <v>0</v>
      </c>
      <c r="T235" s="13">
        <v>96</v>
      </c>
      <c r="U235" s="13">
        <v>0</v>
      </c>
      <c r="V235" s="13">
        <v>96</v>
      </c>
      <c r="W235" s="13">
        <v>96</v>
      </c>
      <c r="X235" s="13">
        <v>96</v>
      </c>
      <c r="Y235" s="13">
        <v>96</v>
      </c>
      <c r="Z235" s="13">
        <v>0</v>
      </c>
      <c r="AA235" s="13">
        <v>96</v>
      </c>
      <c r="AB235" s="13">
        <v>0</v>
      </c>
      <c r="AC235" s="13">
        <v>96</v>
      </c>
      <c r="AD235" s="13">
        <v>0</v>
      </c>
    </row>
    <row r="236" spans="1:30" ht="15.75" thickBot="1" x14ac:dyDescent="0.3">
      <c r="A236" s="9" t="s">
        <v>536</v>
      </c>
      <c r="B236" s="9" t="s">
        <v>755</v>
      </c>
      <c r="C236" s="45" t="str">
        <f t="shared" si="3"/>
        <v>MLD2623943GH00</v>
      </c>
      <c r="D236" s="10" t="s">
        <v>758</v>
      </c>
      <c r="E236" s="10" t="s">
        <v>759</v>
      </c>
      <c r="F236" s="9" t="s">
        <v>494</v>
      </c>
      <c r="G236" s="9" t="s">
        <v>262</v>
      </c>
      <c r="H236" s="12">
        <v>72</v>
      </c>
      <c r="I236" s="12">
        <v>31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9</v>
      </c>
      <c r="W236" s="13">
        <v>0</v>
      </c>
      <c r="X236" s="13">
        <v>0</v>
      </c>
      <c r="Y236" s="13">
        <v>0</v>
      </c>
      <c r="Z236" s="13">
        <v>14</v>
      </c>
      <c r="AA236" s="13">
        <v>0</v>
      </c>
      <c r="AB236" s="13">
        <v>0</v>
      </c>
      <c r="AC236" s="13">
        <v>0</v>
      </c>
      <c r="AD236" s="13">
        <v>0</v>
      </c>
    </row>
    <row r="237" spans="1:30" ht="15.75" thickBot="1" x14ac:dyDescent="0.3">
      <c r="A237" s="9" t="s">
        <v>536</v>
      </c>
      <c r="B237" s="9" t="s">
        <v>755</v>
      </c>
      <c r="C237" s="45" t="str">
        <f t="shared" si="3"/>
        <v>MLDE27406BPIA02</v>
      </c>
      <c r="D237" s="10" t="s">
        <v>760</v>
      </c>
      <c r="E237" s="10" t="s">
        <v>761</v>
      </c>
      <c r="F237" s="9" t="s">
        <v>261</v>
      </c>
      <c r="G237" s="9" t="s">
        <v>262</v>
      </c>
      <c r="H237" s="12">
        <v>80</v>
      </c>
      <c r="I237" s="12">
        <v>594</v>
      </c>
      <c r="J237" s="13">
        <v>2</v>
      </c>
      <c r="K237" s="13">
        <v>1736</v>
      </c>
      <c r="L237" s="13">
        <v>1005</v>
      </c>
      <c r="M237" s="13">
        <v>1109</v>
      </c>
      <c r="N237" s="13">
        <v>1282</v>
      </c>
      <c r="O237" s="13">
        <v>1468</v>
      </c>
      <c r="P237" s="13">
        <v>1172</v>
      </c>
      <c r="Q237" s="13">
        <v>943</v>
      </c>
      <c r="R237" s="13">
        <v>1376</v>
      </c>
      <c r="S237" s="13">
        <v>1565</v>
      </c>
      <c r="T237" s="13">
        <v>1571</v>
      </c>
      <c r="U237" s="13">
        <v>1131</v>
      </c>
      <c r="V237" s="13">
        <v>1874</v>
      </c>
      <c r="W237" s="13">
        <v>2063</v>
      </c>
      <c r="X237" s="13">
        <v>1771</v>
      </c>
      <c r="Y237" s="13">
        <v>2805</v>
      </c>
      <c r="Z237" s="13">
        <v>606</v>
      </c>
      <c r="AA237" s="13">
        <v>0</v>
      </c>
      <c r="AB237" s="13">
        <v>1672</v>
      </c>
      <c r="AC237" s="13">
        <v>2099</v>
      </c>
      <c r="AD237" s="13">
        <v>1943</v>
      </c>
    </row>
    <row r="238" spans="1:30" ht="15.75" thickBot="1" x14ac:dyDescent="0.3">
      <c r="A238" s="9" t="s">
        <v>536</v>
      </c>
      <c r="B238" s="9" t="s">
        <v>755</v>
      </c>
      <c r="C238" s="45" t="str">
        <f t="shared" si="3"/>
        <v>MLDE27407BPIA02</v>
      </c>
      <c r="D238" s="10" t="s">
        <v>762</v>
      </c>
      <c r="E238" s="10" t="s">
        <v>763</v>
      </c>
      <c r="F238" s="9" t="s">
        <v>261</v>
      </c>
      <c r="G238" s="9" t="s">
        <v>262</v>
      </c>
      <c r="H238" s="12">
        <v>80</v>
      </c>
      <c r="I238" s="12">
        <v>157</v>
      </c>
      <c r="J238" s="13">
        <v>2</v>
      </c>
      <c r="K238" s="13">
        <v>1736</v>
      </c>
      <c r="L238" s="13">
        <v>1005</v>
      </c>
      <c r="M238" s="13">
        <v>1109</v>
      </c>
      <c r="N238" s="13">
        <v>1282</v>
      </c>
      <c r="O238" s="13">
        <v>1468</v>
      </c>
      <c r="P238" s="13">
        <v>1172</v>
      </c>
      <c r="Q238" s="13">
        <v>943</v>
      </c>
      <c r="R238" s="13">
        <v>1376</v>
      </c>
      <c r="S238" s="13">
        <v>1565</v>
      </c>
      <c r="T238" s="13">
        <v>1571</v>
      </c>
      <c r="U238" s="13">
        <v>1131</v>
      </c>
      <c r="V238" s="13">
        <v>1874</v>
      </c>
      <c r="W238" s="13">
        <v>2063</v>
      </c>
      <c r="X238" s="13">
        <v>1771</v>
      </c>
      <c r="Y238" s="13">
        <v>2805</v>
      </c>
      <c r="Z238" s="13">
        <v>606</v>
      </c>
      <c r="AA238" s="13">
        <v>0</v>
      </c>
      <c r="AB238" s="13">
        <v>1672</v>
      </c>
      <c r="AC238" s="13">
        <v>2099</v>
      </c>
      <c r="AD238" s="13">
        <v>1943</v>
      </c>
    </row>
    <row r="239" spans="1:30" ht="15.75" thickBot="1" x14ac:dyDescent="0.3">
      <c r="A239" s="9" t="s">
        <v>536</v>
      </c>
      <c r="B239" s="9" t="s">
        <v>764</v>
      </c>
      <c r="C239" s="45" t="str">
        <f t="shared" si="3"/>
        <v>MLDE23942APIA45</v>
      </c>
      <c r="D239" s="10" t="s">
        <v>765</v>
      </c>
      <c r="E239" s="10" t="s">
        <v>766</v>
      </c>
      <c r="F239" s="9" t="s">
        <v>261</v>
      </c>
      <c r="G239" s="9" t="s">
        <v>262</v>
      </c>
      <c r="H239" s="12">
        <v>80</v>
      </c>
      <c r="I239" s="12">
        <v>1128</v>
      </c>
      <c r="J239" s="13">
        <v>0</v>
      </c>
      <c r="K239" s="13">
        <v>0</v>
      </c>
      <c r="L239" s="13">
        <v>161</v>
      </c>
      <c r="M239" s="13">
        <v>1038</v>
      </c>
      <c r="N239" s="13">
        <v>1228</v>
      </c>
      <c r="O239" s="13">
        <v>1344</v>
      </c>
      <c r="P239" s="13">
        <v>1268</v>
      </c>
      <c r="Q239" s="13">
        <v>1074</v>
      </c>
      <c r="R239" s="13">
        <v>1192</v>
      </c>
      <c r="S239" s="13">
        <v>1536</v>
      </c>
      <c r="T239" s="13">
        <v>1536</v>
      </c>
      <c r="U239" s="13">
        <v>1382</v>
      </c>
      <c r="V239" s="13">
        <v>1536</v>
      </c>
      <c r="W239" s="13">
        <v>2112</v>
      </c>
      <c r="X239" s="13">
        <v>1958</v>
      </c>
      <c r="Y239" s="13">
        <v>1958</v>
      </c>
      <c r="Z239" s="13">
        <v>1382</v>
      </c>
      <c r="AA239" s="13">
        <v>308</v>
      </c>
      <c r="AB239" s="13">
        <v>1306</v>
      </c>
      <c r="AC239" s="13">
        <v>2112</v>
      </c>
      <c r="AD239" s="13">
        <v>1958</v>
      </c>
    </row>
    <row r="240" spans="1:30" ht="15.75" thickBot="1" x14ac:dyDescent="0.3">
      <c r="A240" s="9" t="s">
        <v>536</v>
      </c>
      <c r="B240" s="9" t="s">
        <v>764</v>
      </c>
      <c r="C240" s="45" t="str">
        <f t="shared" si="3"/>
        <v>MLDE23943APIA41</v>
      </c>
      <c r="D240" s="10" t="s">
        <v>767</v>
      </c>
      <c r="E240" s="10" t="s">
        <v>768</v>
      </c>
      <c r="F240" s="9" t="s">
        <v>261</v>
      </c>
      <c r="G240" s="9" t="s">
        <v>262</v>
      </c>
      <c r="H240" s="12">
        <v>80</v>
      </c>
      <c r="I240" s="12">
        <v>4841</v>
      </c>
      <c r="J240" s="13">
        <v>0</v>
      </c>
      <c r="K240" s="13">
        <v>0</v>
      </c>
      <c r="L240" s="13">
        <v>161</v>
      </c>
      <c r="M240" s="13">
        <v>1038</v>
      </c>
      <c r="N240" s="13">
        <v>1228</v>
      </c>
      <c r="O240" s="13">
        <v>1344</v>
      </c>
      <c r="P240" s="13">
        <v>1268</v>
      </c>
      <c r="Q240" s="13">
        <v>1074</v>
      </c>
      <c r="R240" s="13">
        <v>1192</v>
      </c>
      <c r="S240" s="13">
        <v>1536</v>
      </c>
      <c r="T240" s="13">
        <v>1536</v>
      </c>
      <c r="U240" s="13">
        <v>1382</v>
      </c>
      <c r="V240" s="13">
        <v>1536</v>
      </c>
      <c r="W240" s="13">
        <v>2112</v>
      </c>
      <c r="X240" s="13">
        <v>1958</v>
      </c>
      <c r="Y240" s="13">
        <v>1958</v>
      </c>
      <c r="Z240" s="13">
        <v>1382</v>
      </c>
      <c r="AA240" s="13">
        <v>308</v>
      </c>
      <c r="AB240" s="13">
        <v>1306</v>
      </c>
      <c r="AC240" s="13">
        <v>2112</v>
      </c>
      <c r="AD240" s="13">
        <v>1958</v>
      </c>
    </row>
    <row r="241" spans="1:30" ht="15.75" thickBot="1" x14ac:dyDescent="0.3">
      <c r="A241" s="9" t="s">
        <v>536</v>
      </c>
      <c r="B241" s="9" t="s">
        <v>769</v>
      </c>
      <c r="C241" s="45" t="str">
        <f t="shared" si="3"/>
        <v>MLDBEE86204</v>
      </c>
      <c r="D241" s="10" t="s">
        <v>770</v>
      </c>
      <c r="E241" s="10" t="s">
        <v>771</v>
      </c>
      <c r="F241" s="9" t="s">
        <v>404</v>
      </c>
      <c r="G241" s="9" t="s">
        <v>262</v>
      </c>
      <c r="H241" s="12">
        <v>72</v>
      </c>
      <c r="I241" s="12">
        <v>3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40</v>
      </c>
      <c r="Q241" s="13">
        <v>120</v>
      </c>
      <c r="R241" s="13">
        <v>0</v>
      </c>
      <c r="S241" s="13">
        <v>0</v>
      </c>
      <c r="T241" s="13">
        <v>120</v>
      </c>
      <c r="U241" s="13">
        <v>0</v>
      </c>
      <c r="V241" s="13">
        <v>120</v>
      </c>
      <c r="W241" s="13">
        <v>120</v>
      </c>
      <c r="X241" s="13">
        <v>0</v>
      </c>
      <c r="Y241" s="13">
        <v>120</v>
      </c>
      <c r="Z241" s="13">
        <v>0</v>
      </c>
      <c r="AA241" s="13">
        <v>120</v>
      </c>
      <c r="AB241" s="13">
        <v>0</v>
      </c>
      <c r="AC241" s="13">
        <v>0</v>
      </c>
      <c r="AD241" s="13">
        <v>120</v>
      </c>
    </row>
    <row r="242" spans="1:30" ht="15.75" thickBot="1" x14ac:dyDescent="0.3">
      <c r="A242" s="9" t="s">
        <v>536</v>
      </c>
      <c r="B242" s="9" t="s">
        <v>769</v>
      </c>
      <c r="C242" s="45" t="str">
        <f t="shared" si="3"/>
        <v>MLDBEE95348</v>
      </c>
      <c r="D242" s="10" t="s">
        <v>772</v>
      </c>
      <c r="E242" s="10" t="s">
        <v>455</v>
      </c>
      <c r="F242" s="9" t="s">
        <v>404</v>
      </c>
      <c r="G242" s="9" t="s">
        <v>262</v>
      </c>
      <c r="H242" s="12">
        <v>72</v>
      </c>
      <c r="I242" s="12">
        <v>10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40</v>
      </c>
      <c r="Q242" s="13">
        <v>120</v>
      </c>
      <c r="R242" s="13">
        <v>0</v>
      </c>
      <c r="S242" s="13">
        <v>0</v>
      </c>
      <c r="T242" s="13">
        <v>120</v>
      </c>
      <c r="U242" s="13">
        <v>0</v>
      </c>
      <c r="V242" s="13">
        <v>120</v>
      </c>
      <c r="W242" s="13">
        <v>120</v>
      </c>
      <c r="X242" s="13">
        <v>0</v>
      </c>
      <c r="Y242" s="13">
        <v>120</v>
      </c>
      <c r="Z242" s="13">
        <v>0</v>
      </c>
      <c r="AA242" s="13">
        <v>120</v>
      </c>
      <c r="AB242" s="13">
        <v>0</v>
      </c>
      <c r="AC242" s="13">
        <v>0</v>
      </c>
      <c r="AD242" s="13">
        <v>120</v>
      </c>
    </row>
    <row r="243" spans="1:30" ht="15.75" thickBot="1" x14ac:dyDescent="0.3">
      <c r="A243" s="9" t="s">
        <v>536</v>
      </c>
      <c r="B243" s="9" t="s">
        <v>769</v>
      </c>
      <c r="C243" s="45" t="str">
        <f t="shared" si="3"/>
        <v>MLDE23900APIA04</v>
      </c>
      <c r="D243" s="10" t="s">
        <v>773</v>
      </c>
      <c r="E243" s="10" t="s">
        <v>774</v>
      </c>
      <c r="F243" s="9" t="s">
        <v>261</v>
      </c>
      <c r="G243" s="9" t="s">
        <v>262</v>
      </c>
      <c r="H243" s="11">
        <v>81.818100000000001</v>
      </c>
      <c r="I243" s="12">
        <v>480</v>
      </c>
      <c r="J243" s="13">
        <v>0</v>
      </c>
      <c r="K243" s="13">
        <v>736</v>
      </c>
      <c r="L243" s="13">
        <v>682</v>
      </c>
      <c r="M243" s="13">
        <v>811</v>
      </c>
      <c r="N243" s="13">
        <v>1019</v>
      </c>
      <c r="O243" s="13">
        <v>1153</v>
      </c>
      <c r="P243" s="13">
        <v>762</v>
      </c>
      <c r="Q243" s="13">
        <v>575</v>
      </c>
      <c r="R243" s="13">
        <v>915</v>
      </c>
      <c r="S243" s="13">
        <v>1060</v>
      </c>
      <c r="T243" s="13">
        <v>1085</v>
      </c>
      <c r="U243" s="13">
        <v>767</v>
      </c>
      <c r="V243" s="13">
        <v>1296</v>
      </c>
      <c r="W243" s="13">
        <v>1480</v>
      </c>
      <c r="X243" s="13">
        <v>1220</v>
      </c>
      <c r="Y243" s="13">
        <v>1921</v>
      </c>
      <c r="Z243" s="13">
        <v>420</v>
      </c>
      <c r="AA243" s="13">
        <v>0</v>
      </c>
      <c r="AB243" s="13">
        <v>1176</v>
      </c>
      <c r="AC243" s="13">
        <v>1503</v>
      </c>
      <c r="AD243" s="13">
        <v>1396</v>
      </c>
    </row>
    <row r="244" spans="1:30" ht="15.75" thickBot="1" x14ac:dyDescent="0.3">
      <c r="A244" s="9" t="s">
        <v>536</v>
      </c>
      <c r="B244" s="9" t="s">
        <v>769</v>
      </c>
      <c r="C244" s="45" t="str">
        <f t="shared" si="3"/>
        <v>MLDE23900APIA07</v>
      </c>
      <c r="D244" s="10" t="s">
        <v>775</v>
      </c>
      <c r="E244" s="10" t="s">
        <v>776</v>
      </c>
      <c r="F244" s="9" t="s">
        <v>261</v>
      </c>
      <c r="G244" s="9" t="s">
        <v>262</v>
      </c>
      <c r="H244" s="11">
        <v>81.818100000000001</v>
      </c>
      <c r="I244" s="12">
        <v>500</v>
      </c>
      <c r="J244" s="13">
        <v>0</v>
      </c>
      <c r="K244" s="13">
        <v>735</v>
      </c>
      <c r="L244" s="13">
        <v>682</v>
      </c>
      <c r="M244" s="13">
        <v>811</v>
      </c>
      <c r="N244" s="13">
        <v>1019</v>
      </c>
      <c r="O244" s="13">
        <v>1153</v>
      </c>
      <c r="P244" s="13">
        <v>762</v>
      </c>
      <c r="Q244" s="13">
        <v>575</v>
      </c>
      <c r="R244" s="13">
        <v>915</v>
      </c>
      <c r="S244" s="13">
        <v>1062</v>
      </c>
      <c r="T244" s="13">
        <v>1085</v>
      </c>
      <c r="U244" s="13">
        <v>767</v>
      </c>
      <c r="V244" s="13">
        <v>1296</v>
      </c>
      <c r="W244" s="13">
        <v>1480</v>
      </c>
      <c r="X244" s="13">
        <v>1220</v>
      </c>
      <c r="Y244" s="13">
        <v>1921</v>
      </c>
      <c r="Z244" s="13">
        <v>420</v>
      </c>
      <c r="AA244" s="13">
        <v>0</v>
      </c>
      <c r="AB244" s="13">
        <v>1176</v>
      </c>
      <c r="AC244" s="13">
        <v>1503</v>
      </c>
      <c r="AD244" s="13">
        <v>1396</v>
      </c>
    </row>
    <row r="245" spans="1:30" ht="15.75" thickBot="1" x14ac:dyDescent="0.3">
      <c r="A245" s="9" t="s">
        <v>536</v>
      </c>
      <c r="B245" s="9" t="s">
        <v>769</v>
      </c>
      <c r="C245" s="45" t="str">
        <f t="shared" si="3"/>
        <v>MLDE23901APIA04</v>
      </c>
      <c r="D245" s="10" t="s">
        <v>777</v>
      </c>
      <c r="E245" s="10" t="s">
        <v>778</v>
      </c>
      <c r="F245" s="9" t="s">
        <v>261</v>
      </c>
      <c r="G245" s="9" t="s">
        <v>262</v>
      </c>
      <c r="H245" s="11">
        <v>81.818100000000001</v>
      </c>
      <c r="I245" s="12">
        <v>1669</v>
      </c>
      <c r="J245" s="13">
        <v>0</v>
      </c>
      <c r="K245" s="13">
        <v>736</v>
      </c>
      <c r="L245" s="13">
        <v>682</v>
      </c>
      <c r="M245" s="13">
        <v>811</v>
      </c>
      <c r="N245" s="13">
        <v>1019</v>
      </c>
      <c r="O245" s="13">
        <v>1153</v>
      </c>
      <c r="P245" s="13">
        <v>762</v>
      </c>
      <c r="Q245" s="13">
        <v>575</v>
      </c>
      <c r="R245" s="13">
        <v>915</v>
      </c>
      <c r="S245" s="13">
        <v>1060</v>
      </c>
      <c r="T245" s="13">
        <v>1085</v>
      </c>
      <c r="U245" s="13">
        <v>767</v>
      </c>
      <c r="V245" s="13">
        <v>1296</v>
      </c>
      <c r="W245" s="13">
        <v>1480</v>
      </c>
      <c r="X245" s="13">
        <v>1220</v>
      </c>
      <c r="Y245" s="13">
        <v>1921</v>
      </c>
      <c r="Z245" s="13">
        <v>420</v>
      </c>
      <c r="AA245" s="13">
        <v>0</v>
      </c>
      <c r="AB245" s="13">
        <v>1176</v>
      </c>
      <c r="AC245" s="13">
        <v>1503</v>
      </c>
      <c r="AD245" s="13">
        <v>1396</v>
      </c>
    </row>
    <row r="246" spans="1:30" ht="15.75" thickBot="1" x14ac:dyDescent="0.3">
      <c r="A246" s="9" t="s">
        <v>536</v>
      </c>
      <c r="B246" s="9" t="s">
        <v>769</v>
      </c>
      <c r="C246" s="45" t="str">
        <f t="shared" si="3"/>
        <v>MLDE23901APIA07</v>
      </c>
      <c r="D246" s="10" t="s">
        <v>779</v>
      </c>
      <c r="E246" s="10" t="s">
        <v>780</v>
      </c>
      <c r="F246" s="9" t="s">
        <v>261</v>
      </c>
      <c r="G246" s="9" t="s">
        <v>262</v>
      </c>
      <c r="H246" s="11">
        <v>81.818100000000001</v>
      </c>
      <c r="I246" s="12">
        <v>418</v>
      </c>
      <c r="J246" s="13">
        <v>0</v>
      </c>
      <c r="K246" s="13">
        <v>735</v>
      </c>
      <c r="L246" s="13">
        <v>682</v>
      </c>
      <c r="M246" s="13">
        <v>811</v>
      </c>
      <c r="N246" s="13">
        <v>1019</v>
      </c>
      <c r="O246" s="13">
        <v>1153</v>
      </c>
      <c r="P246" s="13">
        <v>762</v>
      </c>
      <c r="Q246" s="13">
        <v>575</v>
      </c>
      <c r="R246" s="13">
        <v>915</v>
      </c>
      <c r="S246" s="13">
        <v>1062</v>
      </c>
      <c r="T246" s="13">
        <v>1085</v>
      </c>
      <c r="U246" s="13">
        <v>767</v>
      </c>
      <c r="V246" s="13">
        <v>1296</v>
      </c>
      <c r="W246" s="13">
        <v>1480</v>
      </c>
      <c r="X246" s="13">
        <v>1220</v>
      </c>
      <c r="Y246" s="13">
        <v>1921</v>
      </c>
      <c r="Z246" s="13">
        <v>420</v>
      </c>
      <c r="AA246" s="13">
        <v>0</v>
      </c>
      <c r="AB246" s="13">
        <v>1176</v>
      </c>
      <c r="AC246" s="13">
        <v>1503</v>
      </c>
      <c r="AD246" s="13">
        <v>1396</v>
      </c>
    </row>
    <row r="247" spans="1:30" ht="15.75" thickBot="1" x14ac:dyDescent="0.3">
      <c r="A247" s="9" t="s">
        <v>536</v>
      </c>
      <c r="B247" s="9" t="s">
        <v>769</v>
      </c>
      <c r="C247" s="45" t="str">
        <f t="shared" si="3"/>
        <v>MLDE266A64APIA01</v>
      </c>
      <c r="D247" s="10" t="s">
        <v>781</v>
      </c>
      <c r="E247" s="10" t="s">
        <v>782</v>
      </c>
      <c r="F247" s="9" t="s">
        <v>261</v>
      </c>
      <c r="G247" s="9" t="s">
        <v>262</v>
      </c>
      <c r="H247" s="11">
        <v>81.818100000000001</v>
      </c>
      <c r="I247" s="12">
        <v>1448</v>
      </c>
      <c r="J247" s="13">
        <v>0</v>
      </c>
      <c r="K247" s="13">
        <v>687</v>
      </c>
      <c r="L247" s="13">
        <v>1005</v>
      </c>
      <c r="M247" s="13">
        <v>1109</v>
      </c>
      <c r="N247" s="13">
        <v>1282</v>
      </c>
      <c r="O247" s="13">
        <v>1468</v>
      </c>
      <c r="P247" s="13">
        <v>1172</v>
      </c>
      <c r="Q247" s="13">
        <v>943</v>
      </c>
      <c r="R247" s="13">
        <v>1376</v>
      </c>
      <c r="S247" s="13">
        <v>1565</v>
      </c>
      <c r="T247" s="13">
        <v>1571</v>
      </c>
      <c r="U247" s="13">
        <v>1131</v>
      </c>
      <c r="V247" s="13">
        <v>1874</v>
      </c>
      <c r="W247" s="13">
        <v>2063</v>
      </c>
      <c r="X247" s="13">
        <v>1771</v>
      </c>
      <c r="Y247" s="13">
        <v>2805</v>
      </c>
      <c r="Z247" s="13">
        <v>606</v>
      </c>
      <c r="AA247" s="13">
        <v>0</v>
      </c>
      <c r="AB247" s="13">
        <v>1672</v>
      </c>
      <c r="AC247" s="13">
        <v>2099</v>
      </c>
      <c r="AD247" s="13">
        <v>1943</v>
      </c>
    </row>
    <row r="248" spans="1:30" ht="15.75" thickBot="1" x14ac:dyDescent="0.3">
      <c r="A248" s="9" t="s">
        <v>536</v>
      </c>
      <c r="B248" s="9" t="s">
        <v>769</v>
      </c>
      <c r="C248" s="45" t="str">
        <f t="shared" si="3"/>
        <v>MLDE266A65APIA01</v>
      </c>
      <c r="D248" s="10" t="s">
        <v>783</v>
      </c>
      <c r="E248" s="10" t="s">
        <v>784</v>
      </c>
      <c r="F248" s="9" t="s">
        <v>261</v>
      </c>
      <c r="G248" s="9" t="s">
        <v>262</v>
      </c>
      <c r="H248" s="11">
        <v>81.818100000000001</v>
      </c>
      <c r="I248" s="12">
        <v>1208</v>
      </c>
      <c r="J248" s="13">
        <v>0</v>
      </c>
      <c r="K248" s="13">
        <v>687</v>
      </c>
      <c r="L248" s="13">
        <v>1005</v>
      </c>
      <c r="M248" s="13">
        <v>1109</v>
      </c>
      <c r="N248" s="13">
        <v>1282</v>
      </c>
      <c r="O248" s="13">
        <v>1468</v>
      </c>
      <c r="P248" s="13">
        <v>1172</v>
      </c>
      <c r="Q248" s="13">
        <v>943</v>
      </c>
      <c r="R248" s="13">
        <v>1376</v>
      </c>
      <c r="S248" s="13">
        <v>1565</v>
      </c>
      <c r="T248" s="13">
        <v>1571</v>
      </c>
      <c r="U248" s="13">
        <v>1131</v>
      </c>
      <c r="V248" s="13">
        <v>1874</v>
      </c>
      <c r="W248" s="13">
        <v>2063</v>
      </c>
      <c r="X248" s="13">
        <v>1771</v>
      </c>
      <c r="Y248" s="13">
        <v>2805</v>
      </c>
      <c r="Z248" s="13">
        <v>606</v>
      </c>
      <c r="AA248" s="13">
        <v>0</v>
      </c>
      <c r="AB248" s="13">
        <v>1672</v>
      </c>
      <c r="AC248" s="13">
        <v>2099</v>
      </c>
      <c r="AD248" s="13">
        <v>1943</v>
      </c>
    </row>
    <row r="249" spans="1:30" ht="15.75" thickBot="1" x14ac:dyDescent="0.3">
      <c r="A249" s="9" t="s">
        <v>536</v>
      </c>
      <c r="B249" s="9" t="s">
        <v>769</v>
      </c>
      <c r="C249" s="45" t="str">
        <f t="shared" si="3"/>
        <v>MLDE27406BPIA11</v>
      </c>
      <c r="D249" s="10" t="s">
        <v>785</v>
      </c>
      <c r="E249" s="10" t="s">
        <v>786</v>
      </c>
      <c r="F249" s="9" t="s">
        <v>261</v>
      </c>
      <c r="G249" s="9" t="s">
        <v>262</v>
      </c>
      <c r="H249" s="12">
        <v>90</v>
      </c>
      <c r="I249" s="12">
        <v>-11</v>
      </c>
      <c r="J249" s="13">
        <v>0</v>
      </c>
      <c r="K249" s="13">
        <v>1203</v>
      </c>
      <c r="L249" s="13">
        <v>1030</v>
      </c>
      <c r="M249" s="13">
        <v>1309</v>
      </c>
      <c r="N249" s="13">
        <v>1466</v>
      </c>
      <c r="O249" s="13">
        <v>1767</v>
      </c>
      <c r="P249" s="13">
        <v>1251</v>
      </c>
      <c r="Q249" s="13">
        <v>1030</v>
      </c>
      <c r="R249" s="13">
        <v>1725</v>
      </c>
      <c r="S249" s="13">
        <v>1839</v>
      </c>
      <c r="T249" s="13">
        <v>1811</v>
      </c>
      <c r="U249" s="13">
        <v>1203</v>
      </c>
      <c r="V249" s="13">
        <v>2486</v>
      </c>
      <c r="W249" s="13">
        <v>2395</v>
      </c>
      <c r="X249" s="13">
        <v>2030</v>
      </c>
      <c r="Y249" s="13">
        <v>3594</v>
      </c>
      <c r="Z249" s="13">
        <v>7</v>
      </c>
      <c r="AA249" s="13">
        <v>0</v>
      </c>
      <c r="AB249" s="13">
        <v>2436</v>
      </c>
      <c r="AC249" s="13">
        <v>2439</v>
      </c>
      <c r="AD249" s="13">
        <v>2210</v>
      </c>
    </row>
    <row r="250" spans="1:30" ht="15.75" thickBot="1" x14ac:dyDescent="0.3">
      <c r="A250" s="9" t="s">
        <v>536</v>
      </c>
      <c r="B250" s="9" t="s">
        <v>769</v>
      </c>
      <c r="C250" s="45" t="str">
        <f t="shared" si="3"/>
        <v>MLDE27407BPIA11</v>
      </c>
      <c r="D250" s="10" t="s">
        <v>787</v>
      </c>
      <c r="E250" s="10" t="s">
        <v>788</v>
      </c>
      <c r="F250" s="9" t="s">
        <v>261</v>
      </c>
      <c r="G250" s="9" t="s">
        <v>262</v>
      </c>
      <c r="H250" s="12">
        <v>90</v>
      </c>
      <c r="I250" s="12">
        <v>516</v>
      </c>
      <c r="J250" s="13">
        <v>0</v>
      </c>
      <c r="K250" s="13">
        <v>1203</v>
      </c>
      <c r="L250" s="13">
        <v>1030</v>
      </c>
      <c r="M250" s="13">
        <v>1309</v>
      </c>
      <c r="N250" s="13">
        <v>1466</v>
      </c>
      <c r="O250" s="13">
        <v>1767</v>
      </c>
      <c r="P250" s="13">
        <v>1251</v>
      </c>
      <c r="Q250" s="13">
        <v>1030</v>
      </c>
      <c r="R250" s="13">
        <v>1725</v>
      </c>
      <c r="S250" s="13">
        <v>1839</v>
      </c>
      <c r="T250" s="13">
        <v>1811</v>
      </c>
      <c r="U250" s="13">
        <v>1203</v>
      </c>
      <c r="V250" s="13">
        <v>2486</v>
      </c>
      <c r="W250" s="13">
        <v>2395</v>
      </c>
      <c r="X250" s="13">
        <v>2030</v>
      </c>
      <c r="Y250" s="13">
        <v>3594</v>
      </c>
      <c r="Z250" s="13">
        <v>7</v>
      </c>
      <c r="AA250" s="13">
        <v>0</v>
      </c>
      <c r="AB250" s="13">
        <v>2436</v>
      </c>
      <c r="AC250" s="13">
        <v>2439</v>
      </c>
      <c r="AD250" s="13">
        <v>2210</v>
      </c>
    </row>
    <row r="251" spans="1:30" ht="15.75" thickBot="1" x14ac:dyDescent="0.3">
      <c r="A251" s="9" t="s">
        <v>536</v>
      </c>
      <c r="B251" s="9" t="s">
        <v>769</v>
      </c>
      <c r="C251" s="45" t="str">
        <f t="shared" si="3"/>
        <v>N1WB E280K96 DA</v>
      </c>
      <c r="D251" s="10" t="s">
        <v>789</v>
      </c>
      <c r="E251" s="10" t="s">
        <v>790</v>
      </c>
      <c r="F251" s="9" t="s">
        <v>261</v>
      </c>
      <c r="G251" s="9" t="s">
        <v>262</v>
      </c>
      <c r="H251" s="12">
        <v>90</v>
      </c>
      <c r="I251" s="12">
        <v>1634</v>
      </c>
      <c r="J251" s="13">
        <v>0</v>
      </c>
      <c r="K251" s="13">
        <v>0</v>
      </c>
      <c r="L251" s="13">
        <v>830</v>
      </c>
      <c r="M251" s="13">
        <v>807</v>
      </c>
      <c r="N251" s="13">
        <v>1152</v>
      </c>
      <c r="O251" s="13">
        <v>1181</v>
      </c>
      <c r="P251" s="13">
        <v>1241</v>
      </c>
      <c r="Q251" s="13">
        <v>835</v>
      </c>
      <c r="R251" s="13">
        <v>836</v>
      </c>
      <c r="S251" s="13">
        <v>1296</v>
      </c>
      <c r="T251" s="13">
        <v>1296</v>
      </c>
      <c r="U251" s="13">
        <v>1238</v>
      </c>
      <c r="V251" s="13">
        <v>1152</v>
      </c>
      <c r="W251" s="13">
        <v>1757</v>
      </c>
      <c r="X251" s="13">
        <v>1785</v>
      </c>
      <c r="Y251" s="13">
        <v>1556</v>
      </c>
      <c r="Z251" s="13">
        <v>1650</v>
      </c>
      <c r="AA251" s="13">
        <v>144</v>
      </c>
      <c r="AB251" s="13">
        <v>922</v>
      </c>
      <c r="AC251" s="13">
        <v>1757</v>
      </c>
      <c r="AD251" s="13">
        <v>1843</v>
      </c>
    </row>
    <row r="252" spans="1:30" ht="15.75" thickBot="1" x14ac:dyDescent="0.3">
      <c r="A252" s="9" t="s">
        <v>536</v>
      </c>
      <c r="B252" s="9" t="s">
        <v>769</v>
      </c>
      <c r="C252" s="45" t="str">
        <f t="shared" si="3"/>
        <v>N1WB E280K97 DA</v>
      </c>
      <c r="D252" s="10" t="s">
        <v>791</v>
      </c>
      <c r="E252" s="10" t="s">
        <v>790</v>
      </c>
      <c r="F252" s="9" t="s">
        <v>261</v>
      </c>
      <c r="G252" s="9" t="s">
        <v>262</v>
      </c>
      <c r="H252" s="12">
        <v>90</v>
      </c>
      <c r="I252" s="12">
        <v>1747</v>
      </c>
      <c r="J252" s="13">
        <v>0</v>
      </c>
      <c r="K252" s="13">
        <v>0</v>
      </c>
      <c r="L252" s="13">
        <v>830</v>
      </c>
      <c r="M252" s="13">
        <v>807</v>
      </c>
      <c r="N252" s="13">
        <v>1152</v>
      </c>
      <c r="O252" s="13">
        <v>1181</v>
      </c>
      <c r="P252" s="13">
        <v>1241</v>
      </c>
      <c r="Q252" s="13">
        <v>835</v>
      </c>
      <c r="R252" s="13">
        <v>836</v>
      </c>
      <c r="S252" s="13">
        <v>1296</v>
      </c>
      <c r="T252" s="13">
        <v>1296</v>
      </c>
      <c r="U252" s="13">
        <v>1238</v>
      </c>
      <c r="V252" s="13">
        <v>1152</v>
      </c>
      <c r="W252" s="13">
        <v>1757</v>
      </c>
      <c r="X252" s="13">
        <v>1785</v>
      </c>
      <c r="Y252" s="13">
        <v>1556</v>
      </c>
      <c r="Z252" s="13">
        <v>1650</v>
      </c>
      <c r="AA252" s="13">
        <v>144</v>
      </c>
      <c r="AB252" s="13">
        <v>922</v>
      </c>
      <c r="AC252" s="13">
        <v>1757</v>
      </c>
      <c r="AD252" s="13">
        <v>1843</v>
      </c>
    </row>
    <row r="253" spans="1:30" ht="15.75" thickBot="1" x14ac:dyDescent="0.3">
      <c r="A253" s="9" t="s">
        <v>536</v>
      </c>
      <c r="B253" s="9" t="s">
        <v>792</v>
      </c>
      <c r="C253" s="45" t="str">
        <f t="shared" si="3"/>
        <v>MLDBEE00330</v>
      </c>
      <c r="D253" s="10" t="s">
        <v>793</v>
      </c>
      <c r="E253" s="10" t="s">
        <v>794</v>
      </c>
      <c r="F253" s="9" t="s">
        <v>404</v>
      </c>
      <c r="G253" s="9" t="s">
        <v>262</v>
      </c>
      <c r="H253" s="12">
        <v>72</v>
      </c>
      <c r="I253" s="8"/>
      <c r="J253" s="13">
        <v>0</v>
      </c>
      <c r="K253" s="13">
        <v>0</v>
      </c>
      <c r="L253" s="13">
        <v>0</v>
      </c>
      <c r="M253" s="13">
        <v>15</v>
      </c>
      <c r="N253" s="13">
        <v>96</v>
      </c>
      <c r="O253" s="13">
        <v>96</v>
      </c>
      <c r="P253" s="13">
        <v>48</v>
      </c>
      <c r="Q253" s="13">
        <v>48</v>
      </c>
      <c r="R253" s="13">
        <v>0</v>
      </c>
      <c r="S253" s="13">
        <v>96</v>
      </c>
      <c r="T253" s="13">
        <v>48</v>
      </c>
      <c r="U253" s="13">
        <v>96</v>
      </c>
      <c r="V253" s="13">
        <v>48</v>
      </c>
      <c r="W253" s="13">
        <v>144</v>
      </c>
      <c r="X253" s="13">
        <v>0</v>
      </c>
      <c r="Y253" s="13">
        <v>48</v>
      </c>
      <c r="Z253" s="13">
        <v>48</v>
      </c>
      <c r="AA253" s="13">
        <v>48</v>
      </c>
      <c r="AB253" s="13">
        <v>48</v>
      </c>
      <c r="AC253" s="13">
        <v>48</v>
      </c>
      <c r="AD253" s="13">
        <v>96</v>
      </c>
    </row>
    <row r="254" spans="1:30" ht="15.75" thickBot="1" x14ac:dyDescent="0.3">
      <c r="A254" s="9" t="s">
        <v>536</v>
      </c>
      <c r="B254" s="9" t="s">
        <v>792</v>
      </c>
      <c r="C254" s="45" t="str">
        <f t="shared" si="3"/>
        <v>MLDBEE85201</v>
      </c>
      <c r="D254" s="10" t="s">
        <v>795</v>
      </c>
      <c r="E254" s="10" t="s">
        <v>796</v>
      </c>
      <c r="F254" s="9" t="s">
        <v>404</v>
      </c>
      <c r="G254" s="9" t="s">
        <v>262</v>
      </c>
      <c r="H254" s="12">
        <v>72</v>
      </c>
      <c r="I254" s="8"/>
      <c r="J254" s="13">
        <v>0</v>
      </c>
      <c r="K254" s="13">
        <v>0</v>
      </c>
      <c r="L254" s="13">
        <v>0</v>
      </c>
      <c r="M254" s="13">
        <v>15</v>
      </c>
      <c r="N254" s="13">
        <v>96</v>
      </c>
      <c r="O254" s="13">
        <v>96</v>
      </c>
      <c r="P254" s="13">
        <v>48</v>
      </c>
      <c r="Q254" s="13">
        <v>48</v>
      </c>
      <c r="R254" s="13">
        <v>0</v>
      </c>
      <c r="S254" s="13">
        <v>96</v>
      </c>
      <c r="T254" s="13">
        <v>48</v>
      </c>
      <c r="U254" s="13">
        <v>96</v>
      </c>
      <c r="V254" s="13">
        <v>48</v>
      </c>
      <c r="W254" s="13">
        <v>144</v>
      </c>
      <c r="X254" s="13">
        <v>0</v>
      </c>
      <c r="Y254" s="13">
        <v>48</v>
      </c>
      <c r="Z254" s="13">
        <v>48</v>
      </c>
      <c r="AA254" s="13">
        <v>48</v>
      </c>
      <c r="AB254" s="13">
        <v>48</v>
      </c>
      <c r="AC254" s="13">
        <v>48</v>
      </c>
      <c r="AD254" s="13">
        <v>96</v>
      </c>
    </row>
    <row r="255" spans="1:30" ht="15.75" thickBot="1" x14ac:dyDescent="0.3">
      <c r="A255" s="9" t="s">
        <v>536</v>
      </c>
      <c r="B255" s="9" t="s">
        <v>797</v>
      </c>
      <c r="C255" s="45" t="str">
        <f t="shared" si="3"/>
        <v>85686517</v>
      </c>
      <c r="D255" s="10" t="s">
        <v>798</v>
      </c>
      <c r="E255" s="10" t="s">
        <v>799</v>
      </c>
      <c r="F255" s="9" t="s">
        <v>404</v>
      </c>
      <c r="G255" s="9" t="s">
        <v>262</v>
      </c>
      <c r="H255" s="12">
        <v>120</v>
      </c>
      <c r="I255" s="12">
        <v>560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0</v>
      </c>
      <c r="Q255" s="13">
        <v>0</v>
      </c>
      <c r="R255" s="13">
        <v>0</v>
      </c>
      <c r="S255" s="13">
        <v>40</v>
      </c>
      <c r="T255" s="13">
        <v>40</v>
      </c>
      <c r="U255" s="13">
        <v>40</v>
      </c>
      <c r="V255" s="13">
        <v>80</v>
      </c>
      <c r="W255" s="13">
        <v>120</v>
      </c>
      <c r="X255" s="13">
        <v>40</v>
      </c>
      <c r="Y255" s="13">
        <v>120</v>
      </c>
      <c r="Z255" s="13">
        <v>0</v>
      </c>
      <c r="AA255" s="13">
        <v>40</v>
      </c>
      <c r="AB255" s="13">
        <v>40</v>
      </c>
      <c r="AC255" s="13">
        <v>80</v>
      </c>
      <c r="AD255" s="13">
        <v>40</v>
      </c>
    </row>
    <row r="256" spans="1:30" ht="15.75" thickBot="1" x14ac:dyDescent="0.3">
      <c r="A256" s="9" t="s">
        <v>536</v>
      </c>
      <c r="B256" s="9" t="s">
        <v>797</v>
      </c>
      <c r="C256" s="45" t="str">
        <f t="shared" si="3"/>
        <v>MLDBEE18154</v>
      </c>
      <c r="D256" s="10" t="s">
        <v>800</v>
      </c>
      <c r="E256" s="10" t="s">
        <v>801</v>
      </c>
      <c r="F256" s="9" t="s">
        <v>404</v>
      </c>
      <c r="G256" s="9" t="s">
        <v>262</v>
      </c>
      <c r="H256" s="12">
        <v>60</v>
      </c>
      <c r="I256" s="8"/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13">
        <v>0</v>
      </c>
      <c r="R256" s="13">
        <v>0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</v>
      </c>
      <c r="AC256" s="13">
        <v>0</v>
      </c>
      <c r="AD256" s="13">
        <v>0</v>
      </c>
    </row>
    <row r="257" spans="1:30" ht="15.75" thickBot="1" x14ac:dyDescent="0.3">
      <c r="A257" s="9" t="s">
        <v>536</v>
      </c>
      <c r="B257" s="9" t="s">
        <v>797</v>
      </c>
      <c r="C257" s="45" t="str">
        <f t="shared" si="3"/>
        <v>MLDBEE18158</v>
      </c>
      <c r="D257" s="10" t="s">
        <v>802</v>
      </c>
      <c r="E257" s="10" t="s">
        <v>803</v>
      </c>
      <c r="F257" s="9" t="s">
        <v>404</v>
      </c>
      <c r="G257" s="9" t="s">
        <v>262</v>
      </c>
      <c r="H257" s="12">
        <v>60</v>
      </c>
      <c r="I257" s="8"/>
      <c r="J257" s="13">
        <v>0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  <c r="R257" s="13">
        <v>0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</v>
      </c>
      <c r="AC257" s="13">
        <v>0</v>
      </c>
      <c r="AD257" s="13">
        <v>0</v>
      </c>
    </row>
    <row r="258" spans="1:30" ht="15.75" thickBot="1" x14ac:dyDescent="0.3">
      <c r="A258" s="9" t="s">
        <v>536</v>
      </c>
      <c r="B258" s="9" t="s">
        <v>804</v>
      </c>
      <c r="C258" s="45" t="str">
        <f t="shared" si="3"/>
        <v>MLD85132701</v>
      </c>
      <c r="D258" s="10" t="s">
        <v>805</v>
      </c>
      <c r="E258" s="10" t="s">
        <v>463</v>
      </c>
      <c r="F258" s="9" t="s">
        <v>404</v>
      </c>
      <c r="G258" s="9" t="s">
        <v>262</v>
      </c>
      <c r="H258" s="12">
        <v>160</v>
      </c>
      <c r="I258" s="12">
        <v>102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  <c r="P258" s="13">
        <v>0</v>
      </c>
      <c r="Q258" s="13">
        <v>0</v>
      </c>
      <c r="R258" s="13">
        <v>0</v>
      </c>
      <c r="S258" s="13">
        <v>0</v>
      </c>
      <c r="T258" s="13">
        <v>0</v>
      </c>
      <c r="U258" s="13">
        <v>0</v>
      </c>
      <c r="V258" s="13">
        <v>203</v>
      </c>
      <c r="W258" s="13">
        <v>245</v>
      </c>
      <c r="X258" s="13">
        <v>175</v>
      </c>
      <c r="Y258" s="13">
        <v>175</v>
      </c>
      <c r="Z258" s="13">
        <v>0</v>
      </c>
      <c r="AA258" s="13">
        <v>140</v>
      </c>
      <c r="AB258" s="13">
        <v>140</v>
      </c>
      <c r="AC258" s="13">
        <v>140</v>
      </c>
      <c r="AD258" s="13">
        <v>175</v>
      </c>
    </row>
    <row r="259" spans="1:30" ht="15.75" thickBot="1" x14ac:dyDescent="0.3">
      <c r="A259" s="9" t="s">
        <v>536</v>
      </c>
      <c r="B259" s="9" t="s">
        <v>806</v>
      </c>
      <c r="C259" s="45" t="str">
        <f t="shared" si="3"/>
        <v>MLD16E166APIA10</v>
      </c>
      <c r="D259" s="10" t="s">
        <v>807</v>
      </c>
      <c r="E259" s="10" t="s">
        <v>808</v>
      </c>
      <c r="F259" s="9" t="s">
        <v>364</v>
      </c>
      <c r="G259" s="9" t="s">
        <v>262</v>
      </c>
      <c r="H259" s="12">
        <v>72</v>
      </c>
      <c r="I259" s="12">
        <v>1712</v>
      </c>
      <c r="J259" s="13">
        <v>0</v>
      </c>
      <c r="K259" s="13">
        <v>3003</v>
      </c>
      <c r="L259" s="13">
        <v>3798</v>
      </c>
      <c r="M259" s="13">
        <v>2681</v>
      </c>
      <c r="N259" s="13">
        <v>3197</v>
      </c>
      <c r="O259" s="13">
        <v>4428</v>
      </c>
      <c r="P259" s="13">
        <v>4094</v>
      </c>
      <c r="Q259" s="13">
        <v>2223</v>
      </c>
      <c r="R259" s="13">
        <v>2635</v>
      </c>
      <c r="S259" s="13">
        <v>4301</v>
      </c>
      <c r="T259" s="13">
        <v>4143</v>
      </c>
      <c r="U259" s="13">
        <v>3347</v>
      </c>
      <c r="V259" s="13">
        <v>3315</v>
      </c>
      <c r="W259" s="13">
        <v>3684</v>
      </c>
      <c r="X259" s="13">
        <v>3378</v>
      </c>
      <c r="Y259" s="13">
        <v>4153</v>
      </c>
      <c r="Z259" s="13">
        <v>3222</v>
      </c>
      <c r="AA259" s="13">
        <v>0</v>
      </c>
      <c r="AB259" s="13">
        <v>1680</v>
      </c>
      <c r="AC259" s="13">
        <v>3628</v>
      </c>
      <c r="AD259" s="13">
        <v>3489</v>
      </c>
    </row>
    <row r="260" spans="1:30" ht="15.75" thickBot="1" x14ac:dyDescent="0.3">
      <c r="A260" s="9" t="s">
        <v>536</v>
      </c>
      <c r="B260" s="9" t="s">
        <v>806</v>
      </c>
      <c r="C260" s="45" t="str">
        <f t="shared" si="3"/>
        <v>MLD16E166ZPIA10</v>
      </c>
      <c r="D260" s="10" t="s">
        <v>809</v>
      </c>
      <c r="E260" s="10" t="s">
        <v>810</v>
      </c>
      <c r="F260" s="9" t="s">
        <v>364</v>
      </c>
      <c r="G260" s="9" t="s">
        <v>262</v>
      </c>
      <c r="H260" s="12">
        <v>75</v>
      </c>
      <c r="I260" s="12">
        <v>-10</v>
      </c>
      <c r="J260" s="13">
        <v>10</v>
      </c>
      <c r="K260" s="13">
        <v>23</v>
      </c>
      <c r="L260" s="13">
        <v>0</v>
      </c>
      <c r="M260" s="13">
        <v>0</v>
      </c>
      <c r="N260" s="13">
        <v>0</v>
      </c>
      <c r="O260" s="13">
        <v>9</v>
      </c>
      <c r="P260" s="13">
        <v>0</v>
      </c>
      <c r="Q260" s="13">
        <v>0</v>
      </c>
      <c r="R260" s="13">
        <v>0</v>
      </c>
      <c r="S260" s="13">
        <v>18</v>
      </c>
      <c r="T260" s="13">
        <v>0</v>
      </c>
      <c r="U260" s="13">
        <v>0</v>
      </c>
      <c r="V260" s="13">
        <v>18</v>
      </c>
      <c r="W260" s="13">
        <v>0</v>
      </c>
      <c r="X260" s="13">
        <v>0</v>
      </c>
      <c r="Y260" s="13">
        <v>0</v>
      </c>
      <c r="Z260" s="13">
        <v>18</v>
      </c>
      <c r="AA260" s="13">
        <v>0</v>
      </c>
      <c r="AB260" s="13">
        <v>0</v>
      </c>
      <c r="AC260" s="13">
        <v>0</v>
      </c>
      <c r="AD260" s="13">
        <v>0</v>
      </c>
    </row>
    <row r="261" spans="1:30" ht="15.75" thickBot="1" x14ac:dyDescent="0.3">
      <c r="A261" s="9" t="s">
        <v>536</v>
      </c>
      <c r="B261" s="9" t="s">
        <v>811</v>
      </c>
      <c r="C261" s="45" t="str">
        <f t="shared" si="3"/>
        <v>MLD17130016AB</v>
      </c>
      <c r="D261" s="10" t="s">
        <v>812</v>
      </c>
      <c r="E261" s="10" t="s">
        <v>813</v>
      </c>
      <c r="F261" s="9" t="s">
        <v>494</v>
      </c>
      <c r="G261" s="9" t="s">
        <v>262</v>
      </c>
      <c r="H261" s="12">
        <v>90</v>
      </c>
      <c r="I261" s="12">
        <v>46</v>
      </c>
      <c r="J261" s="13">
        <v>191</v>
      </c>
      <c r="K261" s="13">
        <v>0</v>
      </c>
      <c r="L261" s="13">
        <v>0</v>
      </c>
      <c r="M261" s="13">
        <v>0</v>
      </c>
      <c r="N261" s="13">
        <v>0</v>
      </c>
      <c r="O261" s="13">
        <v>0</v>
      </c>
      <c r="P261" s="13">
        <v>0</v>
      </c>
      <c r="Q261" s="13">
        <v>0</v>
      </c>
      <c r="R261" s="13">
        <v>0</v>
      </c>
      <c r="S261" s="13">
        <v>0</v>
      </c>
      <c r="T261" s="13">
        <v>0</v>
      </c>
      <c r="U261" s="13">
        <v>0</v>
      </c>
      <c r="V261" s="13">
        <v>236</v>
      </c>
      <c r="W261" s="13">
        <v>0</v>
      </c>
      <c r="X261" s="13">
        <v>0</v>
      </c>
      <c r="Y261" s="13">
        <v>0</v>
      </c>
      <c r="Z261" s="13">
        <v>0</v>
      </c>
      <c r="AA261" s="13">
        <v>0</v>
      </c>
      <c r="AB261" s="13">
        <v>0</v>
      </c>
      <c r="AC261" s="13">
        <v>0</v>
      </c>
      <c r="AD261" s="13">
        <v>0</v>
      </c>
    </row>
    <row r="262" spans="1:30" ht="15.75" thickBot="1" x14ac:dyDescent="0.3">
      <c r="A262" s="9" t="s">
        <v>536</v>
      </c>
      <c r="B262" s="9" t="s">
        <v>811</v>
      </c>
      <c r="C262" s="45" t="str">
        <f t="shared" ref="C262:C325" si="4">TRIM(D262)</f>
        <v>MLD17130017AB</v>
      </c>
      <c r="D262" s="10" t="s">
        <v>814</v>
      </c>
      <c r="E262" s="10" t="s">
        <v>815</v>
      </c>
      <c r="F262" s="9" t="s">
        <v>494</v>
      </c>
      <c r="G262" s="9" t="s">
        <v>262</v>
      </c>
      <c r="H262" s="12">
        <v>90</v>
      </c>
      <c r="I262" s="12">
        <v>46</v>
      </c>
      <c r="J262" s="13">
        <v>230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0</v>
      </c>
      <c r="U262" s="13">
        <v>0</v>
      </c>
      <c r="V262" s="13">
        <v>247</v>
      </c>
      <c r="W262" s="13">
        <v>0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13">
        <v>0</v>
      </c>
      <c r="AD262" s="13">
        <v>0</v>
      </c>
    </row>
    <row r="263" spans="1:30" ht="15.75" thickBot="1" x14ac:dyDescent="0.3">
      <c r="A263" s="9" t="s">
        <v>536</v>
      </c>
      <c r="B263" s="9" t="s">
        <v>811</v>
      </c>
      <c r="C263" s="45" t="str">
        <f t="shared" si="4"/>
        <v>MLD2616G040AD</v>
      </c>
      <c r="D263" s="10" t="s">
        <v>816</v>
      </c>
      <c r="E263" s="10" t="s">
        <v>529</v>
      </c>
      <c r="F263" s="9" t="s">
        <v>494</v>
      </c>
      <c r="G263" s="9" t="s">
        <v>262</v>
      </c>
      <c r="H263" s="11">
        <v>75.471599999999995</v>
      </c>
      <c r="I263" s="8"/>
      <c r="J263" s="13">
        <v>0</v>
      </c>
      <c r="K263" s="13">
        <v>1262</v>
      </c>
      <c r="L263" s="13">
        <v>1296</v>
      </c>
      <c r="M263" s="13">
        <v>1026</v>
      </c>
      <c r="N263" s="13">
        <v>1188</v>
      </c>
      <c r="O263" s="13">
        <v>1422</v>
      </c>
      <c r="P263" s="13">
        <v>1350</v>
      </c>
      <c r="Q263" s="13">
        <v>1008</v>
      </c>
      <c r="R263" s="13">
        <v>1116</v>
      </c>
      <c r="S263" s="13">
        <v>1512</v>
      </c>
      <c r="T263" s="13">
        <v>1584</v>
      </c>
      <c r="U263" s="13">
        <v>1314</v>
      </c>
      <c r="V263" s="13">
        <v>1422</v>
      </c>
      <c r="W263" s="13">
        <v>2070</v>
      </c>
      <c r="X263" s="13">
        <v>1926</v>
      </c>
      <c r="Y263" s="13">
        <v>2250</v>
      </c>
      <c r="Z263" s="13">
        <v>1836</v>
      </c>
      <c r="AA263" s="13">
        <v>0</v>
      </c>
      <c r="AB263" s="13">
        <v>828</v>
      </c>
      <c r="AC263" s="13">
        <v>2070</v>
      </c>
      <c r="AD263" s="13">
        <v>1998</v>
      </c>
    </row>
    <row r="264" spans="1:30" ht="15.75" thickBot="1" x14ac:dyDescent="0.3">
      <c r="A264" s="9" t="s">
        <v>536</v>
      </c>
      <c r="B264" s="9" t="s">
        <v>811</v>
      </c>
      <c r="C264" s="45" t="str">
        <f t="shared" si="4"/>
        <v>MLD2616G041AC</v>
      </c>
      <c r="D264" s="10" t="s">
        <v>817</v>
      </c>
      <c r="E264" s="10" t="s">
        <v>531</v>
      </c>
      <c r="F264" s="9" t="s">
        <v>494</v>
      </c>
      <c r="G264" s="9" t="s">
        <v>262</v>
      </c>
      <c r="H264" s="11">
        <v>75.471599999999995</v>
      </c>
      <c r="I264" s="8"/>
      <c r="J264" s="13">
        <v>0</v>
      </c>
      <c r="K264" s="13">
        <v>1262</v>
      </c>
      <c r="L264" s="13">
        <v>1296</v>
      </c>
      <c r="M264" s="13">
        <v>1026</v>
      </c>
      <c r="N264" s="13">
        <v>1188</v>
      </c>
      <c r="O264" s="13">
        <v>1422</v>
      </c>
      <c r="P264" s="13">
        <v>1350</v>
      </c>
      <c r="Q264" s="13">
        <v>1008</v>
      </c>
      <c r="R264" s="13">
        <v>1116</v>
      </c>
      <c r="S264" s="13">
        <v>1512</v>
      </c>
      <c r="T264" s="13">
        <v>1584</v>
      </c>
      <c r="U264" s="13">
        <v>1314</v>
      </c>
      <c r="V264" s="13">
        <v>1422</v>
      </c>
      <c r="W264" s="13">
        <v>2070</v>
      </c>
      <c r="X264" s="13">
        <v>1926</v>
      </c>
      <c r="Y264" s="13">
        <v>2250</v>
      </c>
      <c r="Z264" s="13">
        <v>1836</v>
      </c>
      <c r="AA264" s="13">
        <v>0</v>
      </c>
      <c r="AB264" s="13">
        <v>828</v>
      </c>
      <c r="AC264" s="13">
        <v>2070</v>
      </c>
      <c r="AD264" s="13">
        <v>1998</v>
      </c>
    </row>
    <row r="265" spans="1:30" ht="15.75" thickBot="1" x14ac:dyDescent="0.3">
      <c r="A265" s="9" t="s">
        <v>536</v>
      </c>
      <c r="B265" s="9" t="s">
        <v>811</v>
      </c>
      <c r="C265" s="45" t="str">
        <f t="shared" si="4"/>
        <v>MLDBEI36353</v>
      </c>
      <c r="D265" s="10" t="s">
        <v>818</v>
      </c>
      <c r="E265" s="10" t="s">
        <v>819</v>
      </c>
      <c r="F265" s="9" t="s">
        <v>404</v>
      </c>
      <c r="G265" s="9" t="s">
        <v>262</v>
      </c>
      <c r="H265" s="12">
        <v>60</v>
      </c>
      <c r="I265" s="12">
        <v>65</v>
      </c>
      <c r="J265" s="13">
        <v>0</v>
      </c>
      <c r="K265" s="13">
        <v>0</v>
      </c>
      <c r="L265" s="13">
        <v>0</v>
      </c>
      <c r="M265" s="13">
        <v>0</v>
      </c>
      <c r="N265" s="13">
        <v>0</v>
      </c>
      <c r="O265" s="13">
        <v>0</v>
      </c>
      <c r="P265" s="13">
        <v>15</v>
      </c>
      <c r="Q265" s="13">
        <v>156</v>
      </c>
      <c r="R265" s="13">
        <v>117</v>
      </c>
      <c r="S265" s="13">
        <v>117</v>
      </c>
      <c r="T265" s="13">
        <v>78</v>
      </c>
      <c r="U265" s="13">
        <v>117</v>
      </c>
      <c r="V265" s="13">
        <v>156</v>
      </c>
      <c r="W265" s="13">
        <v>156</v>
      </c>
      <c r="X265" s="13">
        <v>78</v>
      </c>
      <c r="Y265" s="13">
        <v>117</v>
      </c>
      <c r="Z265" s="13">
        <v>0</v>
      </c>
      <c r="AA265" s="13">
        <v>78</v>
      </c>
      <c r="AB265" s="13">
        <v>78</v>
      </c>
      <c r="AC265" s="13">
        <v>78</v>
      </c>
      <c r="AD265" s="13">
        <v>117</v>
      </c>
    </row>
    <row r="266" spans="1:30" ht="15.75" thickBot="1" x14ac:dyDescent="0.3">
      <c r="A266" s="9" t="s">
        <v>536</v>
      </c>
      <c r="B266" s="9" t="s">
        <v>811</v>
      </c>
      <c r="C266" s="45" t="str">
        <f t="shared" si="4"/>
        <v>MLDBEI41127</v>
      </c>
      <c r="D266" s="10" t="s">
        <v>820</v>
      </c>
      <c r="E266" s="10" t="s">
        <v>821</v>
      </c>
      <c r="F266" s="9" t="s">
        <v>404</v>
      </c>
      <c r="G266" s="9" t="s">
        <v>262</v>
      </c>
      <c r="H266" s="12">
        <v>60</v>
      </c>
      <c r="I266" s="8"/>
      <c r="J266" s="13">
        <v>0</v>
      </c>
      <c r="K266" s="13">
        <v>44</v>
      </c>
      <c r="L266" s="13">
        <v>0</v>
      </c>
      <c r="M266" s="13">
        <v>0</v>
      </c>
      <c r="N266" s="13">
        <v>0</v>
      </c>
      <c r="O266" s="13">
        <v>132</v>
      </c>
      <c r="P266" s="13">
        <v>198</v>
      </c>
      <c r="Q266" s="13">
        <v>132</v>
      </c>
      <c r="R266" s="13">
        <v>66</v>
      </c>
      <c r="S266" s="13">
        <v>132</v>
      </c>
      <c r="T266" s="13">
        <v>66</v>
      </c>
      <c r="U266" s="13">
        <v>66</v>
      </c>
      <c r="V266" s="13">
        <v>132</v>
      </c>
      <c r="W266" s="13">
        <v>132</v>
      </c>
      <c r="X266" s="13">
        <v>132</v>
      </c>
      <c r="Y266" s="13">
        <v>66</v>
      </c>
      <c r="Z266" s="13">
        <v>0</v>
      </c>
      <c r="AA266" s="13">
        <v>66</v>
      </c>
      <c r="AB266" s="13">
        <v>66</v>
      </c>
      <c r="AC266" s="13">
        <v>66</v>
      </c>
      <c r="AD266" s="13">
        <v>132</v>
      </c>
    </row>
    <row r="267" spans="1:30" ht="15.75" thickBot="1" x14ac:dyDescent="0.3">
      <c r="A267" s="9" t="s">
        <v>536</v>
      </c>
      <c r="B267" s="9" t="s">
        <v>811</v>
      </c>
      <c r="C267" s="45" t="str">
        <f t="shared" si="4"/>
        <v>MLDBEJ53972</v>
      </c>
      <c r="D267" s="10" t="s">
        <v>822</v>
      </c>
      <c r="E267" s="10" t="s">
        <v>823</v>
      </c>
      <c r="F267" s="9" t="s">
        <v>404</v>
      </c>
      <c r="G267" s="9" t="s">
        <v>262</v>
      </c>
      <c r="H267" s="11">
        <v>65.454499999999996</v>
      </c>
      <c r="I267" s="12">
        <v>24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12</v>
      </c>
      <c r="Q267" s="13">
        <v>168</v>
      </c>
      <c r="R267" s="13">
        <v>120</v>
      </c>
      <c r="S267" s="13">
        <v>96</v>
      </c>
      <c r="T267" s="13">
        <v>120</v>
      </c>
      <c r="U267" s="13">
        <v>96</v>
      </c>
      <c r="V267" s="13">
        <v>144</v>
      </c>
      <c r="W267" s="13">
        <v>144</v>
      </c>
      <c r="X267" s="13">
        <v>120</v>
      </c>
      <c r="Y267" s="13">
        <v>96</v>
      </c>
      <c r="Z267" s="13">
        <v>0</v>
      </c>
      <c r="AA267" s="13">
        <v>96</v>
      </c>
      <c r="AB267" s="13">
        <v>72</v>
      </c>
      <c r="AC267" s="13">
        <v>96</v>
      </c>
      <c r="AD267" s="13">
        <v>96</v>
      </c>
    </row>
    <row r="268" spans="1:30" ht="15.75" thickBot="1" x14ac:dyDescent="0.3">
      <c r="A268" s="9" t="s">
        <v>536</v>
      </c>
      <c r="B268" s="9" t="s">
        <v>811</v>
      </c>
      <c r="C268" s="45" t="str">
        <f t="shared" si="4"/>
        <v>MLDBEJ54040</v>
      </c>
      <c r="D268" s="10" t="s">
        <v>824</v>
      </c>
      <c r="E268" s="10" t="s">
        <v>823</v>
      </c>
      <c r="F268" s="9" t="s">
        <v>404</v>
      </c>
      <c r="G268" s="9" t="s">
        <v>262</v>
      </c>
      <c r="H268" s="11">
        <v>65.454499999999996</v>
      </c>
      <c r="I268" s="12">
        <v>24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12</v>
      </c>
      <c r="Q268" s="13">
        <v>168</v>
      </c>
      <c r="R268" s="13">
        <v>120</v>
      </c>
      <c r="S268" s="13">
        <v>96</v>
      </c>
      <c r="T268" s="13">
        <v>120</v>
      </c>
      <c r="U268" s="13">
        <v>96</v>
      </c>
      <c r="V268" s="13">
        <v>144</v>
      </c>
      <c r="W268" s="13">
        <v>144</v>
      </c>
      <c r="X268" s="13">
        <v>120</v>
      </c>
      <c r="Y268" s="13">
        <v>96</v>
      </c>
      <c r="Z268" s="13">
        <v>0</v>
      </c>
      <c r="AA268" s="13">
        <v>96</v>
      </c>
      <c r="AB268" s="13">
        <v>72</v>
      </c>
      <c r="AC268" s="13">
        <v>96</v>
      </c>
      <c r="AD268" s="13">
        <v>96</v>
      </c>
    </row>
    <row r="269" spans="1:30" ht="15.75" thickBot="1" x14ac:dyDescent="0.3">
      <c r="A269" s="9" t="s">
        <v>536</v>
      </c>
      <c r="B269" s="9" t="s">
        <v>811</v>
      </c>
      <c r="C269" s="45" t="str">
        <f t="shared" si="4"/>
        <v>MLDBEJ56724</v>
      </c>
      <c r="D269" s="10" t="s">
        <v>825</v>
      </c>
      <c r="E269" s="10" t="s">
        <v>826</v>
      </c>
      <c r="F269" s="9" t="s">
        <v>404</v>
      </c>
      <c r="G269" s="9" t="s">
        <v>262</v>
      </c>
      <c r="H269" s="12">
        <v>60</v>
      </c>
      <c r="I269" s="8"/>
      <c r="J269" s="13">
        <v>0</v>
      </c>
      <c r="K269" s="13">
        <v>44</v>
      </c>
      <c r="L269" s="13">
        <v>0</v>
      </c>
      <c r="M269" s="13">
        <v>0</v>
      </c>
      <c r="N269" s="13">
        <v>0</v>
      </c>
      <c r="O269" s="13">
        <v>132</v>
      </c>
      <c r="P269" s="13">
        <v>198</v>
      </c>
      <c r="Q269" s="13">
        <v>132</v>
      </c>
      <c r="R269" s="13">
        <v>66</v>
      </c>
      <c r="S269" s="13">
        <v>132</v>
      </c>
      <c r="T269" s="13">
        <v>66</v>
      </c>
      <c r="U269" s="13">
        <v>66</v>
      </c>
      <c r="V269" s="13">
        <v>132</v>
      </c>
      <c r="W269" s="13">
        <v>132</v>
      </c>
      <c r="X269" s="13">
        <v>132</v>
      </c>
      <c r="Y269" s="13">
        <v>66</v>
      </c>
      <c r="Z269" s="13">
        <v>0</v>
      </c>
      <c r="AA269" s="13">
        <v>66</v>
      </c>
      <c r="AB269" s="13">
        <v>66</v>
      </c>
      <c r="AC269" s="13">
        <v>66</v>
      </c>
      <c r="AD269" s="13">
        <v>132</v>
      </c>
    </row>
    <row r="270" spans="1:30" ht="15.75" thickBot="1" x14ac:dyDescent="0.3">
      <c r="A270" s="9" t="s">
        <v>536</v>
      </c>
      <c r="B270" s="9" t="s">
        <v>811</v>
      </c>
      <c r="C270" s="45" t="str">
        <f t="shared" si="4"/>
        <v>MLDBEJ59008</v>
      </c>
      <c r="D270" s="10" t="s">
        <v>827</v>
      </c>
      <c r="E270" s="10" t="s">
        <v>828</v>
      </c>
      <c r="F270" s="9" t="s">
        <v>404</v>
      </c>
      <c r="G270" s="9" t="s">
        <v>262</v>
      </c>
      <c r="H270" s="12">
        <v>60</v>
      </c>
      <c r="I270" s="12">
        <v>26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15</v>
      </c>
      <c r="Q270" s="13">
        <v>156</v>
      </c>
      <c r="R270" s="13">
        <v>117</v>
      </c>
      <c r="S270" s="13">
        <v>117</v>
      </c>
      <c r="T270" s="13">
        <v>78</v>
      </c>
      <c r="U270" s="13">
        <v>117</v>
      </c>
      <c r="V270" s="13">
        <v>156</v>
      </c>
      <c r="W270" s="13">
        <v>156</v>
      </c>
      <c r="X270" s="13">
        <v>78</v>
      </c>
      <c r="Y270" s="13">
        <v>117</v>
      </c>
      <c r="Z270" s="13">
        <v>0</v>
      </c>
      <c r="AA270" s="13">
        <v>78</v>
      </c>
      <c r="AB270" s="13">
        <v>78</v>
      </c>
      <c r="AC270" s="13">
        <v>78</v>
      </c>
      <c r="AD270" s="13">
        <v>117</v>
      </c>
    </row>
    <row r="271" spans="1:30" ht="15.75" thickBot="1" x14ac:dyDescent="0.3">
      <c r="A271" s="9" t="s">
        <v>536</v>
      </c>
      <c r="B271" s="9" t="s">
        <v>811</v>
      </c>
      <c r="C271" s="45" t="str">
        <f t="shared" si="4"/>
        <v>MLDE060B00</v>
      </c>
      <c r="D271" s="10" t="s">
        <v>829</v>
      </c>
      <c r="E271" s="10" t="s">
        <v>830</v>
      </c>
      <c r="F271" s="9" t="s">
        <v>261</v>
      </c>
      <c r="G271" s="9" t="s">
        <v>262</v>
      </c>
      <c r="H271" s="12">
        <v>60</v>
      </c>
      <c r="I271" s="12">
        <v>1590</v>
      </c>
      <c r="J271" s="13">
        <v>0</v>
      </c>
      <c r="K271" s="13">
        <v>1013</v>
      </c>
      <c r="L271" s="13">
        <v>1015</v>
      </c>
      <c r="M271" s="13">
        <v>1107</v>
      </c>
      <c r="N271" s="13">
        <v>1276</v>
      </c>
      <c r="O271" s="13">
        <v>1478</v>
      </c>
      <c r="P271" s="13">
        <v>1166</v>
      </c>
      <c r="Q271" s="13">
        <v>942</v>
      </c>
      <c r="R271" s="13">
        <v>1376</v>
      </c>
      <c r="S271" s="13">
        <v>1569</v>
      </c>
      <c r="T271" s="13">
        <v>1571</v>
      </c>
      <c r="U271" s="13">
        <v>1133</v>
      </c>
      <c r="V271" s="13">
        <v>1892</v>
      </c>
      <c r="W271" s="13">
        <v>2062</v>
      </c>
      <c r="X271" s="13">
        <v>1806</v>
      </c>
      <c r="Y271" s="13">
        <v>2786</v>
      </c>
      <c r="Z271" s="13">
        <v>608</v>
      </c>
      <c r="AA271" s="13">
        <v>0</v>
      </c>
      <c r="AB271" s="13">
        <v>1668</v>
      </c>
      <c r="AC271" s="13">
        <v>2093</v>
      </c>
      <c r="AD271" s="13">
        <v>1944</v>
      </c>
    </row>
    <row r="272" spans="1:30" ht="15.75" thickBot="1" x14ac:dyDescent="0.3">
      <c r="A272" s="9" t="s">
        <v>536</v>
      </c>
      <c r="B272" s="9" t="s">
        <v>811</v>
      </c>
      <c r="C272" s="45" t="str">
        <f t="shared" si="4"/>
        <v>MLDE060B01</v>
      </c>
      <c r="D272" s="10" t="s">
        <v>831</v>
      </c>
      <c r="E272" s="10" t="s">
        <v>832</v>
      </c>
      <c r="F272" s="9" t="s">
        <v>261</v>
      </c>
      <c r="G272" s="9" t="s">
        <v>262</v>
      </c>
      <c r="H272" s="12">
        <v>60</v>
      </c>
      <c r="I272" s="12">
        <v>868</v>
      </c>
      <c r="J272" s="13">
        <v>0</v>
      </c>
      <c r="K272" s="13">
        <v>1013</v>
      </c>
      <c r="L272" s="13">
        <v>1015</v>
      </c>
      <c r="M272" s="13">
        <v>1107</v>
      </c>
      <c r="N272" s="13">
        <v>1276</v>
      </c>
      <c r="O272" s="13">
        <v>1478</v>
      </c>
      <c r="P272" s="13">
        <v>1166</v>
      </c>
      <c r="Q272" s="13">
        <v>942</v>
      </c>
      <c r="R272" s="13">
        <v>1376</v>
      </c>
      <c r="S272" s="13">
        <v>1569</v>
      </c>
      <c r="T272" s="13">
        <v>1571</v>
      </c>
      <c r="U272" s="13">
        <v>1133</v>
      </c>
      <c r="V272" s="13">
        <v>1892</v>
      </c>
      <c r="W272" s="13">
        <v>2062</v>
      </c>
      <c r="X272" s="13">
        <v>1806</v>
      </c>
      <c r="Y272" s="13">
        <v>2786</v>
      </c>
      <c r="Z272" s="13">
        <v>608</v>
      </c>
      <c r="AA272" s="13">
        <v>0</v>
      </c>
      <c r="AB272" s="13">
        <v>1668</v>
      </c>
      <c r="AC272" s="13">
        <v>2093</v>
      </c>
      <c r="AD272" s="13">
        <v>1944</v>
      </c>
    </row>
    <row r="273" spans="1:30" ht="15.75" thickBot="1" x14ac:dyDescent="0.3">
      <c r="A273" s="9" t="s">
        <v>536</v>
      </c>
      <c r="B273" s="9" t="s">
        <v>811</v>
      </c>
      <c r="C273" s="45" t="str">
        <f t="shared" si="4"/>
        <v>MLDE23900APIA02</v>
      </c>
      <c r="D273" s="10" t="s">
        <v>833</v>
      </c>
      <c r="E273" s="10" t="s">
        <v>834</v>
      </c>
      <c r="F273" s="9" t="s">
        <v>261</v>
      </c>
      <c r="G273" s="9" t="s">
        <v>262</v>
      </c>
      <c r="H273" s="12">
        <v>90</v>
      </c>
      <c r="I273" s="12">
        <v>2146</v>
      </c>
      <c r="J273" s="13">
        <v>0</v>
      </c>
      <c r="K273" s="13">
        <v>0</v>
      </c>
      <c r="L273" s="13">
        <v>0</v>
      </c>
      <c r="M273" s="13">
        <v>0</v>
      </c>
      <c r="N273" s="13">
        <v>0</v>
      </c>
      <c r="O273" s="13">
        <v>79</v>
      </c>
      <c r="P273" s="13">
        <v>404</v>
      </c>
      <c r="Q273" s="13">
        <v>367</v>
      </c>
      <c r="R273" s="13">
        <v>461</v>
      </c>
      <c r="S273" s="13">
        <v>507</v>
      </c>
      <c r="T273" s="13">
        <v>486</v>
      </c>
      <c r="U273" s="13">
        <v>366</v>
      </c>
      <c r="V273" s="13">
        <v>596</v>
      </c>
      <c r="W273" s="13">
        <v>582</v>
      </c>
      <c r="X273" s="13">
        <v>586</v>
      </c>
      <c r="Y273" s="13">
        <v>865</v>
      </c>
      <c r="Z273" s="13">
        <v>188</v>
      </c>
      <c r="AA273" s="13">
        <v>0</v>
      </c>
      <c r="AB273" s="13">
        <v>492</v>
      </c>
      <c r="AC273" s="13">
        <v>590</v>
      </c>
      <c r="AD273" s="13">
        <v>548</v>
      </c>
    </row>
    <row r="274" spans="1:30" ht="15.75" thickBot="1" x14ac:dyDescent="0.3">
      <c r="A274" s="9" t="s">
        <v>536</v>
      </c>
      <c r="B274" s="9" t="s">
        <v>811</v>
      </c>
      <c r="C274" s="45" t="str">
        <f t="shared" si="4"/>
        <v>MLDE23901APIA02</v>
      </c>
      <c r="D274" s="10" t="s">
        <v>835</v>
      </c>
      <c r="E274" s="10" t="s">
        <v>836</v>
      </c>
      <c r="F274" s="9" t="s">
        <v>261</v>
      </c>
      <c r="G274" s="9" t="s">
        <v>262</v>
      </c>
      <c r="H274" s="12">
        <v>90</v>
      </c>
      <c r="I274" s="12">
        <v>1538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79</v>
      </c>
      <c r="P274" s="13">
        <v>404</v>
      </c>
      <c r="Q274" s="13">
        <v>367</v>
      </c>
      <c r="R274" s="13">
        <v>461</v>
      </c>
      <c r="S274" s="13">
        <v>507</v>
      </c>
      <c r="T274" s="13">
        <v>486</v>
      </c>
      <c r="U274" s="13">
        <v>366</v>
      </c>
      <c r="V274" s="13">
        <v>596</v>
      </c>
      <c r="W274" s="13">
        <v>582</v>
      </c>
      <c r="X274" s="13">
        <v>586</v>
      </c>
      <c r="Y274" s="13">
        <v>865</v>
      </c>
      <c r="Z274" s="13">
        <v>188</v>
      </c>
      <c r="AA274" s="13">
        <v>0</v>
      </c>
      <c r="AB274" s="13">
        <v>492</v>
      </c>
      <c r="AC274" s="13">
        <v>590</v>
      </c>
      <c r="AD274" s="13">
        <v>548</v>
      </c>
    </row>
    <row r="275" spans="1:30" ht="15.75" thickBot="1" x14ac:dyDescent="0.3">
      <c r="A275" s="9" t="s">
        <v>536</v>
      </c>
      <c r="B275" s="9" t="s">
        <v>811</v>
      </c>
      <c r="C275" s="45" t="str">
        <f t="shared" si="4"/>
        <v>MLDE24592C</v>
      </c>
      <c r="D275" s="10" t="s">
        <v>837</v>
      </c>
      <c r="E275" s="10" t="s">
        <v>522</v>
      </c>
      <c r="F275" s="9" t="s">
        <v>261</v>
      </c>
      <c r="G275" s="9" t="s">
        <v>262</v>
      </c>
      <c r="H275" s="12">
        <v>90</v>
      </c>
      <c r="I275" s="12">
        <v>70</v>
      </c>
      <c r="J275" s="13">
        <v>0</v>
      </c>
      <c r="K275" s="13">
        <v>864</v>
      </c>
      <c r="L275" s="13">
        <v>1330</v>
      </c>
      <c r="M275" s="13">
        <v>1010</v>
      </c>
      <c r="N275" s="13">
        <v>1180</v>
      </c>
      <c r="O275" s="13">
        <v>1420</v>
      </c>
      <c r="P275" s="13">
        <v>1380</v>
      </c>
      <c r="Q275" s="13">
        <v>990</v>
      </c>
      <c r="R275" s="13">
        <v>1120</v>
      </c>
      <c r="S275" s="13">
        <v>1510</v>
      </c>
      <c r="T275" s="13">
        <v>1580</v>
      </c>
      <c r="U275" s="13">
        <v>1310</v>
      </c>
      <c r="V275" s="13">
        <v>1410</v>
      </c>
      <c r="W275" s="13">
        <v>2080</v>
      </c>
      <c r="X275" s="13">
        <v>1910</v>
      </c>
      <c r="Y275" s="13">
        <v>2260</v>
      </c>
      <c r="Z275" s="13">
        <v>1860</v>
      </c>
      <c r="AA275" s="13">
        <v>0</v>
      </c>
      <c r="AB275" s="13">
        <v>820</v>
      </c>
      <c r="AC275" s="13">
        <v>2070</v>
      </c>
      <c r="AD275" s="13">
        <v>2020</v>
      </c>
    </row>
    <row r="276" spans="1:30" ht="15.75" thickBot="1" x14ac:dyDescent="0.3">
      <c r="A276" s="9" t="s">
        <v>536</v>
      </c>
      <c r="B276" s="9" t="s">
        <v>811</v>
      </c>
      <c r="C276" s="45" t="str">
        <f t="shared" si="4"/>
        <v>MLDE26656APIA01</v>
      </c>
      <c r="D276" s="10" t="s">
        <v>838</v>
      </c>
      <c r="E276" s="10" t="s">
        <v>839</v>
      </c>
      <c r="F276" s="9" t="s">
        <v>261</v>
      </c>
      <c r="G276" s="9" t="s">
        <v>262</v>
      </c>
      <c r="H276" s="11">
        <v>78.260800000000003</v>
      </c>
      <c r="I276" s="12">
        <v>2700</v>
      </c>
      <c r="J276" s="13">
        <v>0</v>
      </c>
      <c r="K276" s="13">
        <v>838</v>
      </c>
      <c r="L276" s="13">
        <v>1015</v>
      </c>
      <c r="M276" s="13">
        <v>1107</v>
      </c>
      <c r="N276" s="13">
        <v>1276</v>
      </c>
      <c r="O276" s="13">
        <v>1478</v>
      </c>
      <c r="P276" s="13">
        <v>1166</v>
      </c>
      <c r="Q276" s="13">
        <v>942</v>
      </c>
      <c r="R276" s="13">
        <v>1376</v>
      </c>
      <c r="S276" s="13">
        <v>1569</v>
      </c>
      <c r="T276" s="13">
        <v>1571</v>
      </c>
      <c r="U276" s="13">
        <v>1133</v>
      </c>
      <c r="V276" s="13">
        <v>1892</v>
      </c>
      <c r="W276" s="13">
        <v>2062</v>
      </c>
      <c r="X276" s="13">
        <v>1806</v>
      </c>
      <c r="Y276" s="13">
        <v>2786</v>
      </c>
      <c r="Z276" s="13">
        <v>608</v>
      </c>
      <c r="AA276" s="13">
        <v>0</v>
      </c>
      <c r="AB276" s="13">
        <v>1668</v>
      </c>
      <c r="AC276" s="13">
        <v>2093</v>
      </c>
      <c r="AD276" s="13">
        <v>1944</v>
      </c>
    </row>
    <row r="277" spans="1:30" ht="15.75" thickBot="1" x14ac:dyDescent="0.3">
      <c r="A277" s="9" t="s">
        <v>536</v>
      </c>
      <c r="B277" s="9" t="s">
        <v>811</v>
      </c>
      <c r="C277" s="45" t="str">
        <f t="shared" si="4"/>
        <v>MLDE26657APIA01</v>
      </c>
      <c r="D277" s="10" t="s">
        <v>840</v>
      </c>
      <c r="E277" s="10" t="s">
        <v>841</v>
      </c>
      <c r="F277" s="9" t="s">
        <v>261</v>
      </c>
      <c r="G277" s="9" t="s">
        <v>262</v>
      </c>
      <c r="H277" s="11">
        <v>78.260800000000003</v>
      </c>
      <c r="I277" s="12">
        <v>1043</v>
      </c>
      <c r="J277" s="13">
        <v>0</v>
      </c>
      <c r="K277" s="13">
        <v>838</v>
      </c>
      <c r="L277" s="13">
        <v>1015</v>
      </c>
      <c r="M277" s="13">
        <v>1107</v>
      </c>
      <c r="N277" s="13">
        <v>1276</v>
      </c>
      <c r="O277" s="13">
        <v>1478</v>
      </c>
      <c r="P277" s="13">
        <v>1166</v>
      </c>
      <c r="Q277" s="13">
        <v>942</v>
      </c>
      <c r="R277" s="13">
        <v>1376</v>
      </c>
      <c r="S277" s="13">
        <v>1569</v>
      </c>
      <c r="T277" s="13">
        <v>1571</v>
      </c>
      <c r="U277" s="13">
        <v>1133</v>
      </c>
      <c r="V277" s="13">
        <v>1892</v>
      </c>
      <c r="W277" s="13">
        <v>2062</v>
      </c>
      <c r="X277" s="13">
        <v>1806</v>
      </c>
      <c r="Y277" s="13">
        <v>2786</v>
      </c>
      <c r="Z277" s="13">
        <v>608</v>
      </c>
      <c r="AA277" s="13">
        <v>0</v>
      </c>
      <c r="AB277" s="13">
        <v>1668</v>
      </c>
      <c r="AC277" s="13">
        <v>2093</v>
      </c>
      <c r="AD277" s="13">
        <v>1944</v>
      </c>
    </row>
    <row r="278" spans="1:30" ht="15.75" thickBot="1" x14ac:dyDescent="0.3">
      <c r="A278" s="9" t="s">
        <v>536</v>
      </c>
      <c r="B278" s="9" t="s">
        <v>842</v>
      </c>
      <c r="C278" s="45" t="str">
        <f t="shared" si="4"/>
        <v>85163268</v>
      </c>
      <c r="D278" s="10" t="s">
        <v>843</v>
      </c>
      <c r="E278" s="10" t="s">
        <v>844</v>
      </c>
      <c r="F278" s="9" t="s">
        <v>404</v>
      </c>
      <c r="G278" s="9" t="s">
        <v>262</v>
      </c>
      <c r="H278" s="11">
        <v>77.253200000000007</v>
      </c>
      <c r="I278" s="12">
        <v>902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303</v>
      </c>
      <c r="P278" s="13">
        <v>360</v>
      </c>
      <c r="Q278" s="13">
        <v>0</v>
      </c>
      <c r="R278" s="13">
        <v>360</v>
      </c>
      <c r="S278" s="13">
        <v>0</v>
      </c>
      <c r="T278" s="13">
        <v>360</v>
      </c>
      <c r="U278" s="13">
        <v>0</v>
      </c>
      <c r="V278" s="13">
        <v>360</v>
      </c>
      <c r="W278" s="13">
        <v>0</v>
      </c>
      <c r="X278" s="13">
        <v>360</v>
      </c>
      <c r="Y278" s="13">
        <v>0</v>
      </c>
      <c r="Z278" s="13">
        <v>0</v>
      </c>
      <c r="AA278" s="13">
        <v>360</v>
      </c>
      <c r="AB278" s="13">
        <v>0</v>
      </c>
      <c r="AC278" s="13">
        <v>360</v>
      </c>
      <c r="AD278" s="13">
        <v>0</v>
      </c>
    </row>
    <row r="279" spans="1:30" ht="15.75" thickBot="1" x14ac:dyDescent="0.3">
      <c r="A279" s="9" t="s">
        <v>536</v>
      </c>
      <c r="B279" s="9" t="s">
        <v>842</v>
      </c>
      <c r="C279" s="45" t="str">
        <f t="shared" si="4"/>
        <v>85163269</v>
      </c>
      <c r="D279" s="10" t="s">
        <v>845</v>
      </c>
      <c r="E279" s="10" t="s">
        <v>846</v>
      </c>
      <c r="F279" s="9" t="s">
        <v>404</v>
      </c>
      <c r="G279" s="9" t="s">
        <v>262</v>
      </c>
      <c r="H279" s="11">
        <v>77.253200000000007</v>
      </c>
      <c r="I279" s="12">
        <v>886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303</v>
      </c>
      <c r="P279" s="13">
        <v>360</v>
      </c>
      <c r="Q279" s="13">
        <v>0</v>
      </c>
      <c r="R279" s="13">
        <v>360</v>
      </c>
      <c r="S279" s="13">
        <v>0</v>
      </c>
      <c r="T279" s="13">
        <v>360</v>
      </c>
      <c r="U279" s="13">
        <v>0</v>
      </c>
      <c r="V279" s="13">
        <v>360</v>
      </c>
      <c r="W279" s="13">
        <v>0</v>
      </c>
      <c r="X279" s="13">
        <v>360</v>
      </c>
      <c r="Y279" s="13">
        <v>0</v>
      </c>
      <c r="Z279" s="13">
        <v>0</v>
      </c>
      <c r="AA279" s="13">
        <v>360</v>
      </c>
      <c r="AB279" s="13">
        <v>0</v>
      </c>
      <c r="AC279" s="13">
        <v>360</v>
      </c>
      <c r="AD279" s="13">
        <v>0</v>
      </c>
    </row>
    <row r="280" spans="1:30" ht="15.75" thickBot="1" x14ac:dyDescent="0.3">
      <c r="A280" s="9" t="s">
        <v>536</v>
      </c>
      <c r="B280" s="9" t="s">
        <v>842</v>
      </c>
      <c r="C280" s="45" t="str">
        <f t="shared" si="4"/>
        <v>85163288</v>
      </c>
      <c r="D280" s="10" t="s">
        <v>847</v>
      </c>
      <c r="E280" s="10" t="s">
        <v>848</v>
      </c>
      <c r="F280" s="9" t="s">
        <v>404</v>
      </c>
      <c r="G280" s="9" t="s">
        <v>262</v>
      </c>
      <c r="H280" s="11">
        <v>77.253200000000007</v>
      </c>
      <c r="I280" s="12">
        <v>1227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303</v>
      </c>
      <c r="P280" s="13">
        <v>360</v>
      </c>
      <c r="Q280" s="13">
        <v>0</v>
      </c>
      <c r="R280" s="13">
        <v>360</v>
      </c>
      <c r="S280" s="13">
        <v>0</v>
      </c>
      <c r="T280" s="13">
        <v>360</v>
      </c>
      <c r="U280" s="13">
        <v>0</v>
      </c>
      <c r="V280" s="13">
        <v>360</v>
      </c>
      <c r="W280" s="13">
        <v>0</v>
      </c>
      <c r="X280" s="13">
        <v>360</v>
      </c>
      <c r="Y280" s="13">
        <v>0</v>
      </c>
      <c r="Z280" s="13">
        <v>0</v>
      </c>
      <c r="AA280" s="13">
        <v>360</v>
      </c>
      <c r="AB280" s="13">
        <v>0</v>
      </c>
      <c r="AC280" s="13">
        <v>360</v>
      </c>
      <c r="AD280" s="13">
        <v>0</v>
      </c>
    </row>
    <row r="281" spans="1:30" ht="15.75" thickBot="1" x14ac:dyDescent="0.3">
      <c r="A281" s="9" t="s">
        <v>536</v>
      </c>
      <c r="B281" s="9" t="s">
        <v>842</v>
      </c>
      <c r="C281" s="45" t="str">
        <f t="shared" si="4"/>
        <v>85163289</v>
      </c>
      <c r="D281" s="10" t="s">
        <v>849</v>
      </c>
      <c r="E281" s="10" t="s">
        <v>850</v>
      </c>
      <c r="F281" s="9" t="s">
        <v>404</v>
      </c>
      <c r="G281" s="9" t="s">
        <v>262</v>
      </c>
      <c r="H281" s="11">
        <v>77.253200000000007</v>
      </c>
      <c r="I281" s="12">
        <v>417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  <c r="O281" s="13">
        <v>303</v>
      </c>
      <c r="P281" s="13">
        <v>360</v>
      </c>
      <c r="Q281" s="13">
        <v>0</v>
      </c>
      <c r="R281" s="13">
        <v>360</v>
      </c>
      <c r="S281" s="13">
        <v>0</v>
      </c>
      <c r="T281" s="13">
        <v>360</v>
      </c>
      <c r="U281" s="13">
        <v>0</v>
      </c>
      <c r="V281" s="13">
        <v>360</v>
      </c>
      <c r="W281" s="13">
        <v>0</v>
      </c>
      <c r="X281" s="13">
        <v>360</v>
      </c>
      <c r="Y281" s="13">
        <v>0</v>
      </c>
      <c r="Z281" s="13">
        <v>0</v>
      </c>
      <c r="AA281" s="13">
        <v>360</v>
      </c>
      <c r="AB281" s="13">
        <v>0</v>
      </c>
      <c r="AC281" s="13">
        <v>360</v>
      </c>
      <c r="AD281" s="13">
        <v>0</v>
      </c>
    </row>
    <row r="282" spans="1:30" ht="15.75" thickBot="1" x14ac:dyDescent="0.3">
      <c r="A282" s="9" t="s">
        <v>536</v>
      </c>
      <c r="B282" s="9" t="s">
        <v>842</v>
      </c>
      <c r="C282" s="45" t="str">
        <f t="shared" si="4"/>
        <v>85533616</v>
      </c>
      <c r="D282" s="10" t="s">
        <v>851</v>
      </c>
      <c r="E282" s="10" t="s">
        <v>852</v>
      </c>
      <c r="F282" s="9" t="s">
        <v>404</v>
      </c>
      <c r="G282" s="9" t="s">
        <v>262</v>
      </c>
      <c r="H282" s="12">
        <v>80</v>
      </c>
      <c r="I282" s="12">
        <v>499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141</v>
      </c>
      <c r="P282" s="13">
        <v>320</v>
      </c>
      <c r="Q282" s="13">
        <v>160</v>
      </c>
      <c r="R282" s="13">
        <v>161</v>
      </c>
      <c r="S282" s="13">
        <v>161</v>
      </c>
      <c r="T282" s="13">
        <v>160</v>
      </c>
      <c r="U282" s="13">
        <v>160</v>
      </c>
      <c r="V282" s="13">
        <v>160</v>
      </c>
      <c r="W282" s="13">
        <v>320</v>
      </c>
      <c r="X282" s="13">
        <v>160</v>
      </c>
      <c r="Y282" s="13">
        <v>160</v>
      </c>
      <c r="Z282" s="13">
        <v>0</v>
      </c>
      <c r="AA282" s="13">
        <v>161</v>
      </c>
      <c r="AB282" s="13">
        <v>161</v>
      </c>
      <c r="AC282" s="13">
        <v>160</v>
      </c>
      <c r="AD282" s="13">
        <v>160</v>
      </c>
    </row>
    <row r="283" spans="1:30" ht="15.75" thickBot="1" x14ac:dyDescent="0.3">
      <c r="A283" s="9" t="s">
        <v>536</v>
      </c>
      <c r="B283" s="9" t="s">
        <v>842</v>
      </c>
      <c r="C283" s="45" t="str">
        <f t="shared" si="4"/>
        <v>85533617</v>
      </c>
      <c r="D283" s="10" t="s">
        <v>853</v>
      </c>
      <c r="E283" s="10" t="s">
        <v>854</v>
      </c>
      <c r="F283" s="9" t="s">
        <v>404</v>
      </c>
      <c r="G283" s="9" t="s">
        <v>262</v>
      </c>
      <c r="H283" s="12">
        <v>80</v>
      </c>
      <c r="I283" s="12">
        <v>1070</v>
      </c>
      <c r="J283" s="13">
        <v>0</v>
      </c>
      <c r="K283" s="13">
        <v>0</v>
      </c>
      <c r="L283" s="13">
        <v>0</v>
      </c>
      <c r="M283" s="13">
        <v>0</v>
      </c>
      <c r="N283" s="13">
        <v>0</v>
      </c>
      <c r="O283" s="13">
        <v>141</v>
      </c>
      <c r="P283" s="13">
        <v>320</v>
      </c>
      <c r="Q283" s="13">
        <v>160</v>
      </c>
      <c r="R283" s="13">
        <v>161</v>
      </c>
      <c r="S283" s="13">
        <v>161</v>
      </c>
      <c r="T283" s="13">
        <v>160</v>
      </c>
      <c r="U283" s="13">
        <v>160</v>
      </c>
      <c r="V283" s="13">
        <v>160</v>
      </c>
      <c r="W283" s="13">
        <v>320</v>
      </c>
      <c r="X283" s="13">
        <v>160</v>
      </c>
      <c r="Y283" s="13">
        <v>160</v>
      </c>
      <c r="Z283" s="13">
        <v>0</v>
      </c>
      <c r="AA283" s="13">
        <v>161</v>
      </c>
      <c r="AB283" s="13">
        <v>161</v>
      </c>
      <c r="AC283" s="13">
        <v>160</v>
      </c>
      <c r="AD283" s="13">
        <v>160</v>
      </c>
    </row>
    <row r="284" spans="1:30" ht="15.75" thickBot="1" x14ac:dyDescent="0.3">
      <c r="A284" s="9" t="s">
        <v>536</v>
      </c>
      <c r="B284" s="9" t="s">
        <v>842</v>
      </c>
      <c r="C284" s="45" t="str">
        <f t="shared" si="4"/>
        <v>MLD17E810BA</v>
      </c>
      <c r="D284" s="10" t="s">
        <v>855</v>
      </c>
      <c r="E284" s="10" t="s">
        <v>856</v>
      </c>
      <c r="F284" s="9" t="s">
        <v>364</v>
      </c>
      <c r="G284" s="9" t="s">
        <v>262</v>
      </c>
      <c r="H284" s="12">
        <v>80</v>
      </c>
      <c r="I284" s="12">
        <v>-165</v>
      </c>
      <c r="J284" s="13">
        <v>18</v>
      </c>
      <c r="K284" s="13">
        <v>617</v>
      </c>
      <c r="L284" s="13">
        <v>963</v>
      </c>
      <c r="M284" s="13">
        <v>956</v>
      </c>
      <c r="N284" s="13">
        <v>910</v>
      </c>
      <c r="O284" s="13">
        <v>1106</v>
      </c>
      <c r="P284" s="13">
        <v>808</v>
      </c>
      <c r="Q284" s="13">
        <v>823</v>
      </c>
      <c r="R284" s="13">
        <v>1158</v>
      </c>
      <c r="S284" s="13">
        <v>1412</v>
      </c>
      <c r="T284" s="13">
        <v>1260</v>
      </c>
      <c r="U284" s="13">
        <v>958</v>
      </c>
      <c r="V284" s="13">
        <v>1101</v>
      </c>
      <c r="W284" s="13">
        <v>1208</v>
      </c>
      <c r="X284" s="13">
        <v>958</v>
      </c>
      <c r="Y284" s="13">
        <v>1158</v>
      </c>
      <c r="Z284" s="13">
        <v>729</v>
      </c>
      <c r="AA284" s="13">
        <v>306</v>
      </c>
      <c r="AB284" s="13">
        <v>604</v>
      </c>
      <c r="AC284" s="13">
        <v>1058</v>
      </c>
      <c r="AD284" s="13">
        <v>1260</v>
      </c>
    </row>
    <row r="285" spans="1:30" ht="15.75" thickBot="1" x14ac:dyDescent="0.3">
      <c r="A285" s="9" t="s">
        <v>536</v>
      </c>
      <c r="B285" s="9" t="s">
        <v>842</v>
      </c>
      <c r="C285" s="45" t="str">
        <f t="shared" si="4"/>
        <v>MLD17E810GC</v>
      </c>
      <c r="D285" s="10" t="s">
        <v>857</v>
      </c>
      <c r="E285" s="10" t="s">
        <v>858</v>
      </c>
      <c r="F285" s="9" t="s">
        <v>364</v>
      </c>
      <c r="G285" s="9" t="s">
        <v>262</v>
      </c>
      <c r="H285" s="11">
        <v>75.789400000000001</v>
      </c>
      <c r="I285" s="12">
        <v>2737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3">
        <v>0</v>
      </c>
      <c r="T285" s="13">
        <v>0</v>
      </c>
      <c r="U285" s="13">
        <v>146</v>
      </c>
      <c r="V285" s="13">
        <v>192</v>
      </c>
      <c r="W285" s="13">
        <v>192</v>
      </c>
      <c r="X285" s="13">
        <v>192</v>
      </c>
      <c r="Y285" s="13">
        <v>268</v>
      </c>
      <c r="Z285" s="13">
        <v>614</v>
      </c>
      <c r="AA285" s="13">
        <v>0</v>
      </c>
      <c r="AB285" s="13">
        <v>78</v>
      </c>
      <c r="AC285" s="13">
        <v>268</v>
      </c>
      <c r="AD285" s="13">
        <v>308</v>
      </c>
    </row>
    <row r="286" spans="1:30" ht="15.75" thickBot="1" x14ac:dyDescent="0.3">
      <c r="A286" s="9" t="s">
        <v>536</v>
      </c>
      <c r="B286" s="9" t="s">
        <v>842</v>
      </c>
      <c r="C286" s="45" t="str">
        <f t="shared" si="4"/>
        <v>MLD17E811BA</v>
      </c>
      <c r="D286" s="10" t="s">
        <v>859</v>
      </c>
      <c r="E286" s="10" t="s">
        <v>860</v>
      </c>
      <c r="F286" s="9" t="s">
        <v>364</v>
      </c>
      <c r="G286" s="9" t="s">
        <v>262</v>
      </c>
      <c r="H286" s="12">
        <v>80</v>
      </c>
      <c r="I286" s="12">
        <v>321</v>
      </c>
      <c r="J286" s="13">
        <v>18</v>
      </c>
      <c r="K286" s="13">
        <v>617</v>
      </c>
      <c r="L286" s="13">
        <v>963</v>
      </c>
      <c r="M286" s="13">
        <v>956</v>
      </c>
      <c r="N286" s="13">
        <v>910</v>
      </c>
      <c r="O286" s="13">
        <v>1106</v>
      </c>
      <c r="P286" s="13">
        <v>808</v>
      </c>
      <c r="Q286" s="13">
        <v>823</v>
      </c>
      <c r="R286" s="13">
        <v>1158</v>
      </c>
      <c r="S286" s="13">
        <v>1412</v>
      </c>
      <c r="T286" s="13">
        <v>1260</v>
      </c>
      <c r="U286" s="13">
        <v>958</v>
      </c>
      <c r="V286" s="13">
        <v>1101</v>
      </c>
      <c r="W286" s="13">
        <v>1208</v>
      </c>
      <c r="X286" s="13">
        <v>958</v>
      </c>
      <c r="Y286" s="13">
        <v>1158</v>
      </c>
      <c r="Z286" s="13">
        <v>729</v>
      </c>
      <c r="AA286" s="13">
        <v>306</v>
      </c>
      <c r="AB286" s="13">
        <v>604</v>
      </c>
      <c r="AC286" s="13">
        <v>1058</v>
      </c>
      <c r="AD286" s="13">
        <v>1260</v>
      </c>
    </row>
    <row r="287" spans="1:30" ht="15.75" thickBot="1" x14ac:dyDescent="0.3">
      <c r="A287" s="9" t="s">
        <v>536</v>
      </c>
      <c r="B287" s="9" t="s">
        <v>842</v>
      </c>
      <c r="C287" s="45" t="str">
        <f t="shared" si="4"/>
        <v>MLD17E811GC</v>
      </c>
      <c r="D287" s="10" t="s">
        <v>861</v>
      </c>
      <c r="E287" s="10" t="s">
        <v>862</v>
      </c>
      <c r="F287" s="9" t="s">
        <v>364</v>
      </c>
      <c r="G287" s="9" t="s">
        <v>262</v>
      </c>
      <c r="H287" s="11">
        <v>75.789400000000001</v>
      </c>
      <c r="I287" s="12">
        <v>1512</v>
      </c>
      <c r="J287" s="13">
        <v>0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146</v>
      </c>
      <c r="V287" s="13">
        <v>192</v>
      </c>
      <c r="W287" s="13">
        <v>192</v>
      </c>
      <c r="X287" s="13">
        <v>192</v>
      </c>
      <c r="Y287" s="13">
        <v>268</v>
      </c>
      <c r="Z287" s="13">
        <v>614</v>
      </c>
      <c r="AA287" s="13">
        <v>0</v>
      </c>
      <c r="AB287" s="13">
        <v>78</v>
      </c>
      <c r="AC287" s="13">
        <v>268</v>
      </c>
      <c r="AD287" s="13">
        <v>308</v>
      </c>
    </row>
    <row r="288" spans="1:30" ht="15.75" thickBot="1" x14ac:dyDescent="0.3">
      <c r="A288" s="9" t="s">
        <v>536</v>
      </c>
      <c r="B288" s="9" t="s">
        <v>842</v>
      </c>
      <c r="C288" s="45" t="str">
        <f t="shared" si="4"/>
        <v>MLDBEE18184</v>
      </c>
      <c r="D288" s="10" t="s">
        <v>863</v>
      </c>
      <c r="E288" s="10" t="s">
        <v>864</v>
      </c>
      <c r="F288" s="9" t="s">
        <v>404</v>
      </c>
      <c r="G288" s="9" t="s">
        <v>262</v>
      </c>
      <c r="H288" s="12">
        <v>60</v>
      </c>
      <c r="I288" s="12">
        <v>15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  <c r="P288" s="13">
        <v>0</v>
      </c>
      <c r="Q288" s="13">
        <v>298</v>
      </c>
      <c r="R288" s="13">
        <v>0</v>
      </c>
      <c r="S288" s="13">
        <v>380</v>
      </c>
      <c r="T288" s="13">
        <v>0</v>
      </c>
      <c r="U288" s="13">
        <v>380</v>
      </c>
      <c r="V288" s="13">
        <v>0</v>
      </c>
      <c r="W288" s="13">
        <v>380</v>
      </c>
      <c r="X288" s="13">
        <v>0</v>
      </c>
      <c r="Y288" s="13">
        <v>380</v>
      </c>
      <c r="Z288" s="13">
        <v>0</v>
      </c>
      <c r="AA288" s="13">
        <v>0</v>
      </c>
      <c r="AB288" s="13">
        <v>380</v>
      </c>
      <c r="AC288" s="13">
        <v>0</v>
      </c>
      <c r="AD288" s="13">
        <v>0</v>
      </c>
    </row>
    <row r="289" spans="1:30" ht="15.75" thickBot="1" x14ac:dyDescent="0.3">
      <c r="A289" s="9" t="s">
        <v>536</v>
      </c>
      <c r="B289" s="9" t="s">
        <v>842</v>
      </c>
      <c r="C289" s="45" t="str">
        <f t="shared" si="4"/>
        <v>MLDBEE18185</v>
      </c>
      <c r="D289" s="10" t="s">
        <v>865</v>
      </c>
      <c r="E289" s="10" t="s">
        <v>866</v>
      </c>
      <c r="F289" s="9" t="s">
        <v>404</v>
      </c>
      <c r="G289" s="9" t="s">
        <v>262</v>
      </c>
      <c r="H289" s="12">
        <v>60</v>
      </c>
      <c r="I289" s="12">
        <v>24</v>
      </c>
      <c r="J289" s="13">
        <v>0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298</v>
      </c>
      <c r="R289" s="13">
        <v>0</v>
      </c>
      <c r="S289" s="13">
        <v>380</v>
      </c>
      <c r="T289" s="13">
        <v>0</v>
      </c>
      <c r="U289" s="13">
        <v>380</v>
      </c>
      <c r="V289" s="13">
        <v>0</v>
      </c>
      <c r="W289" s="13">
        <v>380</v>
      </c>
      <c r="X289" s="13">
        <v>0</v>
      </c>
      <c r="Y289" s="13">
        <v>380</v>
      </c>
      <c r="Z289" s="13">
        <v>0</v>
      </c>
      <c r="AA289" s="13">
        <v>0</v>
      </c>
      <c r="AB289" s="13">
        <v>380</v>
      </c>
      <c r="AC289" s="13">
        <v>0</v>
      </c>
      <c r="AD289" s="13">
        <v>0</v>
      </c>
    </row>
    <row r="290" spans="1:30" ht="15.75" thickBot="1" x14ac:dyDescent="0.3">
      <c r="A290" s="9" t="s">
        <v>536</v>
      </c>
      <c r="B290" s="9" t="s">
        <v>842</v>
      </c>
      <c r="C290" s="45" t="str">
        <f t="shared" si="4"/>
        <v>MLDBEE32782</v>
      </c>
      <c r="D290" s="10" t="s">
        <v>867</v>
      </c>
      <c r="E290" s="10" t="s">
        <v>868</v>
      </c>
      <c r="F290" s="9" t="s">
        <v>404</v>
      </c>
      <c r="G290" s="9" t="s">
        <v>262</v>
      </c>
      <c r="H290" s="12">
        <v>60</v>
      </c>
      <c r="I290" s="12">
        <v>8</v>
      </c>
      <c r="J290" s="13">
        <v>0</v>
      </c>
      <c r="K290" s="13">
        <v>57</v>
      </c>
      <c r="L290" s="13">
        <v>0</v>
      </c>
      <c r="M290" s="13">
        <v>0</v>
      </c>
      <c r="N290" s="13">
        <v>0</v>
      </c>
      <c r="O290" s="13">
        <v>288</v>
      </c>
      <c r="P290" s="13">
        <v>240</v>
      </c>
      <c r="Q290" s="13">
        <v>240</v>
      </c>
      <c r="R290" s="13">
        <v>192</v>
      </c>
      <c r="S290" s="13">
        <v>144</v>
      </c>
      <c r="T290" s="13">
        <v>144</v>
      </c>
      <c r="U290" s="13">
        <v>144</v>
      </c>
      <c r="V290" s="13">
        <v>240</v>
      </c>
      <c r="W290" s="13">
        <v>240</v>
      </c>
      <c r="X290" s="13">
        <v>192</v>
      </c>
      <c r="Y290" s="13">
        <v>192</v>
      </c>
      <c r="Z290" s="13">
        <v>0</v>
      </c>
      <c r="AA290" s="13">
        <v>146</v>
      </c>
      <c r="AB290" s="13">
        <v>146</v>
      </c>
      <c r="AC290" s="13">
        <v>98</v>
      </c>
      <c r="AD290" s="13">
        <v>194</v>
      </c>
    </row>
    <row r="291" spans="1:30" ht="15.75" thickBot="1" x14ac:dyDescent="0.3">
      <c r="A291" s="9" t="s">
        <v>536</v>
      </c>
      <c r="B291" s="9" t="s">
        <v>842</v>
      </c>
      <c r="C291" s="45" t="str">
        <f t="shared" si="4"/>
        <v>MLDBEE32784</v>
      </c>
      <c r="D291" s="10" t="s">
        <v>869</v>
      </c>
      <c r="E291" s="10" t="s">
        <v>870</v>
      </c>
      <c r="F291" s="9" t="s">
        <v>404</v>
      </c>
      <c r="G291" s="9" t="s">
        <v>262</v>
      </c>
      <c r="H291" s="12">
        <v>60</v>
      </c>
      <c r="I291" s="12">
        <v>17</v>
      </c>
      <c r="J291" s="13">
        <v>0</v>
      </c>
      <c r="K291" s="13">
        <v>57</v>
      </c>
      <c r="L291" s="13">
        <v>0</v>
      </c>
      <c r="M291" s="13">
        <v>0</v>
      </c>
      <c r="N291" s="13">
        <v>0</v>
      </c>
      <c r="O291" s="13">
        <v>288</v>
      </c>
      <c r="P291" s="13">
        <v>240</v>
      </c>
      <c r="Q291" s="13">
        <v>240</v>
      </c>
      <c r="R291" s="13">
        <v>192</v>
      </c>
      <c r="S291" s="13">
        <v>144</v>
      </c>
      <c r="T291" s="13">
        <v>144</v>
      </c>
      <c r="U291" s="13">
        <v>144</v>
      </c>
      <c r="V291" s="13">
        <v>240</v>
      </c>
      <c r="W291" s="13">
        <v>240</v>
      </c>
      <c r="X291" s="13">
        <v>192</v>
      </c>
      <c r="Y291" s="13">
        <v>192</v>
      </c>
      <c r="Z291" s="13">
        <v>0</v>
      </c>
      <c r="AA291" s="13">
        <v>146</v>
      </c>
      <c r="AB291" s="13">
        <v>146</v>
      </c>
      <c r="AC291" s="13">
        <v>98</v>
      </c>
      <c r="AD291" s="13">
        <v>194</v>
      </c>
    </row>
    <row r="292" spans="1:30" ht="15.75" thickBot="1" x14ac:dyDescent="0.3">
      <c r="A292" s="9" t="s">
        <v>536</v>
      </c>
      <c r="B292" s="9" t="s">
        <v>842</v>
      </c>
      <c r="C292" s="45" t="str">
        <f t="shared" si="4"/>
        <v>MLDBEH03511</v>
      </c>
      <c r="D292" s="10" t="s">
        <v>871</v>
      </c>
      <c r="E292" s="10" t="s">
        <v>479</v>
      </c>
      <c r="F292" s="9" t="s">
        <v>404</v>
      </c>
      <c r="G292" s="9" t="s">
        <v>262</v>
      </c>
      <c r="H292" s="12">
        <v>60</v>
      </c>
      <c r="I292" s="12">
        <v>-770</v>
      </c>
      <c r="J292" s="13">
        <v>770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  <c r="R292" s="13">
        <v>56</v>
      </c>
      <c r="S292" s="13">
        <v>153</v>
      </c>
      <c r="T292" s="13">
        <v>144</v>
      </c>
      <c r="U292" s="13">
        <v>132</v>
      </c>
      <c r="V292" s="13">
        <v>228</v>
      </c>
      <c r="W292" s="13">
        <v>216</v>
      </c>
      <c r="X292" s="13">
        <v>168</v>
      </c>
      <c r="Y292" s="13">
        <v>195</v>
      </c>
      <c r="Z292" s="13">
        <v>3</v>
      </c>
      <c r="AA292" s="13">
        <v>123</v>
      </c>
      <c r="AB292" s="13">
        <v>135</v>
      </c>
      <c r="AC292" s="13">
        <v>120</v>
      </c>
      <c r="AD292" s="13">
        <v>144</v>
      </c>
    </row>
    <row r="293" spans="1:30" ht="15.75" thickBot="1" x14ac:dyDescent="0.3">
      <c r="A293" s="9" t="s">
        <v>536</v>
      </c>
      <c r="B293" s="9" t="s">
        <v>842</v>
      </c>
      <c r="C293" s="45" t="str">
        <f t="shared" si="4"/>
        <v>MLDBEH03514</v>
      </c>
      <c r="D293" s="10" t="s">
        <v>872</v>
      </c>
      <c r="E293" s="10" t="s">
        <v>481</v>
      </c>
      <c r="F293" s="9" t="s">
        <v>404</v>
      </c>
      <c r="G293" s="9" t="s">
        <v>262</v>
      </c>
      <c r="H293" s="12">
        <v>60</v>
      </c>
      <c r="I293" s="12">
        <v>-764</v>
      </c>
      <c r="J293" s="13">
        <v>770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3">
        <v>56</v>
      </c>
      <c r="S293" s="13">
        <v>153</v>
      </c>
      <c r="T293" s="13">
        <v>144</v>
      </c>
      <c r="U293" s="13">
        <v>132</v>
      </c>
      <c r="V293" s="13">
        <v>228</v>
      </c>
      <c r="W293" s="13">
        <v>216</v>
      </c>
      <c r="X293" s="13">
        <v>168</v>
      </c>
      <c r="Y293" s="13">
        <v>195</v>
      </c>
      <c r="Z293" s="13">
        <v>3</v>
      </c>
      <c r="AA293" s="13">
        <v>123</v>
      </c>
      <c r="AB293" s="13">
        <v>135</v>
      </c>
      <c r="AC293" s="13">
        <v>120</v>
      </c>
      <c r="AD293" s="13">
        <v>144</v>
      </c>
    </row>
    <row r="294" spans="1:30" ht="15.75" thickBot="1" x14ac:dyDescent="0.3">
      <c r="A294" s="9" t="s">
        <v>536</v>
      </c>
      <c r="B294" s="9" t="s">
        <v>842</v>
      </c>
      <c r="C294" s="45" t="str">
        <f t="shared" si="4"/>
        <v>MLDBEU43796</v>
      </c>
      <c r="D294" s="10" t="s">
        <v>873</v>
      </c>
      <c r="E294" s="10" t="s">
        <v>874</v>
      </c>
      <c r="F294" s="9" t="s">
        <v>404</v>
      </c>
      <c r="G294" s="9" t="s">
        <v>262</v>
      </c>
      <c r="H294" s="11">
        <v>65.454499999999996</v>
      </c>
      <c r="I294" s="12">
        <v>939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76</v>
      </c>
      <c r="Q294" s="13">
        <v>240</v>
      </c>
      <c r="R294" s="13">
        <v>144</v>
      </c>
      <c r="S294" s="13">
        <v>144</v>
      </c>
      <c r="T294" s="13">
        <v>144</v>
      </c>
      <c r="U294" s="13">
        <v>144</v>
      </c>
      <c r="V294" s="13">
        <v>240</v>
      </c>
      <c r="W294" s="13">
        <v>240</v>
      </c>
      <c r="X294" s="13">
        <v>192</v>
      </c>
      <c r="Y294" s="13">
        <v>192</v>
      </c>
      <c r="Z294" s="13">
        <v>0</v>
      </c>
      <c r="AA294" s="13">
        <v>144</v>
      </c>
      <c r="AB294" s="13">
        <v>144</v>
      </c>
      <c r="AC294" s="13">
        <v>144</v>
      </c>
      <c r="AD294" s="13">
        <v>144</v>
      </c>
    </row>
    <row r="295" spans="1:30" ht="15.75" thickBot="1" x14ac:dyDescent="0.3">
      <c r="A295" s="9" t="s">
        <v>536</v>
      </c>
      <c r="B295" s="9" t="s">
        <v>842</v>
      </c>
      <c r="C295" s="45" t="str">
        <f t="shared" si="4"/>
        <v>MLDBEU45895</v>
      </c>
      <c r="D295" s="10" t="s">
        <v>875</v>
      </c>
      <c r="E295" s="10" t="s">
        <v>876</v>
      </c>
      <c r="F295" s="9" t="s">
        <v>404</v>
      </c>
      <c r="G295" s="9" t="s">
        <v>262</v>
      </c>
      <c r="H295" s="11">
        <v>65.454499999999996</v>
      </c>
      <c r="I295" s="12">
        <v>508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76</v>
      </c>
      <c r="Q295" s="13">
        <v>240</v>
      </c>
      <c r="R295" s="13">
        <v>144</v>
      </c>
      <c r="S295" s="13">
        <v>144</v>
      </c>
      <c r="T295" s="13">
        <v>144</v>
      </c>
      <c r="U295" s="13">
        <v>144</v>
      </c>
      <c r="V295" s="13">
        <v>240</v>
      </c>
      <c r="W295" s="13">
        <v>240</v>
      </c>
      <c r="X295" s="13">
        <v>192</v>
      </c>
      <c r="Y295" s="13">
        <v>192</v>
      </c>
      <c r="Z295" s="13">
        <v>0</v>
      </c>
      <c r="AA295" s="13">
        <v>144</v>
      </c>
      <c r="AB295" s="13">
        <v>144</v>
      </c>
      <c r="AC295" s="13">
        <v>144</v>
      </c>
      <c r="AD295" s="13">
        <v>144</v>
      </c>
    </row>
    <row r="296" spans="1:30" ht="15.75" thickBot="1" x14ac:dyDescent="0.3">
      <c r="A296" s="9" t="s">
        <v>536</v>
      </c>
      <c r="B296" s="9" t="s">
        <v>842</v>
      </c>
      <c r="C296" s="45" t="str">
        <f t="shared" si="4"/>
        <v>MLDE24396C</v>
      </c>
      <c r="D296" s="10" t="s">
        <v>877</v>
      </c>
      <c r="E296" s="10" t="s">
        <v>878</v>
      </c>
      <c r="F296" s="9" t="s">
        <v>261</v>
      </c>
      <c r="G296" s="9" t="s">
        <v>262</v>
      </c>
      <c r="H296" s="11">
        <v>64.285700000000006</v>
      </c>
      <c r="I296" s="12">
        <v>6</v>
      </c>
      <c r="J296" s="13">
        <v>0</v>
      </c>
      <c r="K296" s="13">
        <v>0</v>
      </c>
      <c r="L296" s="13">
        <v>76</v>
      </c>
      <c r="M296" s="13">
        <v>144</v>
      </c>
      <c r="N296" s="13">
        <v>126</v>
      </c>
      <c r="O296" s="13">
        <v>96</v>
      </c>
      <c r="P296" s="13">
        <v>152</v>
      </c>
      <c r="Q296" s="13">
        <v>240</v>
      </c>
      <c r="R296" s="13">
        <v>240</v>
      </c>
      <c r="S296" s="13">
        <v>260</v>
      </c>
      <c r="T296" s="13">
        <v>268</v>
      </c>
      <c r="U296" s="13">
        <v>202</v>
      </c>
      <c r="V296" s="13">
        <v>182</v>
      </c>
      <c r="W296" s="13">
        <v>240</v>
      </c>
      <c r="X296" s="13">
        <v>240</v>
      </c>
      <c r="Y296" s="13">
        <v>318</v>
      </c>
      <c r="Z296" s="13">
        <v>258</v>
      </c>
      <c r="AA296" s="13">
        <v>0</v>
      </c>
      <c r="AB296" s="13">
        <v>96</v>
      </c>
      <c r="AC296" s="13">
        <v>260</v>
      </c>
      <c r="AD296" s="13">
        <v>268</v>
      </c>
    </row>
    <row r="297" spans="1:30" ht="15.75" thickBot="1" x14ac:dyDescent="0.3">
      <c r="A297" s="9" t="s">
        <v>536</v>
      </c>
      <c r="B297" s="9" t="s">
        <v>842</v>
      </c>
      <c r="C297" s="45" t="str">
        <f t="shared" si="4"/>
        <v>MLDE24396CGREY</v>
      </c>
      <c r="D297" s="10" t="s">
        <v>879</v>
      </c>
      <c r="E297" s="10" t="s">
        <v>880</v>
      </c>
      <c r="F297" s="9" t="s">
        <v>261</v>
      </c>
      <c r="G297" s="9" t="s">
        <v>262</v>
      </c>
      <c r="H297" s="11">
        <v>64.285700000000006</v>
      </c>
      <c r="I297" s="12">
        <v>34</v>
      </c>
      <c r="J297" s="13">
        <v>0</v>
      </c>
      <c r="K297" s="13">
        <v>1056</v>
      </c>
      <c r="L297" s="13">
        <v>1096</v>
      </c>
      <c r="M297" s="13">
        <v>854</v>
      </c>
      <c r="N297" s="13">
        <v>1026</v>
      </c>
      <c r="O297" s="13">
        <v>1336</v>
      </c>
      <c r="P297" s="13">
        <v>1228</v>
      </c>
      <c r="Q297" s="13">
        <v>730</v>
      </c>
      <c r="R297" s="13">
        <v>902</v>
      </c>
      <c r="S297" s="13">
        <v>1268</v>
      </c>
      <c r="T297" s="13">
        <v>1314</v>
      </c>
      <c r="U297" s="13">
        <v>1134</v>
      </c>
      <c r="V297" s="13">
        <v>1200</v>
      </c>
      <c r="W297" s="13">
        <v>1814</v>
      </c>
      <c r="X297" s="13">
        <v>1698</v>
      </c>
      <c r="Y297" s="13">
        <v>1920</v>
      </c>
      <c r="Z297" s="13">
        <v>1584</v>
      </c>
      <c r="AA297" s="13">
        <v>0</v>
      </c>
      <c r="AB297" s="13">
        <v>730</v>
      </c>
      <c r="AC297" s="13">
        <v>1824</v>
      </c>
      <c r="AD297" s="13">
        <v>1766</v>
      </c>
    </row>
    <row r="298" spans="1:30" ht="15.75" thickBot="1" x14ac:dyDescent="0.3">
      <c r="A298" s="9" t="s">
        <v>536</v>
      </c>
      <c r="B298" s="9" t="s">
        <v>842</v>
      </c>
      <c r="C298" s="45" t="str">
        <f t="shared" si="4"/>
        <v>MLDE24397C</v>
      </c>
      <c r="D298" s="10" t="s">
        <v>881</v>
      </c>
      <c r="E298" s="10" t="s">
        <v>882</v>
      </c>
      <c r="F298" s="9" t="s">
        <v>261</v>
      </c>
      <c r="G298" s="9" t="s">
        <v>262</v>
      </c>
      <c r="H298" s="11">
        <v>64.285700000000006</v>
      </c>
      <c r="I298" s="12">
        <v>7</v>
      </c>
      <c r="J298" s="13">
        <v>0</v>
      </c>
      <c r="K298" s="13">
        <v>0</v>
      </c>
      <c r="L298" s="13">
        <v>76</v>
      </c>
      <c r="M298" s="13">
        <v>144</v>
      </c>
      <c r="N298" s="13">
        <v>126</v>
      </c>
      <c r="O298" s="13">
        <v>96</v>
      </c>
      <c r="P298" s="13">
        <v>152</v>
      </c>
      <c r="Q298" s="13">
        <v>240</v>
      </c>
      <c r="R298" s="13">
        <v>240</v>
      </c>
      <c r="S298" s="13">
        <v>260</v>
      </c>
      <c r="T298" s="13">
        <v>268</v>
      </c>
      <c r="U298" s="13">
        <v>202</v>
      </c>
      <c r="V298" s="13">
        <v>182</v>
      </c>
      <c r="W298" s="13">
        <v>240</v>
      </c>
      <c r="X298" s="13">
        <v>240</v>
      </c>
      <c r="Y298" s="13">
        <v>318</v>
      </c>
      <c r="Z298" s="13">
        <v>258</v>
      </c>
      <c r="AA298" s="13">
        <v>0</v>
      </c>
      <c r="AB298" s="13">
        <v>96</v>
      </c>
      <c r="AC298" s="13">
        <v>260</v>
      </c>
      <c r="AD298" s="13">
        <v>268</v>
      </c>
    </row>
    <row r="299" spans="1:30" ht="15.75" thickBot="1" x14ac:dyDescent="0.3">
      <c r="A299" s="9" t="s">
        <v>536</v>
      </c>
      <c r="B299" s="9" t="s">
        <v>842</v>
      </c>
      <c r="C299" s="45" t="str">
        <f t="shared" si="4"/>
        <v>MLDE24397CGREY</v>
      </c>
      <c r="D299" s="10" t="s">
        <v>883</v>
      </c>
      <c r="E299" s="10" t="s">
        <v>884</v>
      </c>
      <c r="F299" s="9" t="s">
        <v>261</v>
      </c>
      <c r="G299" s="9" t="s">
        <v>262</v>
      </c>
      <c r="H299" s="11">
        <v>64.285700000000006</v>
      </c>
      <c r="I299" s="12">
        <v>34</v>
      </c>
      <c r="J299" s="13">
        <v>0</v>
      </c>
      <c r="K299" s="13">
        <v>1056</v>
      </c>
      <c r="L299" s="13">
        <v>1096</v>
      </c>
      <c r="M299" s="13">
        <v>854</v>
      </c>
      <c r="N299" s="13">
        <v>1026</v>
      </c>
      <c r="O299" s="13">
        <v>1336</v>
      </c>
      <c r="P299" s="13">
        <v>1228</v>
      </c>
      <c r="Q299" s="13">
        <v>730</v>
      </c>
      <c r="R299" s="13">
        <v>902</v>
      </c>
      <c r="S299" s="13">
        <v>1268</v>
      </c>
      <c r="T299" s="13">
        <v>1314</v>
      </c>
      <c r="U299" s="13">
        <v>1134</v>
      </c>
      <c r="V299" s="13">
        <v>1200</v>
      </c>
      <c r="W299" s="13">
        <v>1814</v>
      </c>
      <c r="X299" s="13">
        <v>1698</v>
      </c>
      <c r="Y299" s="13">
        <v>1920</v>
      </c>
      <c r="Z299" s="13">
        <v>1584</v>
      </c>
      <c r="AA299" s="13">
        <v>0</v>
      </c>
      <c r="AB299" s="13">
        <v>730</v>
      </c>
      <c r="AC299" s="13">
        <v>1824</v>
      </c>
      <c r="AD299" s="13">
        <v>1766</v>
      </c>
    </row>
    <row r="300" spans="1:30" ht="15.75" thickBot="1" x14ac:dyDescent="0.3">
      <c r="A300" s="9" t="s">
        <v>536</v>
      </c>
      <c r="B300" s="9" t="s">
        <v>885</v>
      </c>
      <c r="C300" s="45" t="str">
        <f t="shared" si="4"/>
        <v>68618402AA</v>
      </c>
      <c r="D300" s="10" t="s">
        <v>886</v>
      </c>
      <c r="E300" s="10" t="s">
        <v>887</v>
      </c>
      <c r="F300" s="9" t="s">
        <v>698</v>
      </c>
      <c r="G300" s="9" t="s">
        <v>262</v>
      </c>
      <c r="H300" s="12">
        <v>62</v>
      </c>
      <c r="I300" s="12">
        <v>150</v>
      </c>
      <c r="J300" s="13">
        <v>0</v>
      </c>
      <c r="K300" s="13">
        <v>570</v>
      </c>
      <c r="L300" s="13">
        <v>540</v>
      </c>
      <c r="M300" s="13">
        <v>360</v>
      </c>
      <c r="N300" s="13">
        <v>360</v>
      </c>
      <c r="O300" s="13">
        <v>540</v>
      </c>
      <c r="P300" s="13">
        <v>540</v>
      </c>
      <c r="Q300" s="13">
        <v>360</v>
      </c>
      <c r="R300" s="13">
        <v>540</v>
      </c>
      <c r="S300" s="13">
        <v>360</v>
      </c>
      <c r="T300" s="13">
        <v>540</v>
      </c>
      <c r="U300" s="13">
        <v>540</v>
      </c>
      <c r="V300" s="13">
        <v>540</v>
      </c>
      <c r="W300" s="13">
        <v>360</v>
      </c>
      <c r="X300" s="13">
        <v>360</v>
      </c>
      <c r="Y300" s="13">
        <v>540</v>
      </c>
      <c r="Z300" s="13">
        <v>360</v>
      </c>
      <c r="AA300" s="13">
        <v>0</v>
      </c>
      <c r="AB300" s="13">
        <v>360</v>
      </c>
      <c r="AC300" s="13">
        <v>540</v>
      </c>
      <c r="AD300" s="13">
        <v>360</v>
      </c>
    </row>
    <row r="301" spans="1:30" ht="15.75" thickBot="1" x14ac:dyDescent="0.3">
      <c r="A301" s="9" t="s">
        <v>536</v>
      </c>
      <c r="B301" s="9" t="s">
        <v>885</v>
      </c>
      <c r="C301" s="45" t="str">
        <f t="shared" si="4"/>
        <v>68618404AA</v>
      </c>
      <c r="D301" s="10" t="s">
        <v>888</v>
      </c>
      <c r="E301" s="10" t="s">
        <v>889</v>
      </c>
      <c r="F301" s="9" t="s">
        <v>698</v>
      </c>
      <c r="G301" s="9" t="s">
        <v>262</v>
      </c>
      <c r="H301" s="12">
        <v>62</v>
      </c>
      <c r="I301" s="12">
        <v>510</v>
      </c>
      <c r="J301" s="13">
        <v>0</v>
      </c>
      <c r="K301" s="13">
        <v>570</v>
      </c>
      <c r="L301" s="13">
        <v>540</v>
      </c>
      <c r="M301" s="13">
        <v>360</v>
      </c>
      <c r="N301" s="13">
        <v>360</v>
      </c>
      <c r="O301" s="13">
        <v>540</v>
      </c>
      <c r="P301" s="13">
        <v>540</v>
      </c>
      <c r="Q301" s="13">
        <v>360</v>
      </c>
      <c r="R301" s="13">
        <v>540</v>
      </c>
      <c r="S301" s="13">
        <v>360</v>
      </c>
      <c r="T301" s="13">
        <v>540</v>
      </c>
      <c r="U301" s="13">
        <v>540</v>
      </c>
      <c r="V301" s="13">
        <v>540</v>
      </c>
      <c r="W301" s="13">
        <v>360</v>
      </c>
      <c r="X301" s="13">
        <v>360</v>
      </c>
      <c r="Y301" s="13">
        <v>540</v>
      </c>
      <c r="Z301" s="13">
        <v>360</v>
      </c>
      <c r="AA301" s="13">
        <v>0</v>
      </c>
      <c r="AB301" s="13">
        <v>360</v>
      </c>
      <c r="AC301" s="13">
        <v>540</v>
      </c>
      <c r="AD301" s="13">
        <v>360</v>
      </c>
    </row>
    <row r="302" spans="1:30" ht="15.75" thickBot="1" x14ac:dyDescent="0.3">
      <c r="A302" s="9" t="s">
        <v>536</v>
      </c>
      <c r="B302" s="9" t="s">
        <v>885</v>
      </c>
      <c r="C302" s="45" t="str">
        <f t="shared" si="4"/>
        <v>PC17626 BA</v>
      </c>
      <c r="D302" s="10" t="s">
        <v>890</v>
      </c>
      <c r="E302" s="10" t="s">
        <v>891</v>
      </c>
      <c r="F302" s="9" t="s">
        <v>892</v>
      </c>
      <c r="G302" s="9" t="s">
        <v>262</v>
      </c>
      <c r="H302" s="12">
        <v>80</v>
      </c>
      <c r="I302" s="12">
        <v>260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</row>
    <row r="303" spans="1:30" ht="15.75" thickBot="1" x14ac:dyDescent="0.3">
      <c r="A303" s="9" t="s">
        <v>536</v>
      </c>
      <c r="B303" s="9" t="s">
        <v>885</v>
      </c>
      <c r="C303" s="45" t="str">
        <f t="shared" si="4"/>
        <v>PC17627 BA</v>
      </c>
      <c r="D303" s="10" t="s">
        <v>893</v>
      </c>
      <c r="E303" s="10" t="s">
        <v>894</v>
      </c>
      <c r="F303" s="9" t="s">
        <v>892</v>
      </c>
      <c r="G303" s="9" t="s">
        <v>262</v>
      </c>
      <c r="H303" s="12">
        <v>80</v>
      </c>
      <c r="I303" s="8"/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</row>
    <row r="304" spans="1:30" ht="15.75" thickBot="1" x14ac:dyDescent="0.3">
      <c r="A304" s="9" t="s">
        <v>536</v>
      </c>
      <c r="B304" s="9" t="s">
        <v>895</v>
      </c>
      <c r="C304" s="45" t="str">
        <f t="shared" si="4"/>
        <v>KB3B 2631056 AE3ZHE</v>
      </c>
      <c r="D304" s="10" t="s">
        <v>896</v>
      </c>
      <c r="E304" s="10" t="s">
        <v>897</v>
      </c>
      <c r="F304" s="9" t="s">
        <v>494</v>
      </c>
      <c r="G304" s="9" t="s">
        <v>262</v>
      </c>
      <c r="H304" s="11">
        <v>69.902900000000002</v>
      </c>
      <c r="I304" s="8"/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  <c r="V304" s="13">
        <v>2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3">
        <v>0</v>
      </c>
      <c r="AD304" s="13">
        <v>0</v>
      </c>
    </row>
    <row r="305" spans="1:30" ht="15.75" thickBot="1" x14ac:dyDescent="0.3">
      <c r="A305" s="9" t="s">
        <v>536</v>
      </c>
      <c r="B305" s="9" t="s">
        <v>895</v>
      </c>
      <c r="C305" s="45" t="str">
        <f t="shared" si="4"/>
        <v>KB3B 2631057 AE3ZHE</v>
      </c>
      <c r="D305" s="10" t="s">
        <v>898</v>
      </c>
      <c r="E305" s="10" t="s">
        <v>899</v>
      </c>
      <c r="F305" s="9" t="s">
        <v>494</v>
      </c>
      <c r="G305" s="9" t="s">
        <v>262</v>
      </c>
      <c r="H305" s="11">
        <v>69.902900000000002</v>
      </c>
      <c r="I305" s="12">
        <v>112</v>
      </c>
      <c r="J305" s="13">
        <v>0</v>
      </c>
      <c r="K305" s="13">
        <v>0</v>
      </c>
      <c r="L305" s="13">
        <v>1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>
        <v>0</v>
      </c>
      <c r="U305" s="13">
        <v>0</v>
      </c>
      <c r="V305" s="13">
        <v>0</v>
      </c>
      <c r="W305" s="13">
        <v>0</v>
      </c>
      <c r="X305" s="13">
        <v>0</v>
      </c>
      <c r="Y305" s="13">
        <v>0</v>
      </c>
      <c r="Z305" s="13">
        <v>0</v>
      </c>
      <c r="AA305" s="13">
        <v>0</v>
      </c>
      <c r="AB305" s="13">
        <v>0</v>
      </c>
      <c r="AC305" s="13">
        <v>0</v>
      </c>
      <c r="AD305" s="13">
        <v>0</v>
      </c>
    </row>
    <row r="306" spans="1:30" ht="15.75" thickBot="1" x14ac:dyDescent="0.3">
      <c r="A306" s="9" t="s">
        <v>536</v>
      </c>
      <c r="B306" s="9" t="s">
        <v>895</v>
      </c>
      <c r="C306" s="45" t="str">
        <f t="shared" si="4"/>
        <v>MLD16E166ABPIA02</v>
      </c>
      <c r="D306" s="10" t="s">
        <v>900</v>
      </c>
      <c r="E306" s="10" t="s">
        <v>901</v>
      </c>
      <c r="F306" s="9" t="s">
        <v>364</v>
      </c>
      <c r="G306" s="9" t="s">
        <v>262</v>
      </c>
      <c r="H306" s="12">
        <v>320</v>
      </c>
      <c r="I306" s="12">
        <v>12657</v>
      </c>
      <c r="J306" s="13">
        <v>916</v>
      </c>
      <c r="K306" s="13">
        <v>16212</v>
      </c>
      <c r="L306" s="13">
        <v>15192</v>
      </c>
      <c r="M306" s="13">
        <v>10724</v>
      </c>
      <c r="N306" s="13">
        <v>12788</v>
      </c>
      <c r="O306" s="13">
        <v>17748</v>
      </c>
      <c r="P306" s="13">
        <v>16376</v>
      </c>
      <c r="Q306" s="13">
        <v>8892</v>
      </c>
      <c r="R306" s="13">
        <v>10540</v>
      </c>
      <c r="S306" s="13">
        <v>17276</v>
      </c>
      <c r="T306" s="13">
        <v>16572</v>
      </c>
      <c r="U306" s="13">
        <v>13388</v>
      </c>
      <c r="V306" s="13">
        <v>13332</v>
      </c>
      <c r="W306" s="13">
        <v>14736</v>
      </c>
      <c r="X306" s="13">
        <v>13512</v>
      </c>
      <c r="Y306" s="13">
        <v>16612</v>
      </c>
      <c r="Z306" s="13">
        <v>12960</v>
      </c>
      <c r="AA306" s="13">
        <v>0</v>
      </c>
      <c r="AB306" s="13">
        <v>6720</v>
      </c>
      <c r="AC306" s="13">
        <v>14512</v>
      </c>
      <c r="AD306" s="13">
        <v>13956</v>
      </c>
    </row>
    <row r="307" spans="1:30" ht="15.75" thickBot="1" x14ac:dyDescent="0.3">
      <c r="A307" s="9" t="s">
        <v>536</v>
      </c>
      <c r="B307" s="9" t="s">
        <v>895</v>
      </c>
      <c r="C307" s="45" t="str">
        <f t="shared" si="4"/>
        <v>MLD16E166ABPIA04</v>
      </c>
      <c r="D307" s="10" t="s">
        <v>902</v>
      </c>
      <c r="E307" s="10" t="s">
        <v>903</v>
      </c>
      <c r="F307" s="9" t="s">
        <v>364</v>
      </c>
      <c r="G307" s="9" t="s">
        <v>262</v>
      </c>
      <c r="H307" s="12">
        <v>160</v>
      </c>
      <c r="I307" s="12">
        <v>912</v>
      </c>
      <c r="J307" s="13">
        <v>458</v>
      </c>
      <c r="K307" s="13">
        <v>8106</v>
      </c>
      <c r="L307" s="13">
        <v>7596</v>
      </c>
      <c r="M307" s="13">
        <v>5362</v>
      </c>
      <c r="N307" s="13">
        <v>6394</v>
      </c>
      <c r="O307" s="13">
        <v>8874</v>
      </c>
      <c r="P307" s="13">
        <v>8188</v>
      </c>
      <c r="Q307" s="13">
        <v>4446</v>
      </c>
      <c r="R307" s="13">
        <v>5270</v>
      </c>
      <c r="S307" s="13">
        <v>8638</v>
      </c>
      <c r="T307" s="13">
        <v>8286</v>
      </c>
      <c r="U307" s="13">
        <v>6694</v>
      </c>
      <c r="V307" s="13">
        <v>6666</v>
      </c>
      <c r="W307" s="13">
        <v>7368</v>
      </c>
      <c r="X307" s="13">
        <v>6756</v>
      </c>
      <c r="Y307" s="13">
        <v>8306</v>
      </c>
      <c r="Z307" s="13">
        <v>6480</v>
      </c>
      <c r="AA307" s="13">
        <v>0</v>
      </c>
      <c r="AB307" s="13">
        <v>3360</v>
      </c>
      <c r="AC307" s="13">
        <v>7256</v>
      </c>
      <c r="AD307" s="13">
        <v>6978</v>
      </c>
    </row>
    <row r="308" spans="1:30" ht="15.75" thickBot="1" x14ac:dyDescent="0.3">
      <c r="A308" s="9" t="s">
        <v>536</v>
      </c>
      <c r="B308" s="9" t="s">
        <v>895</v>
      </c>
      <c r="C308" s="45" t="str">
        <f t="shared" si="4"/>
        <v>MLD16E166ABPIA05</v>
      </c>
      <c r="D308" s="10" t="s">
        <v>904</v>
      </c>
      <c r="E308" s="10" t="s">
        <v>905</v>
      </c>
      <c r="F308" s="9" t="s">
        <v>364</v>
      </c>
      <c r="G308" s="9" t="s">
        <v>262</v>
      </c>
      <c r="H308" s="12">
        <v>80</v>
      </c>
      <c r="I308" s="12">
        <v>891</v>
      </c>
      <c r="J308" s="13">
        <v>229</v>
      </c>
      <c r="K308" s="13">
        <v>4053</v>
      </c>
      <c r="L308" s="13">
        <v>3798</v>
      </c>
      <c r="M308" s="13">
        <v>2681</v>
      </c>
      <c r="N308" s="13">
        <v>3197</v>
      </c>
      <c r="O308" s="13">
        <v>4437</v>
      </c>
      <c r="P308" s="13">
        <v>4094</v>
      </c>
      <c r="Q308" s="13">
        <v>2223</v>
      </c>
      <c r="R308" s="13">
        <v>2635</v>
      </c>
      <c r="S308" s="13">
        <v>4319</v>
      </c>
      <c r="T308" s="13">
        <v>4143</v>
      </c>
      <c r="U308" s="13">
        <v>3347</v>
      </c>
      <c r="V308" s="13">
        <v>3333</v>
      </c>
      <c r="W308" s="13">
        <v>3684</v>
      </c>
      <c r="X308" s="13">
        <v>3378</v>
      </c>
      <c r="Y308" s="13">
        <v>4153</v>
      </c>
      <c r="Z308" s="13">
        <v>3240</v>
      </c>
      <c r="AA308" s="13">
        <v>0</v>
      </c>
      <c r="AB308" s="13">
        <v>1680</v>
      </c>
      <c r="AC308" s="13">
        <v>3628</v>
      </c>
      <c r="AD308" s="13">
        <v>3489</v>
      </c>
    </row>
    <row r="309" spans="1:30" ht="15.75" thickBot="1" x14ac:dyDescent="0.3">
      <c r="A309" s="9" t="s">
        <v>536</v>
      </c>
      <c r="B309" s="9" t="s">
        <v>895</v>
      </c>
      <c r="C309" s="45" t="str">
        <f t="shared" si="4"/>
        <v>MLD16E166ABPIA06</v>
      </c>
      <c r="D309" s="10" t="s">
        <v>906</v>
      </c>
      <c r="E309" s="10" t="s">
        <v>907</v>
      </c>
      <c r="F309" s="9" t="s">
        <v>364</v>
      </c>
      <c r="G309" s="9" t="s">
        <v>262</v>
      </c>
      <c r="H309" s="12">
        <v>80</v>
      </c>
      <c r="I309" s="12">
        <v>1758</v>
      </c>
      <c r="J309" s="13">
        <v>229</v>
      </c>
      <c r="K309" s="13">
        <v>4053</v>
      </c>
      <c r="L309" s="13">
        <v>3798</v>
      </c>
      <c r="M309" s="13">
        <v>2681</v>
      </c>
      <c r="N309" s="13">
        <v>3197</v>
      </c>
      <c r="O309" s="13">
        <v>4437</v>
      </c>
      <c r="P309" s="13">
        <v>4094</v>
      </c>
      <c r="Q309" s="13">
        <v>2223</v>
      </c>
      <c r="R309" s="13">
        <v>2635</v>
      </c>
      <c r="S309" s="13">
        <v>4319</v>
      </c>
      <c r="T309" s="13">
        <v>4143</v>
      </c>
      <c r="U309" s="13">
        <v>3347</v>
      </c>
      <c r="V309" s="13">
        <v>3333</v>
      </c>
      <c r="W309" s="13">
        <v>3684</v>
      </c>
      <c r="X309" s="13">
        <v>3378</v>
      </c>
      <c r="Y309" s="13">
        <v>4153</v>
      </c>
      <c r="Z309" s="13">
        <v>3240</v>
      </c>
      <c r="AA309" s="13">
        <v>0</v>
      </c>
      <c r="AB309" s="13">
        <v>1680</v>
      </c>
      <c r="AC309" s="13">
        <v>3628</v>
      </c>
      <c r="AD309" s="13">
        <v>3489</v>
      </c>
    </row>
    <row r="310" spans="1:30" ht="15.75" thickBot="1" x14ac:dyDescent="0.3">
      <c r="A310" s="9" t="s">
        <v>536</v>
      </c>
      <c r="B310" s="9" t="s">
        <v>895</v>
      </c>
      <c r="C310" s="45" t="str">
        <f t="shared" si="4"/>
        <v>MLD16E166ABPIA08</v>
      </c>
      <c r="D310" s="10" t="s">
        <v>908</v>
      </c>
      <c r="E310" s="10" t="s">
        <v>909</v>
      </c>
      <c r="F310" s="9" t="s">
        <v>364</v>
      </c>
      <c r="G310" s="9" t="s">
        <v>262</v>
      </c>
      <c r="H310" s="12">
        <v>80</v>
      </c>
      <c r="I310" s="12">
        <v>618</v>
      </c>
      <c r="J310" s="13">
        <v>229</v>
      </c>
      <c r="K310" s="13">
        <v>4053</v>
      </c>
      <c r="L310" s="13">
        <v>3798</v>
      </c>
      <c r="M310" s="13">
        <v>2681</v>
      </c>
      <c r="N310" s="13">
        <v>3197</v>
      </c>
      <c r="O310" s="13">
        <v>4437</v>
      </c>
      <c r="P310" s="13">
        <v>4094</v>
      </c>
      <c r="Q310" s="13">
        <v>2223</v>
      </c>
      <c r="R310" s="13">
        <v>2635</v>
      </c>
      <c r="S310" s="13">
        <v>4319</v>
      </c>
      <c r="T310" s="13">
        <v>4143</v>
      </c>
      <c r="U310" s="13">
        <v>3347</v>
      </c>
      <c r="V310" s="13">
        <v>3333</v>
      </c>
      <c r="W310" s="13">
        <v>3684</v>
      </c>
      <c r="X310" s="13">
        <v>3378</v>
      </c>
      <c r="Y310" s="13">
        <v>4153</v>
      </c>
      <c r="Z310" s="13">
        <v>3240</v>
      </c>
      <c r="AA310" s="13">
        <v>0</v>
      </c>
      <c r="AB310" s="13">
        <v>1680</v>
      </c>
      <c r="AC310" s="13">
        <v>3628</v>
      </c>
      <c r="AD310" s="13">
        <v>3489</v>
      </c>
    </row>
    <row r="311" spans="1:30" ht="15.75" thickBot="1" x14ac:dyDescent="0.3">
      <c r="A311" s="9" t="s">
        <v>536</v>
      </c>
      <c r="B311" s="9" t="s">
        <v>895</v>
      </c>
      <c r="C311" s="45" t="str">
        <f t="shared" si="4"/>
        <v>MLD16E166ABPIA09</v>
      </c>
      <c r="D311" s="10" t="s">
        <v>910</v>
      </c>
      <c r="E311" s="10" t="s">
        <v>911</v>
      </c>
      <c r="F311" s="9" t="s">
        <v>364</v>
      </c>
      <c r="G311" s="9" t="s">
        <v>262</v>
      </c>
      <c r="H311" s="12">
        <v>80</v>
      </c>
      <c r="I311" s="12">
        <v>618</v>
      </c>
      <c r="J311" s="13">
        <v>229</v>
      </c>
      <c r="K311" s="13">
        <v>4053</v>
      </c>
      <c r="L311" s="13">
        <v>3798</v>
      </c>
      <c r="M311" s="13">
        <v>2681</v>
      </c>
      <c r="N311" s="13">
        <v>3197</v>
      </c>
      <c r="O311" s="13">
        <v>4437</v>
      </c>
      <c r="P311" s="13">
        <v>4094</v>
      </c>
      <c r="Q311" s="13">
        <v>2223</v>
      </c>
      <c r="R311" s="13">
        <v>2635</v>
      </c>
      <c r="S311" s="13">
        <v>4319</v>
      </c>
      <c r="T311" s="13">
        <v>4143</v>
      </c>
      <c r="U311" s="13">
        <v>3347</v>
      </c>
      <c r="V311" s="13">
        <v>3333</v>
      </c>
      <c r="W311" s="13">
        <v>3684</v>
      </c>
      <c r="X311" s="13">
        <v>3378</v>
      </c>
      <c r="Y311" s="13">
        <v>4153</v>
      </c>
      <c r="Z311" s="13">
        <v>3240</v>
      </c>
      <c r="AA311" s="13">
        <v>0</v>
      </c>
      <c r="AB311" s="13">
        <v>1680</v>
      </c>
      <c r="AC311" s="13">
        <v>3628</v>
      </c>
      <c r="AD311" s="13">
        <v>3489</v>
      </c>
    </row>
    <row r="312" spans="1:30" ht="15.75" thickBot="1" x14ac:dyDescent="0.3">
      <c r="A312" s="9" t="s">
        <v>536</v>
      </c>
      <c r="B312" s="9" t="s">
        <v>895</v>
      </c>
      <c r="C312" s="45" t="str">
        <f t="shared" si="4"/>
        <v>MLD16E166APIA01</v>
      </c>
      <c r="D312" s="10" t="s">
        <v>912</v>
      </c>
      <c r="E312" s="10" t="s">
        <v>913</v>
      </c>
      <c r="F312" s="9" t="s">
        <v>364</v>
      </c>
      <c r="G312" s="9" t="s">
        <v>262</v>
      </c>
      <c r="H312" s="11">
        <v>81.818100000000001</v>
      </c>
      <c r="I312" s="12">
        <v>739</v>
      </c>
      <c r="J312" s="13">
        <v>6</v>
      </c>
      <c r="K312" s="13">
        <v>4053</v>
      </c>
      <c r="L312" s="13">
        <v>3798</v>
      </c>
      <c r="M312" s="13">
        <v>2681</v>
      </c>
      <c r="N312" s="13">
        <v>3197</v>
      </c>
      <c r="O312" s="13">
        <v>4437</v>
      </c>
      <c r="P312" s="13">
        <v>4094</v>
      </c>
      <c r="Q312" s="13">
        <v>2223</v>
      </c>
      <c r="R312" s="13">
        <v>2635</v>
      </c>
      <c r="S312" s="13">
        <v>4319</v>
      </c>
      <c r="T312" s="13">
        <v>4143</v>
      </c>
      <c r="U312" s="13">
        <v>3347</v>
      </c>
      <c r="V312" s="13">
        <v>3333</v>
      </c>
      <c r="W312" s="13">
        <v>3684</v>
      </c>
      <c r="X312" s="13">
        <v>3378</v>
      </c>
      <c r="Y312" s="13">
        <v>4153</v>
      </c>
      <c r="Z312" s="13">
        <v>3240</v>
      </c>
      <c r="AA312" s="13">
        <v>0</v>
      </c>
      <c r="AB312" s="13">
        <v>1680</v>
      </c>
      <c r="AC312" s="13">
        <v>3628</v>
      </c>
      <c r="AD312" s="13">
        <v>3489</v>
      </c>
    </row>
    <row r="313" spans="1:30" ht="15.75" thickBot="1" x14ac:dyDescent="0.3">
      <c r="A313" s="9" t="s">
        <v>536</v>
      </c>
      <c r="B313" s="9" t="s">
        <v>895</v>
      </c>
      <c r="C313" s="45" t="str">
        <f t="shared" si="4"/>
        <v>MLD68451018AA</v>
      </c>
      <c r="D313" s="10" t="s">
        <v>914</v>
      </c>
      <c r="E313" s="10" t="s">
        <v>915</v>
      </c>
      <c r="F313" s="9" t="s">
        <v>394</v>
      </c>
      <c r="G313" s="9" t="s">
        <v>262</v>
      </c>
      <c r="H313" s="11">
        <v>135.84899999999999</v>
      </c>
      <c r="I313" s="8"/>
      <c r="J313" s="13">
        <v>0</v>
      </c>
      <c r="K313" s="13">
        <v>90</v>
      </c>
      <c r="L313" s="13">
        <v>270</v>
      </c>
      <c r="M313" s="13">
        <v>840</v>
      </c>
      <c r="N313" s="13">
        <v>0</v>
      </c>
      <c r="O313" s="13">
        <v>210</v>
      </c>
      <c r="P313" s="13">
        <v>390</v>
      </c>
      <c r="Q313" s="13">
        <v>210</v>
      </c>
      <c r="R313" s="13">
        <v>480</v>
      </c>
      <c r="S313" s="13">
        <v>330</v>
      </c>
      <c r="T313" s="13">
        <v>720</v>
      </c>
      <c r="U313" s="13">
        <v>0</v>
      </c>
      <c r="V313" s="13">
        <v>420</v>
      </c>
      <c r="W313" s="13">
        <v>720</v>
      </c>
      <c r="X313" s="13">
        <v>660</v>
      </c>
      <c r="Y313" s="13">
        <v>0</v>
      </c>
      <c r="Z313" s="13">
        <v>540</v>
      </c>
      <c r="AA313" s="13">
        <v>0</v>
      </c>
      <c r="AB313" s="13">
        <v>300</v>
      </c>
      <c r="AC313" s="13">
        <v>330</v>
      </c>
      <c r="AD313" s="13">
        <v>360</v>
      </c>
    </row>
    <row r="314" spans="1:30" ht="15.75" thickBot="1" x14ac:dyDescent="0.3">
      <c r="A314" s="9" t="s">
        <v>536</v>
      </c>
      <c r="B314" s="9" t="s">
        <v>895</v>
      </c>
      <c r="C314" s="45" t="str">
        <f t="shared" si="4"/>
        <v>MLD68566341AA</v>
      </c>
      <c r="D314" s="10" t="s">
        <v>916</v>
      </c>
      <c r="E314" s="10" t="s">
        <v>917</v>
      </c>
      <c r="F314" s="9" t="s">
        <v>394</v>
      </c>
      <c r="G314" s="9" t="s">
        <v>262</v>
      </c>
      <c r="H314" s="11">
        <v>92.307599999999994</v>
      </c>
      <c r="I314" s="8"/>
      <c r="J314" s="13">
        <v>0</v>
      </c>
      <c r="K314" s="13">
        <v>9888</v>
      </c>
      <c r="L314" s="13">
        <v>13716</v>
      </c>
      <c r="M314" s="13">
        <v>8100</v>
      </c>
      <c r="N314" s="13">
        <v>7992</v>
      </c>
      <c r="O314" s="13">
        <v>10188</v>
      </c>
      <c r="P314" s="13">
        <v>5868</v>
      </c>
      <c r="Q314" s="13">
        <v>6444</v>
      </c>
      <c r="R314" s="13">
        <v>6516</v>
      </c>
      <c r="S314" s="13">
        <v>5976</v>
      </c>
      <c r="T314" s="13">
        <v>6408</v>
      </c>
      <c r="U314" s="13">
        <v>4932</v>
      </c>
      <c r="V314" s="13">
        <v>6228</v>
      </c>
      <c r="W314" s="13">
        <v>5436</v>
      </c>
      <c r="X314" s="13">
        <v>4932</v>
      </c>
      <c r="Y314" s="13">
        <v>5256</v>
      </c>
      <c r="Z314" s="13">
        <v>2700</v>
      </c>
      <c r="AA314" s="13">
        <v>1872</v>
      </c>
      <c r="AB314" s="13">
        <v>5184</v>
      </c>
      <c r="AC314" s="13">
        <v>4572</v>
      </c>
      <c r="AD314" s="13">
        <v>3168</v>
      </c>
    </row>
    <row r="315" spans="1:30" ht="15.75" thickBot="1" x14ac:dyDescent="0.3">
      <c r="A315" s="9" t="s">
        <v>536</v>
      </c>
      <c r="B315" s="9" t="s">
        <v>895</v>
      </c>
      <c r="C315" s="45" t="str">
        <f t="shared" si="4"/>
        <v>PC17B810 AA5YZ9</v>
      </c>
      <c r="D315" s="10" t="s">
        <v>918</v>
      </c>
      <c r="E315" s="10" t="s">
        <v>919</v>
      </c>
      <c r="F315" s="9" t="s">
        <v>892</v>
      </c>
      <c r="G315" s="9" t="s">
        <v>262</v>
      </c>
      <c r="H315" s="11">
        <v>73.469300000000004</v>
      </c>
      <c r="I315" s="12">
        <v>94</v>
      </c>
      <c r="J315" s="13">
        <v>0</v>
      </c>
      <c r="K315" s="13">
        <v>0</v>
      </c>
      <c r="L315" s="13">
        <v>0</v>
      </c>
      <c r="M315" s="13">
        <v>0</v>
      </c>
      <c r="N315" s="13">
        <v>101</v>
      </c>
      <c r="O315" s="13">
        <v>0</v>
      </c>
      <c r="P315" s="13">
        <v>0</v>
      </c>
      <c r="Q315" s="13">
        <v>39</v>
      </c>
      <c r="R315" s="13">
        <v>0</v>
      </c>
      <c r="S315" s="13">
        <v>0</v>
      </c>
      <c r="T315" s="13">
        <v>234</v>
      </c>
      <c r="U315" s="13">
        <v>0</v>
      </c>
      <c r="V315" s="13">
        <v>0</v>
      </c>
      <c r="W315" s="13">
        <v>0</v>
      </c>
      <c r="X315" s="13">
        <v>234</v>
      </c>
      <c r="Y315" s="13">
        <v>0</v>
      </c>
      <c r="Z315" s="13">
        <v>0</v>
      </c>
      <c r="AA315" s="13">
        <v>0</v>
      </c>
      <c r="AB315" s="13">
        <v>0</v>
      </c>
      <c r="AC315" s="13">
        <v>234</v>
      </c>
      <c r="AD315" s="13">
        <v>0</v>
      </c>
    </row>
    <row r="316" spans="1:30" ht="15.75" thickBot="1" x14ac:dyDescent="0.3">
      <c r="A316" s="9" t="s">
        <v>920</v>
      </c>
      <c r="B316" s="9" t="s">
        <v>921</v>
      </c>
      <c r="C316" s="45" t="str">
        <f t="shared" si="4"/>
        <v>85861637</v>
      </c>
      <c r="D316" s="10" t="s">
        <v>922</v>
      </c>
      <c r="E316" s="10" t="s">
        <v>923</v>
      </c>
      <c r="F316" s="9" t="s">
        <v>404</v>
      </c>
      <c r="G316" s="9" t="s">
        <v>924</v>
      </c>
      <c r="H316" s="12">
        <v>300</v>
      </c>
      <c r="I316" s="12">
        <v>360</v>
      </c>
      <c r="J316" s="13">
        <v>0</v>
      </c>
      <c r="K316" s="13">
        <v>1080</v>
      </c>
      <c r="L316" s="13">
        <v>0</v>
      </c>
      <c r="M316" s="13">
        <v>0</v>
      </c>
      <c r="N316" s="13">
        <v>0</v>
      </c>
      <c r="O316" s="13">
        <v>1080</v>
      </c>
      <c r="P316" s="13">
        <v>960</v>
      </c>
      <c r="Q316" s="13">
        <v>840</v>
      </c>
      <c r="R316" s="13">
        <v>600</v>
      </c>
      <c r="S316" s="13">
        <v>600</v>
      </c>
      <c r="T316" s="13">
        <v>480</v>
      </c>
      <c r="U316" s="13">
        <v>480</v>
      </c>
      <c r="V316" s="13">
        <v>840</v>
      </c>
      <c r="W316" s="13">
        <v>1080</v>
      </c>
      <c r="X316" s="13">
        <v>600</v>
      </c>
      <c r="Y316" s="13">
        <v>480</v>
      </c>
      <c r="Z316" s="13">
        <v>0</v>
      </c>
      <c r="AA316" s="13">
        <v>480</v>
      </c>
      <c r="AB316" s="13">
        <v>600</v>
      </c>
      <c r="AC316" s="13">
        <v>600</v>
      </c>
      <c r="AD316" s="13">
        <v>600</v>
      </c>
    </row>
    <row r="317" spans="1:30" ht="15.75" thickBot="1" x14ac:dyDescent="0.3">
      <c r="A317" s="9" t="s">
        <v>920</v>
      </c>
      <c r="B317" s="9" t="s">
        <v>921</v>
      </c>
      <c r="C317" s="45" t="str">
        <f t="shared" si="4"/>
        <v>KB3C 2K004 AA</v>
      </c>
      <c r="D317" s="10" t="s">
        <v>925</v>
      </c>
      <c r="E317" s="10" t="s">
        <v>926</v>
      </c>
      <c r="F317" s="9" t="s">
        <v>494</v>
      </c>
      <c r="G317" s="9" t="s">
        <v>924</v>
      </c>
      <c r="H317" s="12">
        <v>250</v>
      </c>
      <c r="I317" s="12">
        <v>3615</v>
      </c>
      <c r="J317" s="13">
        <v>0</v>
      </c>
      <c r="K317" s="13">
        <v>6321</v>
      </c>
      <c r="L317" s="13">
        <v>3332</v>
      </c>
      <c r="M317" s="13">
        <v>3312</v>
      </c>
      <c r="N317" s="13">
        <v>4968</v>
      </c>
      <c r="O317" s="13">
        <v>4968</v>
      </c>
      <c r="P317" s="13">
        <v>3312</v>
      </c>
      <c r="Q317" s="13">
        <v>3312</v>
      </c>
      <c r="R317" s="13">
        <v>4968</v>
      </c>
      <c r="S317" s="13">
        <v>4968</v>
      </c>
      <c r="T317" s="13">
        <v>4968</v>
      </c>
      <c r="U317" s="13">
        <v>3312</v>
      </c>
      <c r="V317" s="13">
        <v>4989</v>
      </c>
      <c r="W317" s="13">
        <v>6624</v>
      </c>
      <c r="X317" s="13">
        <v>3312</v>
      </c>
      <c r="Y317" s="13">
        <v>6624</v>
      </c>
      <c r="Z317" s="13">
        <v>0</v>
      </c>
      <c r="AA317" s="13">
        <v>1656</v>
      </c>
      <c r="AB317" s="13">
        <v>4968</v>
      </c>
      <c r="AC317" s="13">
        <v>4968</v>
      </c>
      <c r="AD317" s="13">
        <v>4968</v>
      </c>
    </row>
    <row r="318" spans="1:30" ht="15.75" thickBot="1" x14ac:dyDescent="0.3">
      <c r="A318" s="9" t="s">
        <v>920</v>
      </c>
      <c r="B318" s="9" t="s">
        <v>921</v>
      </c>
      <c r="C318" s="45" t="str">
        <f t="shared" si="4"/>
        <v>KB3C 2K005 AA</v>
      </c>
      <c r="D318" s="10" t="s">
        <v>927</v>
      </c>
      <c r="E318" s="10" t="s">
        <v>928</v>
      </c>
      <c r="F318" s="9" t="s">
        <v>494</v>
      </c>
      <c r="G318" s="9" t="s">
        <v>924</v>
      </c>
      <c r="H318" s="12">
        <v>250</v>
      </c>
      <c r="I318" s="12">
        <v>1634</v>
      </c>
      <c r="J318" s="13">
        <v>3334</v>
      </c>
      <c r="K318" s="13">
        <v>4968</v>
      </c>
      <c r="L318" s="13">
        <v>3312</v>
      </c>
      <c r="M318" s="13">
        <v>4989</v>
      </c>
      <c r="N318" s="13">
        <v>3312</v>
      </c>
      <c r="O318" s="13">
        <v>4968</v>
      </c>
      <c r="P318" s="13">
        <v>3312</v>
      </c>
      <c r="Q318" s="13">
        <v>3312</v>
      </c>
      <c r="R318" s="13">
        <v>6624</v>
      </c>
      <c r="S318" s="13">
        <v>4968</v>
      </c>
      <c r="T318" s="13">
        <v>4968</v>
      </c>
      <c r="U318" s="13">
        <v>3312</v>
      </c>
      <c r="V318" s="13">
        <v>4991</v>
      </c>
      <c r="W318" s="13">
        <v>4968</v>
      </c>
      <c r="X318" s="13">
        <v>3312</v>
      </c>
      <c r="Y318" s="13">
        <v>6624</v>
      </c>
      <c r="Z318" s="13">
        <v>0</v>
      </c>
      <c r="AA318" s="13">
        <v>1656</v>
      </c>
      <c r="AB318" s="13">
        <v>4968</v>
      </c>
      <c r="AC318" s="13">
        <v>4968</v>
      </c>
      <c r="AD318" s="13">
        <v>4968</v>
      </c>
    </row>
    <row r="319" spans="1:30" ht="15.75" thickBot="1" x14ac:dyDescent="0.3">
      <c r="A319" s="9" t="s">
        <v>920</v>
      </c>
      <c r="B319" s="9" t="s">
        <v>921</v>
      </c>
      <c r="C319" s="45" t="str">
        <f t="shared" si="4"/>
        <v>M2DB S109A26 AB</v>
      </c>
      <c r="D319" s="10" t="s">
        <v>929</v>
      </c>
      <c r="E319" s="10" t="s">
        <v>930</v>
      </c>
      <c r="F319" s="9" t="s">
        <v>364</v>
      </c>
      <c r="G319" s="9" t="s">
        <v>924</v>
      </c>
      <c r="H319" s="12">
        <v>300</v>
      </c>
      <c r="I319" s="8"/>
      <c r="J319" s="13">
        <v>70</v>
      </c>
      <c r="K319" s="13">
        <v>77</v>
      </c>
      <c r="L319" s="13">
        <v>0</v>
      </c>
      <c r="M319" s="13">
        <v>103</v>
      </c>
      <c r="N319" s="13">
        <v>0</v>
      </c>
      <c r="O319" s="13">
        <v>103</v>
      </c>
      <c r="P319" s="13">
        <v>0</v>
      </c>
      <c r="Q319" s="13">
        <v>54</v>
      </c>
      <c r="R319" s="13">
        <v>0</v>
      </c>
      <c r="S319" s="13">
        <v>189</v>
      </c>
      <c r="T319" s="13">
        <v>0</v>
      </c>
      <c r="U319" s="13">
        <v>0</v>
      </c>
      <c r="V319" s="13">
        <v>210</v>
      </c>
      <c r="W319" s="13">
        <v>0</v>
      </c>
      <c r="X319" s="13">
        <v>0</v>
      </c>
      <c r="Y319" s="13">
        <v>0</v>
      </c>
      <c r="Z319" s="13">
        <v>315</v>
      </c>
      <c r="AA319" s="13">
        <v>0</v>
      </c>
      <c r="AB319" s="13">
        <v>0</v>
      </c>
      <c r="AC319" s="13">
        <v>0</v>
      </c>
      <c r="AD319" s="13">
        <v>0</v>
      </c>
    </row>
    <row r="320" spans="1:30" ht="15.75" thickBot="1" x14ac:dyDescent="0.3">
      <c r="A320" s="9" t="s">
        <v>920</v>
      </c>
      <c r="B320" s="9" t="s">
        <v>921</v>
      </c>
      <c r="C320" s="45" t="str">
        <f t="shared" si="4"/>
        <v>M2DB S28126 AA</v>
      </c>
      <c r="D320" s="10" t="s">
        <v>931</v>
      </c>
      <c r="E320" s="10" t="s">
        <v>932</v>
      </c>
      <c r="F320" s="9" t="s">
        <v>364</v>
      </c>
      <c r="G320" s="9" t="s">
        <v>924</v>
      </c>
      <c r="H320" s="12">
        <v>102</v>
      </c>
      <c r="I320" s="8"/>
      <c r="J320" s="13">
        <v>0</v>
      </c>
      <c r="K320" s="13">
        <v>360</v>
      </c>
      <c r="L320" s="13">
        <v>720</v>
      </c>
      <c r="M320" s="13">
        <v>720</v>
      </c>
      <c r="N320" s="13">
        <v>0</v>
      </c>
      <c r="O320" s="13">
        <v>360</v>
      </c>
      <c r="P320" s="13">
        <v>720</v>
      </c>
      <c r="Q320" s="13">
        <v>720</v>
      </c>
      <c r="R320" s="13">
        <v>720</v>
      </c>
      <c r="S320" s="13">
        <v>1080</v>
      </c>
      <c r="T320" s="13">
        <v>1080</v>
      </c>
      <c r="U320" s="13">
        <v>360</v>
      </c>
      <c r="V320" s="13">
        <v>1080</v>
      </c>
      <c r="W320" s="13">
        <v>720</v>
      </c>
      <c r="X320" s="13">
        <v>720</v>
      </c>
      <c r="Y320" s="13">
        <v>1080</v>
      </c>
      <c r="Z320" s="13">
        <v>0</v>
      </c>
      <c r="AA320" s="13">
        <v>0</v>
      </c>
      <c r="AB320" s="13">
        <v>1080</v>
      </c>
      <c r="AC320" s="13">
        <v>720</v>
      </c>
      <c r="AD320" s="13">
        <v>720</v>
      </c>
    </row>
    <row r="321" spans="1:30" ht="15.75" thickBot="1" x14ac:dyDescent="0.3">
      <c r="A321" s="9" t="s">
        <v>920</v>
      </c>
      <c r="B321" s="9" t="s">
        <v>921</v>
      </c>
      <c r="C321" s="45" t="str">
        <f t="shared" si="4"/>
        <v>M2DB S444A18 AA</v>
      </c>
      <c r="D321" s="10" t="s">
        <v>933</v>
      </c>
      <c r="E321" s="10" t="s">
        <v>934</v>
      </c>
      <c r="F321" s="9" t="s">
        <v>364</v>
      </c>
      <c r="G321" s="9" t="s">
        <v>924</v>
      </c>
      <c r="H321" s="12">
        <v>102</v>
      </c>
      <c r="I321" s="12">
        <v>1305</v>
      </c>
      <c r="J321" s="13">
        <v>1225</v>
      </c>
      <c r="K321" s="13">
        <v>5225</v>
      </c>
      <c r="L321" s="13">
        <v>1980</v>
      </c>
      <c r="M321" s="13">
        <v>3300</v>
      </c>
      <c r="N321" s="13">
        <v>3960</v>
      </c>
      <c r="O321" s="13">
        <v>3300</v>
      </c>
      <c r="P321" s="13">
        <v>2640</v>
      </c>
      <c r="Q321" s="13">
        <v>3300</v>
      </c>
      <c r="R321" s="13">
        <v>3975</v>
      </c>
      <c r="S321" s="13">
        <v>4620</v>
      </c>
      <c r="T321" s="13">
        <v>3300</v>
      </c>
      <c r="U321" s="13">
        <v>2640</v>
      </c>
      <c r="V321" s="13">
        <v>3960</v>
      </c>
      <c r="W321" s="13">
        <v>3300</v>
      </c>
      <c r="X321" s="13">
        <v>3300</v>
      </c>
      <c r="Y321" s="13">
        <v>3960</v>
      </c>
      <c r="Z321" s="13">
        <v>15</v>
      </c>
      <c r="AA321" s="13">
        <v>1320</v>
      </c>
      <c r="AB321" s="13">
        <v>3960</v>
      </c>
      <c r="AC321" s="13">
        <v>3300</v>
      </c>
      <c r="AD321" s="13">
        <v>3300</v>
      </c>
    </row>
    <row r="322" spans="1:30" ht="15.75" thickBot="1" x14ac:dyDescent="0.3">
      <c r="A322" s="9" t="s">
        <v>920</v>
      </c>
      <c r="B322" s="9" t="s">
        <v>921</v>
      </c>
      <c r="C322" s="45" t="str">
        <f t="shared" si="4"/>
        <v>MB3B 10718 CC</v>
      </c>
      <c r="D322" s="10" t="s">
        <v>935</v>
      </c>
      <c r="E322" s="10" t="s">
        <v>936</v>
      </c>
      <c r="F322" s="9" t="s">
        <v>261</v>
      </c>
      <c r="G322" s="9" t="s">
        <v>924</v>
      </c>
      <c r="H322" s="12">
        <v>120</v>
      </c>
      <c r="I322" s="12">
        <v>1395</v>
      </c>
      <c r="J322" s="13">
        <v>0</v>
      </c>
      <c r="K322" s="13">
        <v>1759</v>
      </c>
      <c r="L322" s="13">
        <v>840</v>
      </c>
      <c r="M322" s="13">
        <v>1260</v>
      </c>
      <c r="N322" s="13">
        <v>1470</v>
      </c>
      <c r="O322" s="13">
        <v>1260</v>
      </c>
      <c r="P322" s="13">
        <v>1050</v>
      </c>
      <c r="Q322" s="13">
        <v>1050</v>
      </c>
      <c r="R322" s="13">
        <v>1470</v>
      </c>
      <c r="S322" s="13">
        <v>1680</v>
      </c>
      <c r="T322" s="13">
        <v>1470</v>
      </c>
      <c r="U322" s="13">
        <v>1260</v>
      </c>
      <c r="V322" s="13">
        <v>1894</v>
      </c>
      <c r="W322" s="13">
        <v>2100</v>
      </c>
      <c r="X322" s="13">
        <v>1680</v>
      </c>
      <c r="Y322" s="13">
        <v>2520</v>
      </c>
      <c r="Z322" s="13">
        <v>0</v>
      </c>
      <c r="AA322" s="13">
        <v>630</v>
      </c>
      <c r="AB322" s="13">
        <v>2100</v>
      </c>
      <c r="AC322" s="13">
        <v>2100</v>
      </c>
      <c r="AD322" s="13">
        <v>1890</v>
      </c>
    </row>
    <row r="323" spans="1:30" ht="15.75" thickBot="1" x14ac:dyDescent="0.3">
      <c r="A323" s="9" t="s">
        <v>920</v>
      </c>
      <c r="B323" s="9" t="s">
        <v>921</v>
      </c>
      <c r="C323" s="45" t="str">
        <f t="shared" si="4"/>
        <v>MB3C 3D072 EA</v>
      </c>
      <c r="D323" s="10" t="s">
        <v>937</v>
      </c>
      <c r="E323" s="10" t="s">
        <v>938</v>
      </c>
      <c r="F323" s="9" t="s">
        <v>364</v>
      </c>
      <c r="G323" s="9" t="s">
        <v>924</v>
      </c>
      <c r="H323" s="12">
        <v>250</v>
      </c>
      <c r="I323" s="12">
        <v>1800</v>
      </c>
      <c r="J323" s="13">
        <v>0</v>
      </c>
      <c r="K323" s="13">
        <v>3600</v>
      </c>
      <c r="L323" s="13">
        <v>2160</v>
      </c>
      <c r="M323" s="13">
        <v>2160</v>
      </c>
      <c r="N323" s="13">
        <v>3240</v>
      </c>
      <c r="O323" s="13">
        <v>1788</v>
      </c>
      <c r="P323" s="13">
        <v>1391</v>
      </c>
      <c r="Q323" s="13">
        <v>0</v>
      </c>
      <c r="R323" s="13">
        <v>0</v>
      </c>
      <c r="S323" s="13">
        <v>4</v>
      </c>
      <c r="T323" s="13">
        <v>0</v>
      </c>
      <c r="U323" s="13">
        <v>0</v>
      </c>
      <c r="V323" s="13">
        <v>0</v>
      </c>
      <c r="W323" s="13">
        <v>0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13">
        <v>0</v>
      </c>
      <c r="AD323" s="13">
        <v>0</v>
      </c>
    </row>
    <row r="324" spans="1:30" ht="15.75" thickBot="1" x14ac:dyDescent="0.3">
      <c r="A324" s="9" t="s">
        <v>920</v>
      </c>
      <c r="B324" s="9" t="s">
        <v>921</v>
      </c>
      <c r="C324" s="45" t="str">
        <f t="shared" si="4"/>
        <v>MB3C 5B018 AB</v>
      </c>
      <c r="D324" s="10" t="s">
        <v>939</v>
      </c>
      <c r="E324" s="10" t="s">
        <v>940</v>
      </c>
      <c r="F324" s="9" t="s">
        <v>364</v>
      </c>
      <c r="G324" s="9" t="s">
        <v>924</v>
      </c>
      <c r="H324" s="12">
        <v>250</v>
      </c>
      <c r="I324" s="12">
        <v>2240</v>
      </c>
      <c r="J324" s="13">
        <v>0</v>
      </c>
      <c r="K324" s="13">
        <v>1515</v>
      </c>
      <c r="L324" s="13">
        <v>960</v>
      </c>
      <c r="M324" s="13">
        <v>1440</v>
      </c>
      <c r="N324" s="13">
        <v>1440</v>
      </c>
      <c r="O324" s="13">
        <v>1440</v>
      </c>
      <c r="P324" s="13">
        <v>1440</v>
      </c>
      <c r="Q324" s="13">
        <v>1440</v>
      </c>
      <c r="R324" s="13">
        <v>2240</v>
      </c>
      <c r="S324" s="13">
        <v>2080</v>
      </c>
      <c r="T324" s="13">
        <v>1760</v>
      </c>
      <c r="U324" s="13">
        <v>1440</v>
      </c>
      <c r="V324" s="13">
        <v>2240</v>
      </c>
      <c r="W324" s="13">
        <v>1920</v>
      </c>
      <c r="X324" s="13">
        <v>1760</v>
      </c>
      <c r="Y324" s="13">
        <v>2560</v>
      </c>
      <c r="Z324" s="13">
        <v>0</v>
      </c>
      <c r="AA324" s="13">
        <v>640</v>
      </c>
      <c r="AB324" s="13">
        <v>1920</v>
      </c>
      <c r="AC324" s="13">
        <v>2240</v>
      </c>
      <c r="AD324" s="13">
        <v>1920</v>
      </c>
    </row>
    <row r="325" spans="1:30" ht="15.75" thickBot="1" x14ac:dyDescent="0.3">
      <c r="A325" s="9" t="s">
        <v>920</v>
      </c>
      <c r="B325" s="9" t="s">
        <v>921</v>
      </c>
      <c r="C325" s="45" t="str">
        <f t="shared" si="4"/>
        <v>MB3C 5B852 AC</v>
      </c>
      <c r="D325" s="10" t="s">
        <v>941</v>
      </c>
      <c r="E325" s="10" t="s">
        <v>942</v>
      </c>
      <c r="F325" s="9" t="s">
        <v>364</v>
      </c>
      <c r="G325" s="9" t="s">
        <v>924</v>
      </c>
      <c r="H325" s="12">
        <v>120</v>
      </c>
      <c r="I325" s="12">
        <v>1600</v>
      </c>
      <c r="J325" s="13">
        <v>1280</v>
      </c>
      <c r="K325" s="13">
        <v>4240</v>
      </c>
      <c r="L325" s="13">
        <v>2880</v>
      </c>
      <c r="M325" s="13">
        <v>2880</v>
      </c>
      <c r="N325" s="13">
        <v>2880</v>
      </c>
      <c r="O325" s="13">
        <v>2880</v>
      </c>
      <c r="P325" s="13">
        <v>2880</v>
      </c>
      <c r="Q325" s="13">
        <v>2880</v>
      </c>
      <c r="R325" s="13">
        <v>2880</v>
      </c>
      <c r="S325" s="13">
        <v>2880</v>
      </c>
      <c r="T325" s="13">
        <v>5760</v>
      </c>
      <c r="U325" s="13">
        <v>2880</v>
      </c>
      <c r="V325" s="13">
        <v>2880</v>
      </c>
      <c r="W325" s="13">
        <v>2880</v>
      </c>
      <c r="X325" s="13">
        <v>2880</v>
      </c>
      <c r="Y325" s="13">
        <v>3840</v>
      </c>
      <c r="Z325" s="13">
        <v>0</v>
      </c>
      <c r="AA325" s="13">
        <v>0</v>
      </c>
      <c r="AB325" s="13">
        <v>3360</v>
      </c>
      <c r="AC325" s="13">
        <v>3360</v>
      </c>
      <c r="AD325" s="13">
        <v>2880</v>
      </c>
    </row>
    <row r="326" spans="1:30" ht="15.75" thickBot="1" x14ac:dyDescent="0.3">
      <c r="A326" s="9" t="s">
        <v>920</v>
      </c>
      <c r="B326" s="9" t="s">
        <v>921</v>
      </c>
      <c r="C326" s="45" t="str">
        <f t="shared" ref="C326:C389" si="5">TRIM(D326)</f>
        <v>MB3C 5F147 RB</v>
      </c>
      <c r="D326" s="10" t="s">
        <v>943</v>
      </c>
      <c r="E326" s="10" t="s">
        <v>944</v>
      </c>
      <c r="F326" s="9" t="s">
        <v>364</v>
      </c>
      <c r="G326" s="9" t="s">
        <v>924</v>
      </c>
      <c r="H326" s="12">
        <v>250</v>
      </c>
      <c r="I326" s="12">
        <v>3600</v>
      </c>
      <c r="J326" s="13">
        <v>0</v>
      </c>
      <c r="K326" s="13">
        <v>7200</v>
      </c>
      <c r="L326" s="13">
        <v>0</v>
      </c>
      <c r="M326" s="13">
        <v>3600</v>
      </c>
      <c r="N326" s="13">
        <v>3600</v>
      </c>
      <c r="O326" s="13">
        <v>3600</v>
      </c>
      <c r="P326" s="13">
        <v>3600</v>
      </c>
      <c r="Q326" s="13">
        <v>0</v>
      </c>
      <c r="R326" s="13">
        <v>3600</v>
      </c>
      <c r="S326" s="13">
        <v>3600</v>
      </c>
      <c r="T326" s="13">
        <v>7200</v>
      </c>
      <c r="U326" s="13">
        <v>0</v>
      </c>
      <c r="V326" s="13">
        <v>3600</v>
      </c>
      <c r="W326" s="13">
        <v>3600</v>
      </c>
      <c r="X326" s="13">
        <v>3600</v>
      </c>
      <c r="Y326" s="13">
        <v>3000</v>
      </c>
      <c r="Z326" s="13">
        <v>0</v>
      </c>
      <c r="AA326" s="13">
        <v>0</v>
      </c>
      <c r="AB326" s="13">
        <v>3000</v>
      </c>
      <c r="AC326" s="13">
        <v>3600</v>
      </c>
      <c r="AD326" s="13">
        <v>3000</v>
      </c>
    </row>
    <row r="327" spans="1:30" ht="15.75" thickBot="1" x14ac:dyDescent="0.3">
      <c r="A327" s="9" t="s">
        <v>920</v>
      </c>
      <c r="B327" s="9" t="s">
        <v>921</v>
      </c>
      <c r="C327" s="45" t="str">
        <f t="shared" si="5"/>
        <v>MB3C 7P026 AC</v>
      </c>
      <c r="D327" s="10" t="s">
        <v>945</v>
      </c>
      <c r="E327" s="10" t="s">
        <v>946</v>
      </c>
      <c r="F327" s="9" t="s">
        <v>364</v>
      </c>
      <c r="G327" s="9" t="s">
        <v>924</v>
      </c>
      <c r="H327" s="12">
        <v>250</v>
      </c>
      <c r="I327" s="12">
        <v>1260</v>
      </c>
      <c r="J327" s="13">
        <v>900</v>
      </c>
      <c r="K327" s="13">
        <v>2160</v>
      </c>
      <c r="L327" s="13">
        <v>1296</v>
      </c>
      <c r="M327" s="13">
        <v>1296</v>
      </c>
      <c r="N327" s="13">
        <v>1728</v>
      </c>
      <c r="O327" s="13">
        <v>1296</v>
      </c>
      <c r="P327" s="13">
        <v>1728</v>
      </c>
      <c r="Q327" s="13">
        <v>1296</v>
      </c>
      <c r="R327" s="13">
        <v>2164</v>
      </c>
      <c r="S327" s="13">
        <v>2160</v>
      </c>
      <c r="T327" s="13">
        <v>2592</v>
      </c>
      <c r="U327" s="13">
        <v>864</v>
      </c>
      <c r="V327" s="13">
        <v>1728</v>
      </c>
      <c r="W327" s="13">
        <v>1296</v>
      </c>
      <c r="X327" s="13">
        <v>1296</v>
      </c>
      <c r="Y327" s="13">
        <v>2160</v>
      </c>
      <c r="Z327" s="13">
        <v>0</v>
      </c>
      <c r="AA327" s="13">
        <v>0</v>
      </c>
      <c r="AB327" s="13">
        <v>1728</v>
      </c>
      <c r="AC327" s="13">
        <v>1296</v>
      </c>
      <c r="AD327" s="13">
        <v>1728</v>
      </c>
    </row>
    <row r="328" spans="1:30" ht="15.75" thickBot="1" x14ac:dyDescent="0.3">
      <c r="A328" s="9" t="s">
        <v>920</v>
      </c>
      <c r="B328" s="9" t="s">
        <v>921</v>
      </c>
      <c r="C328" s="45" t="str">
        <f t="shared" si="5"/>
        <v>SB3C 3D072 AA</v>
      </c>
      <c r="D328" s="10" t="s">
        <v>947</v>
      </c>
      <c r="E328" s="10" t="s">
        <v>938</v>
      </c>
      <c r="F328" s="9" t="s">
        <v>364</v>
      </c>
      <c r="G328" s="9" t="s">
        <v>924</v>
      </c>
      <c r="H328" s="12">
        <v>250</v>
      </c>
      <c r="I328" s="12">
        <v>1208</v>
      </c>
      <c r="J328" s="13">
        <v>0</v>
      </c>
      <c r="K328" s="13">
        <v>0</v>
      </c>
      <c r="L328" s="13">
        <v>1896</v>
      </c>
      <c r="M328" s="13">
        <v>0</v>
      </c>
      <c r="N328" s="13">
        <v>0</v>
      </c>
      <c r="O328" s="13">
        <v>0</v>
      </c>
      <c r="P328" s="13">
        <v>1440</v>
      </c>
      <c r="Q328" s="13">
        <v>2880</v>
      </c>
      <c r="R328" s="13">
        <v>2520</v>
      </c>
      <c r="S328" s="13">
        <v>3600</v>
      </c>
      <c r="T328" s="13">
        <v>3600</v>
      </c>
      <c r="U328" s="13">
        <v>2880</v>
      </c>
      <c r="V328" s="13">
        <v>2520</v>
      </c>
      <c r="W328" s="13">
        <v>3600</v>
      </c>
      <c r="X328" s="13">
        <v>3600</v>
      </c>
      <c r="Y328" s="13">
        <v>3600</v>
      </c>
      <c r="Z328" s="13">
        <v>2160</v>
      </c>
      <c r="AA328" s="13">
        <v>720</v>
      </c>
      <c r="AB328" s="13">
        <v>2520</v>
      </c>
      <c r="AC328" s="13">
        <v>3600</v>
      </c>
      <c r="AD328" s="13">
        <v>2880</v>
      </c>
    </row>
    <row r="329" spans="1:30" ht="15.75" thickBot="1" x14ac:dyDescent="0.3">
      <c r="A329" s="9" t="s">
        <v>920</v>
      </c>
      <c r="B329" s="9" t="s">
        <v>921</v>
      </c>
      <c r="C329" s="45" t="str">
        <f t="shared" si="5"/>
        <v>STA819333-1</v>
      </c>
      <c r="D329" s="10" t="s">
        <v>948</v>
      </c>
      <c r="E329" s="10" t="s">
        <v>949</v>
      </c>
      <c r="F329" s="9" t="s">
        <v>364</v>
      </c>
      <c r="G329" s="9" t="s">
        <v>262</v>
      </c>
      <c r="H329" s="12">
        <v>300</v>
      </c>
      <c r="I329" s="12">
        <v>66</v>
      </c>
      <c r="J329" s="13">
        <v>1716</v>
      </c>
      <c r="K329" s="13">
        <v>1782</v>
      </c>
      <c r="L329" s="13">
        <v>1782</v>
      </c>
      <c r="M329" s="13">
        <v>2046</v>
      </c>
      <c r="N329" s="13">
        <v>2310</v>
      </c>
      <c r="O329" s="13">
        <v>1848</v>
      </c>
      <c r="P329" s="13">
        <v>1386</v>
      </c>
      <c r="Q329" s="13">
        <v>2178</v>
      </c>
      <c r="R329" s="13">
        <v>2376</v>
      </c>
      <c r="S329" s="13">
        <v>3960</v>
      </c>
      <c r="T329" s="13">
        <v>0</v>
      </c>
      <c r="U329" s="13">
        <v>1914</v>
      </c>
      <c r="V329" s="13">
        <v>2046</v>
      </c>
      <c r="W329" s="13">
        <v>1716</v>
      </c>
      <c r="X329" s="13">
        <v>2706</v>
      </c>
      <c r="Y329" s="13">
        <v>528</v>
      </c>
      <c r="Z329" s="13">
        <v>0</v>
      </c>
      <c r="AA329" s="13">
        <v>1650</v>
      </c>
      <c r="AB329" s="13">
        <v>2112</v>
      </c>
      <c r="AC329" s="13">
        <v>1848</v>
      </c>
      <c r="AD329" s="13">
        <v>3432</v>
      </c>
    </row>
    <row r="330" spans="1:30" ht="15.75" thickBot="1" x14ac:dyDescent="0.3">
      <c r="A330" s="9" t="s">
        <v>920</v>
      </c>
      <c r="B330" s="9" t="s">
        <v>921</v>
      </c>
      <c r="C330" s="45" t="str">
        <f t="shared" si="5"/>
        <v>X-MB3B 10723 B</v>
      </c>
      <c r="D330" s="10" t="s">
        <v>950</v>
      </c>
      <c r="E330" s="10" t="s">
        <v>951</v>
      </c>
      <c r="F330" s="9" t="s">
        <v>261</v>
      </c>
      <c r="G330" s="9" t="s">
        <v>924</v>
      </c>
      <c r="H330" s="12">
        <v>300</v>
      </c>
      <c r="I330" s="8"/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5000</v>
      </c>
      <c r="P330" s="13">
        <v>0</v>
      </c>
      <c r="Q330" s="13">
        <v>0</v>
      </c>
      <c r="R330" s="13">
        <v>0</v>
      </c>
      <c r="S330" s="13">
        <v>5000</v>
      </c>
      <c r="T330" s="13">
        <v>0</v>
      </c>
      <c r="U330" s="13">
        <v>0</v>
      </c>
      <c r="V330" s="13">
        <v>0</v>
      </c>
      <c r="W330" s="13">
        <v>5000</v>
      </c>
      <c r="X330" s="13">
        <v>0</v>
      </c>
      <c r="Y330" s="13">
        <v>5000</v>
      </c>
      <c r="Z330" s="13">
        <v>0</v>
      </c>
      <c r="AA330" s="13">
        <v>0</v>
      </c>
      <c r="AB330" s="13">
        <v>5000</v>
      </c>
      <c r="AC330" s="13">
        <v>0</v>
      </c>
      <c r="AD330" s="13">
        <v>0</v>
      </c>
    </row>
    <row r="331" spans="1:30" ht="15.75" thickBot="1" x14ac:dyDescent="0.3">
      <c r="A331" s="9" t="s">
        <v>920</v>
      </c>
      <c r="B331" s="9" t="s">
        <v>952</v>
      </c>
      <c r="C331" s="45" t="str">
        <f t="shared" si="5"/>
        <v>M2DB S502D12 AE</v>
      </c>
      <c r="D331" s="10" t="s">
        <v>953</v>
      </c>
      <c r="E331" s="10" t="s">
        <v>954</v>
      </c>
      <c r="F331" s="9" t="s">
        <v>364</v>
      </c>
      <c r="G331" s="9" t="s">
        <v>924</v>
      </c>
      <c r="H331" s="12">
        <v>168</v>
      </c>
      <c r="I331" s="12">
        <v>1092</v>
      </c>
      <c r="J331" s="13">
        <v>0</v>
      </c>
      <c r="K331" s="13">
        <v>3192</v>
      </c>
      <c r="L331" s="13">
        <v>3696</v>
      </c>
      <c r="M331" s="13">
        <v>2604</v>
      </c>
      <c r="N331" s="13">
        <v>3041</v>
      </c>
      <c r="O331" s="13">
        <v>3511</v>
      </c>
      <c r="P331" s="13">
        <v>3579</v>
      </c>
      <c r="Q331" s="13">
        <v>2721</v>
      </c>
      <c r="R331" s="13">
        <v>2806</v>
      </c>
      <c r="S331" s="13">
        <v>3931</v>
      </c>
      <c r="T331" s="13">
        <v>3898</v>
      </c>
      <c r="U331" s="13">
        <v>3645</v>
      </c>
      <c r="V331" s="13">
        <v>2386</v>
      </c>
      <c r="W331" s="13">
        <v>3528</v>
      </c>
      <c r="X331" s="13">
        <v>3410</v>
      </c>
      <c r="Y331" s="13">
        <v>3377</v>
      </c>
      <c r="Z331" s="13">
        <v>4099</v>
      </c>
      <c r="AA331" s="13">
        <v>0</v>
      </c>
      <c r="AB331" s="13">
        <v>689</v>
      </c>
      <c r="AC331" s="13">
        <v>3461</v>
      </c>
      <c r="AD331" s="13">
        <v>3461</v>
      </c>
    </row>
    <row r="332" spans="1:30" ht="15.75" thickBot="1" x14ac:dyDescent="0.3">
      <c r="A332" s="9" t="s">
        <v>920</v>
      </c>
      <c r="B332" s="9" t="s">
        <v>952</v>
      </c>
      <c r="C332" s="45" t="str">
        <f t="shared" si="5"/>
        <v>M2DB X502D12 AD</v>
      </c>
      <c r="D332" s="10" t="s">
        <v>955</v>
      </c>
      <c r="E332" s="10" t="s">
        <v>954</v>
      </c>
      <c r="F332" s="9" t="s">
        <v>364</v>
      </c>
      <c r="G332" s="9" t="s">
        <v>924</v>
      </c>
      <c r="H332" s="12">
        <v>168</v>
      </c>
      <c r="I332" s="12">
        <v>420</v>
      </c>
      <c r="J332" s="13">
        <v>0</v>
      </c>
      <c r="K332" s="13">
        <v>0</v>
      </c>
      <c r="L332" s="13">
        <v>84</v>
      </c>
      <c r="M332" s="13">
        <v>17</v>
      </c>
      <c r="N332" s="13">
        <v>84</v>
      </c>
      <c r="O332" s="13">
        <v>101</v>
      </c>
      <c r="P332" s="13">
        <v>168</v>
      </c>
      <c r="Q332" s="13">
        <v>151</v>
      </c>
      <c r="R332" s="13">
        <v>101</v>
      </c>
      <c r="S332" s="13">
        <v>185</v>
      </c>
      <c r="T332" s="13">
        <v>235</v>
      </c>
      <c r="U332" s="13">
        <v>151</v>
      </c>
      <c r="V332" s="13">
        <v>101</v>
      </c>
      <c r="W332" s="13">
        <v>168</v>
      </c>
      <c r="X332" s="13">
        <v>151</v>
      </c>
      <c r="Y332" s="13">
        <v>118</v>
      </c>
      <c r="Z332" s="13">
        <v>201</v>
      </c>
      <c r="AA332" s="13">
        <v>0</v>
      </c>
      <c r="AB332" s="13">
        <v>34</v>
      </c>
      <c r="AC332" s="13">
        <v>168</v>
      </c>
      <c r="AD332" s="13">
        <v>168</v>
      </c>
    </row>
    <row r="333" spans="1:30" ht="15.75" thickBot="1" x14ac:dyDescent="0.3">
      <c r="A333" s="9" t="s">
        <v>920</v>
      </c>
      <c r="B333" s="9" t="s">
        <v>952</v>
      </c>
      <c r="C333" s="45" t="str">
        <f t="shared" si="5"/>
        <v>MB3B 58016B28 AA</v>
      </c>
      <c r="D333" s="10" t="s">
        <v>956</v>
      </c>
      <c r="E333" s="10" t="s">
        <v>957</v>
      </c>
      <c r="F333" s="9" t="s">
        <v>364</v>
      </c>
      <c r="G333" s="9" t="s">
        <v>924</v>
      </c>
      <c r="H333" s="12">
        <v>600</v>
      </c>
      <c r="I333" s="8"/>
      <c r="J333" s="13">
        <v>0</v>
      </c>
      <c r="K333" s="13">
        <v>1800</v>
      </c>
      <c r="L333" s="13">
        <v>6480</v>
      </c>
      <c r="M333" s="13">
        <v>5040</v>
      </c>
      <c r="N333" s="13">
        <v>3420</v>
      </c>
      <c r="O333" s="13">
        <v>3240</v>
      </c>
      <c r="P333" s="13">
        <v>5100</v>
      </c>
      <c r="Q333" s="13">
        <v>3900</v>
      </c>
      <c r="R333" s="13">
        <v>4200</v>
      </c>
      <c r="S333" s="13">
        <v>5520</v>
      </c>
      <c r="T333" s="13">
        <v>5940</v>
      </c>
      <c r="U333" s="13">
        <v>5220</v>
      </c>
      <c r="V333" s="13">
        <v>3780</v>
      </c>
      <c r="W333" s="13">
        <v>5820</v>
      </c>
      <c r="X333" s="13">
        <v>5940</v>
      </c>
      <c r="Y333" s="13">
        <v>5040</v>
      </c>
      <c r="Z333" s="13">
        <v>5760</v>
      </c>
      <c r="AA333" s="13">
        <v>120</v>
      </c>
      <c r="AB333" s="13">
        <v>1620</v>
      </c>
      <c r="AC333" s="13">
        <v>5700</v>
      </c>
      <c r="AD333" s="13">
        <v>5580</v>
      </c>
    </row>
    <row r="334" spans="1:30" ht="15.75" thickBot="1" x14ac:dyDescent="0.3">
      <c r="A334" s="9" t="s">
        <v>920</v>
      </c>
      <c r="B334" s="9" t="s">
        <v>952</v>
      </c>
      <c r="C334" s="45" t="str">
        <f t="shared" si="5"/>
        <v>N1WB E312A49 BC</v>
      </c>
      <c r="D334" s="10" t="s">
        <v>958</v>
      </c>
      <c r="E334" s="10" t="s">
        <v>959</v>
      </c>
      <c r="F334" s="9" t="s">
        <v>261</v>
      </c>
      <c r="G334" s="9" t="s">
        <v>924</v>
      </c>
      <c r="H334" s="12">
        <v>1000</v>
      </c>
      <c r="I334" s="12">
        <v>1154</v>
      </c>
      <c r="J334" s="13">
        <v>0</v>
      </c>
      <c r="K334" s="13">
        <v>949</v>
      </c>
      <c r="L334" s="13">
        <v>1288</v>
      </c>
      <c r="M334" s="13">
        <v>924</v>
      </c>
      <c r="N334" s="13">
        <v>1288</v>
      </c>
      <c r="O334" s="13">
        <v>1372</v>
      </c>
      <c r="P334" s="13">
        <v>1232</v>
      </c>
      <c r="Q334" s="13">
        <v>1092</v>
      </c>
      <c r="R334" s="13">
        <v>1092</v>
      </c>
      <c r="S334" s="13">
        <v>1540</v>
      </c>
      <c r="T334" s="13">
        <v>1540</v>
      </c>
      <c r="U334" s="13">
        <v>1484</v>
      </c>
      <c r="V334" s="13">
        <v>1433</v>
      </c>
      <c r="W334" s="13">
        <v>2072</v>
      </c>
      <c r="X334" s="13">
        <v>1904</v>
      </c>
      <c r="Y334" s="13">
        <v>1848</v>
      </c>
      <c r="Z334" s="13">
        <v>2016</v>
      </c>
      <c r="AA334" s="13">
        <v>112</v>
      </c>
      <c r="AB334" s="13">
        <v>868</v>
      </c>
      <c r="AC334" s="13">
        <v>2100</v>
      </c>
      <c r="AD334" s="13">
        <v>2072</v>
      </c>
    </row>
    <row r="335" spans="1:30" ht="15.75" thickBot="1" x14ac:dyDescent="0.3">
      <c r="A335" s="9" t="s">
        <v>920</v>
      </c>
      <c r="B335" s="9" t="s">
        <v>952</v>
      </c>
      <c r="C335" s="45" t="str">
        <f t="shared" si="5"/>
        <v>N1WB E312A49 BC-01</v>
      </c>
      <c r="D335" s="10" t="s">
        <v>960</v>
      </c>
      <c r="E335" s="10" t="s">
        <v>959</v>
      </c>
      <c r="F335" s="9" t="s">
        <v>261</v>
      </c>
      <c r="G335" s="9" t="s">
        <v>924</v>
      </c>
      <c r="H335" s="12">
        <v>1000</v>
      </c>
      <c r="I335" s="8"/>
      <c r="J335" s="13">
        <v>3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</row>
    <row r="336" spans="1:30" ht="15.75" thickBot="1" x14ac:dyDescent="0.3">
      <c r="A336" s="9" t="s">
        <v>920</v>
      </c>
      <c r="B336" s="9" t="s">
        <v>952</v>
      </c>
      <c r="C336" s="45" t="str">
        <f t="shared" si="5"/>
        <v>N1WB E404D91 AC</v>
      </c>
      <c r="D336" s="10" t="s">
        <v>961</v>
      </c>
      <c r="E336" s="10" t="s">
        <v>962</v>
      </c>
      <c r="F336" s="9" t="s">
        <v>261</v>
      </c>
      <c r="G336" s="9" t="s">
        <v>924</v>
      </c>
      <c r="H336" s="12">
        <v>1500</v>
      </c>
      <c r="I336" s="12">
        <v>1344</v>
      </c>
      <c r="J336" s="13">
        <v>0</v>
      </c>
      <c r="K336" s="13">
        <v>2240</v>
      </c>
      <c r="L336" s="13">
        <v>4928</v>
      </c>
      <c r="M336" s="13">
        <v>1792</v>
      </c>
      <c r="N336" s="13">
        <v>2016</v>
      </c>
      <c r="O336" s="13">
        <v>2912</v>
      </c>
      <c r="P336" s="13">
        <v>2016</v>
      </c>
      <c r="Q336" s="13">
        <v>2128</v>
      </c>
      <c r="R336" s="13">
        <v>3024</v>
      </c>
      <c r="S336" s="13">
        <v>3360</v>
      </c>
      <c r="T336" s="13">
        <v>3136</v>
      </c>
      <c r="U336" s="13">
        <v>2352</v>
      </c>
      <c r="V336" s="13">
        <v>4368</v>
      </c>
      <c r="W336" s="13">
        <v>4368</v>
      </c>
      <c r="X336" s="13">
        <v>3584</v>
      </c>
      <c r="Y336" s="13">
        <v>4480</v>
      </c>
      <c r="Z336" s="13">
        <v>0</v>
      </c>
      <c r="AA336" s="13">
        <v>1232</v>
      </c>
      <c r="AB336" s="13">
        <v>4144</v>
      </c>
      <c r="AC336" s="13">
        <v>4032</v>
      </c>
      <c r="AD336" s="13">
        <v>4032</v>
      </c>
    </row>
    <row r="337" spans="1:30" ht="15.75" thickBot="1" x14ac:dyDescent="0.3">
      <c r="A337" s="9" t="s">
        <v>920</v>
      </c>
      <c r="B337" s="9" t="s">
        <v>952</v>
      </c>
      <c r="C337" s="45" t="str">
        <f t="shared" si="5"/>
        <v>N1WB E410A42 AA</v>
      </c>
      <c r="D337" s="10" t="s">
        <v>963</v>
      </c>
      <c r="E337" s="10" t="s">
        <v>964</v>
      </c>
      <c r="F337" s="9" t="s">
        <v>261</v>
      </c>
      <c r="G337" s="9" t="s">
        <v>924</v>
      </c>
      <c r="H337" s="12">
        <v>1000</v>
      </c>
      <c r="I337" s="12">
        <v>1680</v>
      </c>
      <c r="J337" s="13">
        <v>0</v>
      </c>
      <c r="K337" s="13">
        <v>3360</v>
      </c>
      <c r="L337" s="13">
        <v>0</v>
      </c>
      <c r="M337" s="13">
        <v>0</v>
      </c>
      <c r="N337" s="13">
        <v>0</v>
      </c>
      <c r="O337" s="13">
        <v>1680</v>
      </c>
      <c r="P337" s="13">
        <v>0</v>
      </c>
      <c r="Q337" s="13">
        <v>1680</v>
      </c>
      <c r="R337" s="13">
        <v>0</v>
      </c>
      <c r="S337" s="13">
        <v>1680</v>
      </c>
      <c r="T337" s="13">
        <v>1680</v>
      </c>
      <c r="U337" s="13">
        <v>1680</v>
      </c>
      <c r="V337" s="13">
        <v>1680</v>
      </c>
      <c r="W337" s="13">
        <v>1680</v>
      </c>
      <c r="X337" s="13">
        <v>1680</v>
      </c>
      <c r="Y337" s="13">
        <v>1680</v>
      </c>
      <c r="Z337" s="13">
        <v>0</v>
      </c>
      <c r="AA337" s="13">
        <v>0</v>
      </c>
      <c r="AB337" s="13">
        <v>1680</v>
      </c>
      <c r="AC337" s="13">
        <v>1680</v>
      </c>
      <c r="AD337" s="13">
        <v>1680</v>
      </c>
    </row>
    <row r="338" spans="1:30" ht="15.75" thickBot="1" x14ac:dyDescent="0.3">
      <c r="A338" s="9" t="s">
        <v>920</v>
      </c>
      <c r="B338" s="9" t="s">
        <v>952</v>
      </c>
      <c r="C338" s="45" t="str">
        <f t="shared" si="5"/>
        <v>N1WB E410A43 AA</v>
      </c>
      <c r="D338" s="10" t="s">
        <v>965</v>
      </c>
      <c r="E338" s="10" t="s">
        <v>964</v>
      </c>
      <c r="F338" s="9" t="s">
        <v>261</v>
      </c>
      <c r="G338" s="9" t="s">
        <v>924</v>
      </c>
      <c r="H338" s="12">
        <v>1000</v>
      </c>
      <c r="I338" s="8"/>
      <c r="J338" s="13">
        <v>0</v>
      </c>
      <c r="K338" s="13">
        <v>0</v>
      </c>
      <c r="L338" s="13">
        <v>3360</v>
      </c>
      <c r="M338" s="13">
        <v>0</v>
      </c>
      <c r="N338" s="13">
        <v>0</v>
      </c>
      <c r="O338" s="13">
        <v>1680</v>
      </c>
      <c r="P338" s="13">
        <v>1680</v>
      </c>
      <c r="Q338" s="13">
        <v>0</v>
      </c>
      <c r="R338" s="13">
        <v>1680</v>
      </c>
      <c r="S338" s="13">
        <v>1680</v>
      </c>
      <c r="T338" s="13">
        <v>0</v>
      </c>
      <c r="U338" s="13">
        <v>1680</v>
      </c>
      <c r="V338" s="13">
        <v>1680</v>
      </c>
      <c r="W338" s="13">
        <v>1680</v>
      </c>
      <c r="X338" s="13">
        <v>1680</v>
      </c>
      <c r="Y338" s="13">
        <v>1680</v>
      </c>
      <c r="Z338" s="13">
        <v>0</v>
      </c>
      <c r="AA338" s="13">
        <v>1680</v>
      </c>
      <c r="AB338" s="13">
        <v>1680</v>
      </c>
      <c r="AC338" s="13">
        <v>1680</v>
      </c>
      <c r="AD338" s="13">
        <v>1680</v>
      </c>
    </row>
    <row r="339" spans="1:30" ht="15.75" thickBot="1" x14ac:dyDescent="0.3">
      <c r="A339" s="9" t="s">
        <v>920</v>
      </c>
      <c r="B339" s="9" t="s">
        <v>952</v>
      </c>
      <c r="C339" s="45" t="str">
        <f t="shared" si="5"/>
        <v>REPACKE312A49B</v>
      </c>
      <c r="D339" s="10" t="s">
        <v>966</v>
      </c>
      <c r="E339" s="10" t="s">
        <v>967</v>
      </c>
      <c r="F339" s="9" t="s">
        <v>494</v>
      </c>
      <c r="G339" s="9" t="s">
        <v>924</v>
      </c>
      <c r="H339" s="12">
        <v>1000</v>
      </c>
      <c r="I339" s="12">
        <v>11888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121</v>
      </c>
      <c r="T339" s="13">
        <v>1540</v>
      </c>
      <c r="U339" s="13">
        <v>1260</v>
      </c>
      <c r="V339" s="13">
        <v>2105</v>
      </c>
      <c r="W339" s="13">
        <v>1960</v>
      </c>
      <c r="X339" s="13">
        <v>1680</v>
      </c>
      <c r="Y339" s="13">
        <v>2520</v>
      </c>
      <c r="Z339" s="13">
        <v>0</v>
      </c>
      <c r="AA339" s="13">
        <v>560</v>
      </c>
      <c r="AB339" s="13">
        <v>2100</v>
      </c>
      <c r="AC339" s="13">
        <v>2100</v>
      </c>
      <c r="AD339" s="13">
        <v>1960</v>
      </c>
    </row>
    <row r="340" spans="1:30" ht="15.75" thickBot="1" x14ac:dyDescent="0.3">
      <c r="A340" s="9" t="s">
        <v>920</v>
      </c>
      <c r="B340" s="9" t="s">
        <v>968</v>
      </c>
      <c r="C340" s="45" t="str">
        <f t="shared" si="5"/>
        <v>KB3B 2101514 AA</v>
      </c>
      <c r="D340" s="10" t="s">
        <v>969</v>
      </c>
      <c r="E340" s="10" t="s">
        <v>970</v>
      </c>
      <c r="F340" s="9" t="s">
        <v>494</v>
      </c>
      <c r="G340" s="9" t="s">
        <v>924</v>
      </c>
      <c r="H340" s="12">
        <v>1000</v>
      </c>
      <c r="I340" s="12">
        <v>-250</v>
      </c>
      <c r="J340" s="13">
        <v>250</v>
      </c>
      <c r="K340" s="13">
        <v>18000</v>
      </c>
      <c r="L340" s="13">
        <v>3600</v>
      </c>
      <c r="M340" s="13">
        <v>14400</v>
      </c>
      <c r="N340" s="13">
        <v>600</v>
      </c>
      <c r="O340" s="13">
        <v>4200</v>
      </c>
      <c r="P340" s="13">
        <v>9000</v>
      </c>
      <c r="Q340" s="13">
        <v>8400</v>
      </c>
      <c r="R340" s="13">
        <v>7200</v>
      </c>
      <c r="S340" s="13">
        <v>12000</v>
      </c>
      <c r="T340" s="13">
        <v>12000</v>
      </c>
      <c r="U340" s="13">
        <v>10800</v>
      </c>
      <c r="V340" s="13">
        <v>7200</v>
      </c>
      <c r="W340" s="13">
        <v>12000</v>
      </c>
      <c r="X340" s="13">
        <v>11400</v>
      </c>
      <c r="Y340" s="13">
        <v>10200</v>
      </c>
      <c r="Z340" s="13">
        <v>12000</v>
      </c>
      <c r="AA340" s="13">
        <v>0</v>
      </c>
      <c r="AB340" s="13">
        <v>2400</v>
      </c>
      <c r="AC340" s="13">
        <v>12000</v>
      </c>
      <c r="AD340" s="13">
        <v>11400</v>
      </c>
    </row>
    <row r="341" spans="1:30" ht="15.75" thickBot="1" x14ac:dyDescent="0.3">
      <c r="A341" s="9" t="s">
        <v>920</v>
      </c>
      <c r="B341" s="9" t="s">
        <v>968</v>
      </c>
      <c r="C341" s="45" t="str">
        <f t="shared" si="5"/>
        <v>KB3B 21016C02 AA</v>
      </c>
      <c r="D341" s="10" t="s">
        <v>971</v>
      </c>
      <c r="E341" s="10" t="s">
        <v>972</v>
      </c>
      <c r="F341" s="9" t="s">
        <v>494</v>
      </c>
      <c r="G341" s="9" t="s">
        <v>924</v>
      </c>
      <c r="H341" s="12">
        <v>1000</v>
      </c>
      <c r="I341" s="8"/>
      <c r="J341" s="13">
        <v>0</v>
      </c>
      <c r="K341" s="13">
        <v>0</v>
      </c>
      <c r="L341" s="13">
        <v>7920</v>
      </c>
      <c r="M341" s="13">
        <v>0</v>
      </c>
      <c r="N341" s="13">
        <v>0</v>
      </c>
      <c r="O341" s="13">
        <v>792</v>
      </c>
      <c r="P341" s="13">
        <v>3960</v>
      </c>
      <c r="Q341" s="13">
        <v>3168</v>
      </c>
      <c r="R341" s="13">
        <v>792</v>
      </c>
      <c r="S341" s="13">
        <v>3960</v>
      </c>
      <c r="T341" s="13">
        <v>3960</v>
      </c>
      <c r="U341" s="13">
        <v>3168</v>
      </c>
      <c r="V341" s="13">
        <v>792</v>
      </c>
      <c r="W341" s="13">
        <v>3960</v>
      </c>
      <c r="X341" s="13">
        <v>3960</v>
      </c>
      <c r="Y341" s="13">
        <v>3960</v>
      </c>
      <c r="Z341" s="13">
        <v>3168</v>
      </c>
      <c r="AA341" s="13">
        <v>792</v>
      </c>
      <c r="AB341" s="13">
        <v>3960</v>
      </c>
      <c r="AC341" s="13">
        <v>3960</v>
      </c>
      <c r="AD341" s="13">
        <v>3960</v>
      </c>
    </row>
    <row r="342" spans="1:30" ht="15.75" thickBot="1" x14ac:dyDescent="0.3">
      <c r="A342" s="9" t="s">
        <v>920</v>
      </c>
      <c r="B342" s="9" t="s">
        <v>968</v>
      </c>
      <c r="C342" s="45" t="str">
        <f t="shared" si="5"/>
        <v>KB3B 26454W66 AA</v>
      </c>
      <c r="D342" s="10" t="s">
        <v>973</v>
      </c>
      <c r="E342" s="10" t="s">
        <v>974</v>
      </c>
      <c r="F342" s="9" t="s">
        <v>494</v>
      </c>
      <c r="G342" s="9" t="s">
        <v>924</v>
      </c>
      <c r="H342" s="12">
        <v>600</v>
      </c>
      <c r="I342" s="8"/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0</v>
      </c>
      <c r="X342" s="13">
        <v>778</v>
      </c>
      <c r="Y342" s="13">
        <v>3110</v>
      </c>
      <c r="Z342" s="13">
        <v>0</v>
      </c>
      <c r="AA342" s="13">
        <v>778</v>
      </c>
      <c r="AB342" s="13">
        <v>3110</v>
      </c>
      <c r="AC342" s="13">
        <v>778</v>
      </c>
      <c r="AD342" s="13">
        <v>3110</v>
      </c>
    </row>
    <row r="343" spans="1:30" ht="15.75" thickBot="1" x14ac:dyDescent="0.3">
      <c r="A343" s="9" t="s">
        <v>920</v>
      </c>
      <c r="B343" s="9" t="s">
        <v>968</v>
      </c>
      <c r="C343" s="45" t="str">
        <f t="shared" si="5"/>
        <v>KB3B 26454W66 BA</v>
      </c>
      <c r="D343" s="10" t="s">
        <v>975</v>
      </c>
      <c r="E343" s="10" t="s">
        <v>974</v>
      </c>
      <c r="F343" s="9" t="s">
        <v>494</v>
      </c>
      <c r="G343" s="9" t="s">
        <v>924</v>
      </c>
      <c r="H343" s="12">
        <v>600</v>
      </c>
      <c r="I343" s="8"/>
      <c r="J343" s="13">
        <v>0</v>
      </c>
      <c r="K343" s="13">
        <v>0</v>
      </c>
      <c r="L343" s="13">
        <v>0</v>
      </c>
      <c r="M343" s="13">
        <v>0</v>
      </c>
      <c r="N343" s="13">
        <v>480</v>
      </c>
      <c r="O343" s="13">
        <v>2400</v>
      </c>
      <c r="P343" s="13">
        <v>2400</v>
      </c>
      <c r="Q343" s="13">
        <v>2400</v>
      </c>
      <c r="R343" s="13">
        <v>2400</v>
      </c>
      <c r="S343" s="13">
        <v>2400</v>
      </c>
      <c r="T343" s="13">
        <v>2880</v>
      </c>
      <c r="U343" s="13">
        <v>4320</v>
      </c>
      <c r="V343" s="13">
        <v>3360</v>
      </c>
      <c r="W343" s="13">
        <v>5760</v>
      </c>
      <c r="X343" s="13">
        <v>960</v>
      </c>
      <c r="Y343" s="13">
        <v>4800</v>
      </c>
      <c r="Z343" s="13">
        <v>3840</v>
      </c>
      <c r="AA343" s="13">
        <v>0</v>
      </c>
      <c r="AB343" s="13">
        <v>960</v>
      </c>
      <c r="AC343" s="13">
        <v>4800</v>
      </c>
      <c r="AD343" s="13">
        <v>4320</v>
      </c>
    </row>
    <row r="344" spans="1:30" ht="15.75" thickBot="1" x14ac:dyDescent="0.3">
      <c r="A344" s="9" t="s">
        <v>976</v>
      </c>
      <c r="B344" s="9" t="s">
        <v>977</v>
      </c>
      <c r="C344" s="45" t="str">
        <f t="shared" si="5"/>
        <v>N1WB E23943 KK1G1C</v>
      </c>
      <c r="D344" s="10" t="s">
        <v>978</v>
      </c>
      <c r="E344" s="10" t="s">
        <v>979</v>
      </c>
      <c r="F344" s="9" t="s">
        <v>261</v>
      </c>
      <c r="G344" s="9" t="s">
        <v>262</v>
      </c>
      <c r="H344" s="12">
        <v>40</v>
      </c>
      <c r="I344" s="8"/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0</v>
      </c>
      <c r="AB344" s="13">
        <v>0</v>
      </c>
      <c r="AC344" s="13">
        <v>0</v>
      </c>
      <c r="AD344" s="13">
        <v>0</v>
      </c>
    </row>
    <row r="345" spans="1:30" ht="15.75" thickBot="1" x14ac:dyDescent="0.3">
      <c r="A345" s="9" t="s">
        <v>976</v>
      </c>
      <c r="B345" s="9" t="s">
        <v>977</v>
      </c>
      <c r="C345" s="45" t="str">
        <f t="shared" si="5"/>
        <v>N1WB E23943 KK1G1E</v>
      </c>
      <c r="D345" s="10" t="s">
        <v>980</v>
      </c>
      <c r="E345" s="10" t="s">
        <v>979</v>
      </c>
      <c r="F345" s="9" t="s">
        <v>261</v>
      </c>
      <c r="G345" s="9" t="s">
        <v>262</v>
      </c>
      <c r="H345" s="12">
        <v>40</v>
      </c>
      <c r="I345" s="8"/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2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</row>
    <row r="346" spans="1:30" ht="15.75" thickBot="1" x14ac:dyDescent="0.3">
      <c r="A346" s="9" t="s">
        <v>976</v>
      </c>
      <c r="B346" s="9" t="s">
        <v>977</v>
      </c>
      <c r="C346" s="45" t="str">
        <f t="shared" si="5"/>
        <v>N1WB E23943 KL1G1C</v>
      </c>
      <c r="D346" s="10" t="s">
        <v>981</v>
      </c>
      <c r="E346" s="10" t="s">
        <v>979</v>
      </c>
      <c r="F346" s="9" t="s">
        <v>261</v>
      </c>
      <c r="G346" s="9" t="s">
        <v>262</v>
      </c>
      <c r="H346" s="12">
        <v>40</v>
      </c>
      <c r="I346" s="12">
        <v>77</v>
      </c>
      <c r="J346" s="13">
        <v>49</v>
      </c>
      <c r="K346" s="13">
        <v>131</v>
      </c>
      <c r="L346" s="13">
        <v>93</v>
      </c>
      <c r="M346" s="13">
        <v>86</v>
      </c>
      <c r="N346" s="13">
        <v>79</v>
      </c>
      <c r="O346" s="13">
        <v>94</v>
      </c>
      <c r="P346" s="13">
        <v>75</v>
      </c>
      <c r="Q346" s="13">
        <v>67</v>
      </c>
      <c r="R346" s="13">
        <v>86</v>
      </c>
      <c r="S346" s="13">
        <v>111</v>
      </c>
      <c r="T346" s="13">
        <v>111</v>
      </c>
      <c r="U346" s="13">
        <v>80</v>
      </c>
      <c r="V346" s="13">
        <v>132</v>
      </c>
      <c r="W346" s="13">
        <v>139</v>
      </c>
      <c r="X346" s="13">
        <v>67</v>
      </c>
      <c r="Y346" s="13">
        <v>7</v>
      </c>
      <c r="Z346" s="13">
        <v>1</v>
      </c>
      <c r="AA346" s="13">
        <v>0</v>
      </c>
      <c r="AB346" s="13">
        <v>0</v>
      </c>
      <c r="AC346" s="13">
        <v>0</v>
      </c>
      <c r="AD346" s="13">
        <v>0</v>
      </c>
    </row>
    <row r="347" spans="1:30" ht="15.75" thickBot="1" x14ac:dyDescent="0.3">
      <c r="A347" s="9" t="s">
        <v>976</v>
      </c>
      <c r="B347" s="9" t="s">
        <v>977</v>
      </c>
      <c r="C347" s="45" t="str">
        <f t="shared" si="5"/>
        <v>N1WB E23943 KL1G1E</v>
      </c>
      <c r="D347" s="10" t="s">
        <v>982</v>
      </c>
      <c r="E347" s="10" t="s">
        <v>979</v>
      </c>
      <c r="F347" s="9" t="s">
        <v>261</v>
      </c>
      <c r="G347" s="9" t="s">
        <v>262</v>
      </c>
      <c r="H347" s="12">
        <v>40</v>
      </c>
      <c r="I347" s="12">
        <v>66</v>
      </c>
      <c r="J347" s="13">
        <v>46</v>
      </c>
      <c r="K347" s="13">
        <v>93</v>
      </c>
      <c r="L347" s="13">
        <v>68</v>
      </c>
      <c r="M347" s="13">
        <v>40</v>
      </c>
      <c r="N347" s="13">
        <v>56</v>
      </c>
      <c r="O347" s="13">
        <v>116</v>
      </c>
      <c r="P347" s="13">
        <v>88</v>
      </c>
      <c r="Q347" s="13">
        <v>56</v>
      </c>
      <c r="R347" s="13">
        <v>100</v>
      </c>
      <c r="S347" s="13">
        <v>124</v>
      </c>
      <c r="T347" s="13">
        <v>116</v>
      </c>
      <c r="U347" s="13">
        <v>100</v>
      </c>
      <c r="V347" s="13">
        <v>185</v>
      </c>
      <c r="W347" s="13">
        <v>184</v>
      </c>
      <c r="X347" s="13">
        <v>76</v>
      </c>
      <c r="Y347" s="13">
        <v>7</v>
      </c>
      <c r="Z347" s="13">
        <v>1</v>
      </c>
      <c r="AA347" s="13">
        <v>0</v>
      </c>
      <c r="AB347" s="13">
        <v>0</v>
      </c>
      <c r="AC347" s="13">
        <v>0</v>
      </c>
      <c r="AD347" s="13">
        <v>0</v>
      </c>
    </row>
    <row r="348" spans="1:30" ht="15.75" thickBot="1" x14ac:dyDescent="0.3">
      <c r="A348" s="9" t="s">
        <v>976</v>
      </c>
      <c r="B348" s="9" t="s">
        <v>977</v>
      </c>
      <c r="C348" s="45" t="str">
        <f t="shared" si="5"/>
        <v>N1WB E23943 KL3LU4</v>
      </c>
      <c r="D348" s="10" t="s">
        <v>983</v>
      </c>
      <c r="E348" s="10" t="s">
        <v>979</v>
      </c>
      <c r="F348" s="9" t="s">
        <v>261</v>
      </c>
      <c r="G348" s="9" t="s">
        <v>262</v>
      </c>
      <c r="H348" s="12">
        <v>40</v>
      </c>
      <c r="I348" s="12">
        <v>32</v>
      </c>
      <c r="J348" s="13">
        <v>0</v>
      </c>
      <c r="K348" s="13">
        <v>24</v>
      </c>
      <c r="L348" s="13">
        <v>20</v>
      </c>
      <c r="M348" s="13">
        <v>16</v>
      </c>
      <c r="N348" s="13">
        <v>16</v>
      </c>
      <c r="O348" s="13">
        <v>28</v>
      </c>
      <c r="P348" s="13">
        <v>20</v>
      </c>
      <c r="Q348" s="13">
        <v>0</v>
      </c>
      <c r="R348" s="13">
        <v>28</v>
      </c>
      <c r="S348" s="13">
        <v>20</v>
      </c>
      <c r="T348" s="13">
        <v>16</v>
      </c>
      <c r="U348" s="13">
        <v>16</v>
      </c>
      <c r="V348" s="13">
        <v>16</v>
      </c>
      <c r="W348" s="13">
        <v>12</v>
      </c>
      <c r="X348" s="13">
        <v>1</v>
      </c>
      <c r="Y348" s="13">
        <v>0</v>
      </c>
      <c r="Z348" s="13">
        <v>1</v>
      </c>
      <c r="AA348" s="13">
        <v>0</v>
      </c>
      <c r="AB348" s="13">
        <v>0</v>
      </c>
      <c r="AC348" s="13">
        <v>0</v>
      </c>
      <c r="AD348" s="13">
        <v>0</v>
      </c>
    </row>
    <row r="349" spans="1:30" ht="15.75" thickBot="1" x14ac:dyDescent="0.3">
      <c r="A349" s="9" t="s">
        <v>976</v>
      </c>
      <c r="B349" s="9" t="s">
        <v>977</v>
      </c>
      <c r="C349" s="45" t="str">
        <f t="shared" si="5"/>
        <v>N1WB E23943 KM1G1C</v>
      </c>
      <c r="D349" s="10" t="s">
        <v>984</v>
      </c>
      <c r="E349" s="10" t="s">
        <v>979</v>
      </c>
      <c r="F349" s="9" t="s">
        <v>261</v>
      </c>
      <c r="G349" s="9" t="s">
        <v>262</v>
      </c>
      <c r="H349" s="12">
        <v>40</v>
      </c>
      <c r="I349" s="12">
        <v>6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73</v>
      </c>
      <c r="Y349" s="13">
        <v>199</v>
      </c>
      <c r="Z349" s="13">
        <v>45</v>
      </c>
      <c r="AA349" s="13">
        <v>0</v>
      </c>
      <c r="AB349" s="13">
        <v>104</v>
      </c>
      <c r="AC349" s="13">
        <v>134</v>
      </c>
      <c r="AD349" s="13">
        <v>128</v>
      </c>
    </row>
    <row r="350" spans="1:30" ht="15.75" thickBot="1" x14ac:dyDescent="0.3">
      <c r="A350" s="9" t="s">
        <v>976</v>
      </c>
      <c r="B350" s="9" t="s">
        <v>977</v>
      </c>
      <c r="C350" s="45" t="str">
        <f t="shared" si="5"/>
        <v>N1WB E23943 KM1G1E</v>
      </c>
      <c r="D350" s="10" t="s">
        <v>985</v>
      </c>
      <c r="E350" s="10" t="s">
        <v>979</v>
      </c>
      <c r="F350" s="9" t="s">
        <v>261</v>
      </c>
      <c r="G350" s="9" t="s">
        <v>262</v>
      </c>
      <c r="H350" s="12">
        <v>40</v>
      </c>
      <c r="I350" s="8"/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  <c r="Q350" s="13">
        <v>0</v>
      </c>
      <c r="R350" s="13">
        <v>0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80</v>
      </c>
      <c r="Y350" s="13">
        <v>236</v>
      </c>
      <c r="Z350" s="13">
        <v>52</v>
      </c>
      <c r="AA350" s="13">
        <v>0</v>
      </c>
      <c r="AB350" s="13">
        <v>168</v>
      </c>
      <c r="AC350" s="13">
        <v>184</v>
      </c>
      <c r="AD350" s="13">
        <v>160</v>
      </c>
    </row>
    <row r="351" spans="1:30" ht="15.75" thickBot="1" x14ac:dyDescent="0.3">
      <c r="A351" s="9" t="s">
        <v>976</v>
      </c>
      <c r="B351" s="9" t="s">
        <v>977</v>
      </c>
      <c r="C351" s="45" t="str">
        <f t="shared" si="5"/>
        <v>N1WB E23943 KM3LU4</v>
      </c>
      <c r="D351" s="10" t="s">
        <v>986</v>
      </c>
      <c r="E351" s="10" t="s">
        <v>979</v>
      </c>
      <c r="F351" s="9" t="s">
        <v>261</v>
      </c>
      <c r="G351" s="9" t="s">
        <v>262</v>
      </c>
      <c r="H351" s="12">
        <v>40</v>
      </c>
      <c r="I351" s="8"/>
      <c r="J351" s="13">
        <v>0</v>
      </c>
      <c r="K351" s="13">
        <v>0</v>
      </c>
      <c r="L351" s="13">
        <v>0</v>
      </c>
      <c r="M351" s="13">
        <v>0</v>
      </c>
      <c r="N351" s="13">
        <v>0</v>
      </c>
      <c r="O351" s="13">
        <v>0</v>
      </c>
      <c r="P351" s="13">
        <v>2</v>
      </c>
      <c r="Q351" s="13">
        <v>0</v>
      </c>
      <c r="R351" s="13">
        <v>0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28</v>
      </c>
      <c r="Y351" s="13">
        <v>20</v>
      </c>
      <c r="Z351" s="13">
        <v>0</v>
      </c>
      <c r="AA351" s="13">
        <v>0</v>
      </c>
      <c r="AB351" s="13">
        <v>28</v>
      </c>
      <c r="AC351" s="13">
        <v>32</v>
      </c>
      <c r="AD351" s="13">
        <v>20</v>
      </c>
    </row>
    <row r="352" spans="1:30" ht="15.75" thickBot="1" x14ac:dyDescent="0.3">
      <c r="A352" s="9" t="s">
        <v>976</v>
      </c>
      <c r="B352" s="9" t="s">
        <v>977</v>
      </c>
      <c r="C352" s="45" t="str">
        <f t="shared" si="5"/>
        <v>N1WB E23943 UF3ZHE</v>
      </c>
      <c r="D352" s="10" t="s">
        <v>987</v>
      </c>
      <c r="E352" s="10" t="s">
        <v>979</v>
      </c>
      <c r="F352" s="9" t="s">
        <v>261</v>
      </c>
      <c r="G352" s="9" t="s">
        <v>262</v>
      </c>
      <c r="H352" s="12">
        <v>40</v>
      </c>
      <c r="I352" s="12">
        <v>407</v>
      </c>
      <c r="J352" s="13">
        <v>24</v>
      </c>
      <c r="K352" s="13">
        <v>490</v>
      </c>
      <c r="L352" s="13">
        <v>194</v>
      </c>
      <c r="M352" s="13">
        <v>346</v>
      </c>
      <c r="N352" s="13">
        <v>479</v>
      </c>
      <c r="O352" s="13">
        <v>484</v>
      </c>
      <c r="P352" s="13">
        <v>289</v>
      </c>
      <c r="Q352" s="13">
        <v>237</v>
      </c>
      <c r="R352" s="13">
        <v>335</v>
      </c>
      <c r="S352" s="13">
        <v>403</v>
      </c>
      <c r="T352" s="13">
        <v>415</v>
      </c>
      <c r="U352" s="13">
        <v>283</v>
      </c>
      <c r="V352" s="13">
        <v>496</v>
      </c>
      <c r="W352" s="13">
        <v>520</v>
      </c>
      <c r="X352" s="13">
        <v>457</v>
      </c>
      <c r="Y352" s="13">
        <v>742</v>
      </c>
      <c r="Z352" s="13">
        <v>161</v>
      </c>
      <c r="AA352" s="13">
        <v>0</v>
      </c>
      <c r="AB352" s="13">
        <v>452</v>
      </c>
      <c r="AC352" s="13">
        <v>559</v>
      </c>
      <c r="AD352" s="13">
        <v>508</v>
      </c>
    </row>
    <row r="353" spans="1:30" ht="15.75" thickBot="1" x14ac:dyDescent="0.3">
      <c r="A353" s="9" t="s">
        <v>976</v>
      </c>
      <c r="B353" s="9" t="s">
        <v>977</v>
      </c>
      <c r="C353" s="45" t="str">
        <f t="shared" si="5"/>
        <v>N1WB E23943 VF1G1C</v>
      </c>
      <c r="D353" s="10" t="s">
        <v>988</v>
      </c>
      <c r="E353" s="10" t="s">
        <v>979</v>
      </c>
      <c r="F353" s="9" t="s">
        <v>261</v>
      </c>
      <c r="G353" s="9" t="s">
        <v>262</v>
      </c>
      <c r="H353" s="12">
        <v>40</v>
      </c>
      <c r="I353" s="12">
        <v>155</v>
      </c>
      <c r="J353" s="13">
        <v>76</v>
      </c>
      <c r="K353" s="13">
        <v>273</v>
      </c>
      <c r="L353" s="13">
        <v>196</v>
      </c>
      <c r="M353" s="13">
        <v>209</v>
      </c>
      <c r="N353" s="13">
        <v>204</v>
      </c>
      <c r="O353" s="13">
        <v>209</v>
      </c>
      <c r="P353" s="13">
        <v>190</v>
      </c>
      <c r="Q353" s="13">
        <v>129</v>
      </c>
      <c r="R353" s="13">
        <v>241</v>
      </c>
      <c r="S353" s="13">
        <v>251</v>
      </c>
      <c r="T353" s="13">
        <v>263</v>
      </c>
      <c r="U353" s="13">
        <v>178</v>
      </c>
      <c r="V353" s="13">
        <v>198</v>
      </c>
      <c r="W353" s="13">
        <v>241</v>
      </c>
      <c r="X353" s="13">
        <v>265</v>
      </c>
      <c r="Y353" s="13">
        <v>438</v>
      </c>
      <c r="Z353" s="13">
        <v>97</v>
      </c>
      <c r="AA353" s="13">
        <v>0</v>
      </c>
      <c r="AB353" s="13">
        <v>176</v>
      </c>
      <c r="AC353" s="13">
        <v>243</v>
      </c>
      <c r="AD353" s="13">
        <v>253</v>
      </c>
    </row>
    <row r="354" spans="1:30" ht="15.75" thickBot="1" x14ac:dyDescent="0.3">
      <c r="A354" s="9" t="s">
        <v>976</v>
      </c>
      <c r="B354" s="9" t="s">
        <v>977</v>
      </c>
      <c r="C354" s="45" t="str">
        <f t="shared" si="5"/>
        <v>N1WB E23943 VF1G1E</v>
      </c>
      <c r="D354" s="10" t="s">
        <v>989</v>
      </c>
      <c r="E354" s="10" t="s">
        <v>979</v>
      </c>
      <c r="F354" s="9" t="s">
        <v>261</v>
      </c>
      <c r="G354" s="9" t="s">
        <v>262</v>
      </c>
      <c r="H354" s="12">
        <v>40</v>
      </c>
      <c r="I354" s="12">
        <v>282</v>
      </c>
      <c r="J354" s="13">
        <v>31</v>
      </c>
      <c r="K354" s="13">
        <v>390</v>
      </c>
      <c r="L354" s="13">
        <v>270</v>
      </c>
      <c r="M354" s="13">
        <v>234</v>
      </c>
      <c r="N354" s="13">
        <v>304</v>
      </c>
      <c r="O354" s="13">
        <v>412</v>
      </c>
      <c r="P354" s="13">
        <v>262</v>
      </c>
      <c r="Q354" s="13">
        <v>196</v>
      </c>
      <c r="R354" s="13">
        <v>323</v>
      </c>
      <c r="S354" s="13">
        <v>381</v>
      </c>
      <c r="T354" s="13">
        <v>382</v>
      </c>
      <c r="U354" s="13">
        <v>288</v>
      </c>
      <c r="V354" s="13">
        <v>561</v>
      </c>
      <c r="W354" s="13">
        <v>685</v>
      </c>
      <c r="X354" s="13">
        <v>475</v>
      </c>
      <c r="Y354" s="13">
        <v>699</v>
      </c>
      <c r="Z354" s="13">
        <v>154</v>
      </c>
      <c r="AA354" s="13">
        <v>0</v>
      </c>
      <c r="AB354" s="13">
        <v>520</v>
      </c>
      <c r="AC354" s="13">
        <v>670</v>
      </c>
      <c r="AD354" s="13">
        <v>611</v>
      </c>
    </row>
    <row r="355" spans="1:30" ht="15.75" thickBot="1" x14ac:dyDescent="0.3">
      <c r="A355" s="9" t="s">
        <v>976</v>
      </c>
      <c r="B355" s="9" t="s">
        <v>977</v>
      </c>
      <c r="C355" s="45" t="str">
        <f t="shared" si="5"/>
        <v>N1WB E23943 VF3LU4</v>
      </c>
      <c r="D355" s="10" t="s">
        <v>990</v>
      </c>
      <c r="E355" s="10" t="s">
        <v>979</v>
      </c>
      <c r="F355" s="9" t="s">
        <v>261</v>
      </c>
      <c r="G355" s="9" t="s">
        <v>262</v>
      </c>
      <c r="H355" s="12">
        <v>40</v>
      </c>
      <c r="I355" s="12">
        <v>21</v>
      </c>
      <c r="J355" s="13">
        <v>0</v>
      </c>
      <c r="K355" s="13">
        <v>42</v>
      </c>
      <c r="L355" s="13">
        <v>22</v>
      </c>
      <c r="M355" s="13">
        <v>22</v>
      </c>
      <c r="N355" s="13">
        <v>32</v>
      </c>
      <c r="O355" s="13">
        <v>48</v>
      </c>
      <c r="P355" s="13">
        <v>21</v>
      </c>
      <c r="Q355" s="13">
        <v>13</v>
      </c>
      <c r="R355" s="13">
        <v>16</v>
      </c>
      <c r="S355" s="13">
        <v>22</v>
      </c>
      <c r="T355" s="13">
        <v>25</v>
      </c>
      <c r="U355" s="13">
        <v>18</v>
      </c>
      <c r="V355" s="13">
        <v>25</v>
      </c>
      <c r="W355" s="13">
        <v>34</v>
      </c>
      <c r="X355" s="13">
        <v>23</v>
      </c>
      <c r="Y355" s="13">
        <v>42</v>
      </c>
      <c r="Z355" s="13">
        <v>8</v>
      </c>
      <c r="AA355" s="13">
        <v>0</v>
      </c>
      <c r="AB355" s="13">
        <v>28</v>
      </c>
      <c r="AC355" s="13">
        <v>31</v>
      </c>
      <c r="AD355" s="13">
        <v>24</v>
      </c>
    </row>
    <row r="356" spans="1:30" ht="15.75" thickBot="1" x14ac:dyDescent="0.3">
      <c r="A356" s="9" t="s">
        <v>976</v>
      </c>
      <c r="B356" s="9" t="s">
        <v>977</v>
      </c>
      <c r="C356" s="45" t="str">
        <f t="shared" si="5"/>
        <v>N1WB E23943 YL1G1C</v>
      </c>
      <c r="D356" s="10" t="s">
        <v>991</v>
      </c>
      <c r="E356" s="10" t="s">
        <v>979</v>
      </c>
      <c r="F356" s="9" t="s">
        <v>261</v>
      </c>
      <c r="G356" s="9" t="s">
        <v>262</v>
      </c>
      <c r="H356" s="12">
        <v>40</v>
      </c>
      <c r="I356" s="12">
        <v>191</v>
      </c>
      <c r="J356" s="13">
        <v>0</v>
      </c>
      <c r="K356" s="13">
        <v>207</v>
      </c>
      <c r="L356" s="13">
        <v>152</v>
      </c>
      <c r="M356" s="13">
        <v>154</v>
      </c>
      <c r="N356" s="13">
        <v>106</v>
      </c>
      <c r="O356" s="13">
        <v>87</v>
      </c>
      <c r="P356" s="13">
        <v>216</v>
      </c>
      <c r="Q356" s="13">
        <v>244</v>
      </c>
      <c r="R356" s="13">
        <v>247</v>
      </c>
      <c r="S356" s="13">
        <v>250</v>
      </c>
      <c r="T356" s="13">
        <v>243</v>
      </c>
      <c r="U356" s="13">
        <v>170</v>
      </c>
      <c r="V356" s="13">
        <v>237</v>
      </c>
      <c r="W356" s="13">
        <v>246</v>
      </c>
      <c r="X356" s="13">
        <v>169</v>
      </c>
      <c r="Y356" s="13">
        <v>28</v>
      </c>
      <c r="Z356" s="13">
        <v>4</v>
      </c>
      <c r="AA356" s="13">
        <v>0</v>
      </c>
      <c r="AB356" s="13">
        <v>0</v>
      </c>
      <c r="AC356" s="13">
        <v>0</v>
      </c>
      <c r="AD356" s="13">
        <v>0</v>
      </c>
    </row>
    <row r="357" spans="1:30" ht="15.75" thickBot="1" x14ac:dyDescent="0.3">
      <c r="A357" s="9" t="s">
        <v>976</v>
      </c>
      <c r="B357" s="9" t="s">
        <v>977</v>
      </c>
      <c r="C357" s="45" t="str">
        <f t="shared" si="5"/>
        <v>N1WB E23943 YM1G1C</v>
      </c>
      <c r="D357" s="10" t="s">
        <v>992</v>
      </c>
      <c r="E357" s="10" t="s">
        <v>979</v>
      </c>
      <c r="F357" s="9" t="s">
        <v>261</v>
      </c>
      <c r="G357" s="9" t="s">
        <v>262</v>
      </c>
      <c r="H357" s="12">
        <v>40</v>
      </c>
      <c r="I357" s="8"/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3</v>
      </c>
      <c r="Q357" s="13">
        <v>0</v>
      </c>
      <c r="R357" s="13">
        <v>0</v>
      </c>
      <c r="S357" s="13">
        <v>0</v>
      </c>
      <c r="T357" s="13">
        <v>0</v>
      </c>
      <c r="U357" s="13">
        <v>0</v>
      </c>
      <c r="V357" s="13">
        <v>2</v>
      </c>
      <c r="W357" s="13">
        <v>0</v>
      </c>
      <c r="X357" s="13">
        <v>92</v>
      </c>
      <c r="Y357" s="13">
        <v>368</v>
      </c>
      <c r="Z357" s="13">
        <v>84</v>
      </c>
      <c r="AA357" s="13">
        <v>0</v>
      </c>
      <c r="AB357" s="13">
        <v>192</v>
      </c>
      <c r="AC357" s="13">
        <v>240</v>
      </c>
      <c r="AD357" s="13">
        <v>240</v>
      </c>
    </row>
    <row r="358" spans="1:30" ht="15.75" thickBot="1" x14ac:dyDescent="0.3">
      <c r="A358" s="9" t="s">
        <v>976</v>
      </c>
      <c r="B358" s="9" t="s">
        <v>977</v>
      </c>
      <c r="C358" s="45" t="str">
        <f t="shared" si="5"/>
        <v>N1WB E27407 CL3ZHE</v>
      </c>
      <c r="D358" s="10" t="s">
        <v>993</v>
      </c>
      <c r="E358" s="10" t="s">
        <v>994</v>
      </c>
      <c r="F358" s="9" t="s">
        <v>261</v>
      </c>
      <c r="G358" s="9" t="s">
        <v>262</v>
      </c>
      <c r="H358" s="12">
        <v>40</v>
      </c>
      <c r="I358" s="12">
        <v>406</v>
      </c>
      <c r="J358" s="13">
        <v>22</v>
      </c>
      <c r="K358" s="13">
        <v>490</v>
      </c>
      <c r="L358" s="13">
        <v>194</v>
      </c>
      <c r="M358" s="13">
        <v>346</v>
      </c>
      <c r="N358" s="13">
        <v>479</v>
      </c>
      <c r="O358" s="13">
        <v>484</v>
      </c>
      <c r="P358" s="13">
        <v>289</v>
      </c>
      <c r="Q358" s="13">
        <v>237</v>
      </c>
      <c r="R358" s="13">
        <v>335</v>
      </c>
      <c r="S358" s="13">
        <v>403</v>
      </c>
      <c r="T358" s="13">
        <v>415</v>
      </c>
      <c r="U358" s="13">
        <v>283</v>
      </c>
      <c r="V358" s="13">
        <v>496</v>
      </c>
      <c r="W358" s="13">
        <v>520</v>
      </c>
      <c r="X358" s="13">
        <v>457</v>
      </c>
      <c r="Y358" s="13">
        <v>742</v>
      </c>
      <c r="Z358" s="13">
        <v>161</v>
      </c>
      <c r="AA358" s="13">
        <v>0</v>
      </c>
      <c r="AB358" s="13">
        <v>452</v>
      </c>
      <c r="AC358" s="13">
        <v>559</v>
      </c>
      <c r="AD358" s="13">
        <v>508</v>
      </c>
    </row>
    <row r="359" spans="1:30" ht="15.75" thickBot="1" x14ac:dyDescent="0.3">
      <c r="A359" s="9" t="s">
        <v>976</v>
      </c>
      <c r="B359" s="9" t="s">
        <v>977</v>
      </c>
      <c r="C359" s="45" t="str">
        <f t="shared" si="5"/>
        <v>N1WB E27407 RP1G1C</v>
      </c>
      <c r="D359" s="10" t="s">
        <v>995</v>
      </c>
      <c r="E359" s="10" t="s">
        <v>994</v>
      </c>
      <c r="F359" s="9" t="s">
        <v>261</v>
      </c>
      <c r="G359" s="9" t="s">
        <v>262</v>
      </c>
      <c r="H359" s="12">
        <v>40</v>
      </c>
      <c r="I359" s="12">
        <v>76</v>
      </c>
      <c r="J359" s="13">
        <v>42</v>
      </c>
      <c r="K359" s="13">
        <v>131</v>
      </c>
      <c r="L359" s="13">
        <v>96</v>
      </c>
      <c r="M359" s="13">
        <v>83</v>
      </c>
      <c r="N359" s="13">
        <v>79</v>
      </c>
      <c r="O359" s="13">
        <v>95</v>
      </c>
      <c r="P359" s="13">
        <v>74</v>
      </c>
      <c r="Q359" s="13">
        <v>68</v>
      </c>
      <c r="R359" s="13">
        <v>86</v>
      </c>
      <c r="S359" s="13">
        <v>111</v>
      </c>
      <c r="T359" s="13">
        <v>111</v>
      </c>
      <c r="U359" s="13">
        <v>79</v>
      </c>
      <c r="V359" s="13">
        <v>133</v>
      </c>
      <c r="W359" s="13">
        <v>139</v>
      </c>
      <c r="X359" s="13">
        <v>142</v>
      </c>
      <c r="Y359" s="13">
        <v>207</v>
      </c>
      <c r="Z359" s="13">
        <v>45</v>
      </c>
      <c r="AA359" s="13">
        <v>0</v>
      </c>
      <c r="AB359" s="13">
        <v>104</v>
      </c>
      <c r="AC359" s="13">
        <v>134</v>
      </c>
      <c r="AD359" s="13">
        <v>128</v>
      </c>
    </row>
    <row r="360" spans="1:30" ht="15.75" thickBot="1" x14ac:dyDescent="0.3">
      <c r="A360" s="9" t="s">
        <v>976</v>
      </c>
      <c r="B360" s="9" t="s">
        <v>977</v>
      </c>
      <c r="C360" s="45" t="str">
        <f t="shared" si="5"/>
        <v>N1WB E27407 RP1G1E</v>
      </c>
      <c r="D360" s="10" t="s">
        <v>996</v>
      </c>
      <c r="E360" s="10" t="s">
        <v>994</v>
      </c>
      <c r="F360" s="9" t="s">
        <v>261</v>
      </c>
      <c r="G360" s="9" t="s">
        <v>262</v>
      </c>
      <c r="H360" s="12">
        <v>40</v>
      </c>
      <c r="I360" s="12">
        <v>64</v>
      </c>
      <c r="J360" s="13">
        <v>32</v>
      </c>
      <c r="K360" s="13">
        <v>109</v>
      </c>
      <c r="L360" s="13">
        <v>56</v>
      </c>
      <c r="M360" s="13">
        <v>48</v>
      </c>
      <c r="N360" s="13">
        <v>60</v>
      </c>
      <c r="O360" s="13">
        <v>104</v>
      </c>
      <c r="P360" s="13">
        <v>100</v>
      </c>
      <c r="Q360" s="13">
        <v>56</v>
      </c>
      <c r="R360" s="13">
        <v>100</v>
      </c>
      <c r="S360" s="13">
        <v>124</v>
      </c>
      <c r="T360" s="13">
        <v>116</v>
      </c>
      <c r="U360" s="13">
        <v>100</v>
      </c>
      <c r="V360" s="13">
        <v>184</v>
      </c>
      <c r="W360" s="13">
        <v>184</v>
      </c>
      <c r="X360" s="13">
        <v>148</v>
      </c>
      <c r="Y360" s="13">
        <v>248</v>
      </c>
      <c r="Z360" s="13">
        <v>52</v>
      </c>
      <c r="AA360" s="13">
        <v>0</v>
      </c>
      <c r="AB360" s="13">
        <v>168</v>
      </c>
      <c r="AC360" s="13">
        <v>184</v>
      </c>
      <c r="AD360" s="13">
        <v>160</v>
      </c>
    </row>
    <row r="361" spans="1:30" ht="15.75" thickBot="1" x14ac:dyDescent="0.3">
      <c r="A361" s="9" t="s">
        <v>976</v>
      </c>
      <c r="B361" s="9" t="s">
        <v>977</v>
      </c>
      <c r="C361" s="45" t="str">
        <f t="shared" si="5"/>
        <v>N1WB E27407 RP3LU4</v>
      </c>
      <c r="D361" s="10" t="s">
        <v>997</v>
      </c>
      <c r="E361" s="10" t="s">
        <v>994</v>
      </c>
      <c r="F361" s="9" t="s">
        <v>261</v>
      </c>
      <c r="G361" s="9" t="s">
        <v>262</v>
      </c>
      <c r="H361" s="12">
        <v>40</v>
      </c>
      <c r="I361" s="12">
        <v>32</v>
      </c>
      <c r="J361" s="13">
        <v>0</v>
      </c>
      <c r="K361" s="13">
        <v>24</v>
      </c>
      <c r="L361" s="13">
        <v>20</v>
      </c>
      <c r="M361" s="13">
        <v>16</v>
      </c>
      <c r="N361" s="13">
        <v>16</v>
      </c>
      <c r="O361" s="13">
        <v>28</v>
      </c>
      <c r="P361" s="13">
        <v>20</v>
      </c>
      <c r="Q361" s="13">
        <v>0</v>
      </c>
      <c r="R361" s="13">
        <v>28</v>
      </c>
      <c r="S361" s="13">
        <v>20</v>
      </c>
      <c r="T361" s="13">
        <v>16</v>
      </c>
      <c r="U361" s="13">
        <v>16</v>
      </c>
      <c r="V361" s="13">
        <v>16</v>
      </c>
      <c r="W361" s="13">
        <v>16</v>
      </c>
      <c r="X361" s="13">
        <v>16</v>
      </c>
      <c r="Y361" s="13">
        <v>28</v>
      </c>
      <c r="Z361" s="13">
        <v>4</v>
      </c>
      <c r="AA361" s="13">
        <v>0</v>
      </c>
      <c r="AB361" s="13">
        <v>28</v>
      </c>
      <c r="AC361" s="13">
        <v>32</v>
      </c>
      <c r="AD361" s="13">
        <v>20</v>
      </c>
    </row>
    <row r="362" spans="1:30" ht="15.75" thickBot="1" x14ac:dyDescent="0.3">
      <c r="A362" s="9" t="s">
        <v>976</v>
      </c>
      <c r="B362" s="9" t="s">
        <v>977</v>
      </c>
      <c r="C362" s="45" t="str">
        <f t="shared" si="5"/>
        <v>N1WB E27407 SL1G1C</v>
      </c>
      <c r="D362" s="10" t="s">
        <v>998</v>
      </c>
      <c r="E362" s="10" t="s">
        <v>994</v>
      </c>
      <c r="F362" s="9" t="s">
        <v>261</v>
      </c>
      <c r="G362" s="9" t="s">
        <v>262</v>
      </c>
      <c r="H362" s="12">
        <v>40</v>
      </c>
      <c r="I362" s="12">
        <v>186</v>
      </c>
      <c r="J362" s="13">
        <v>0</v>
      </c>
      <c r="K362" s="13">
        <v>239</v>
      </c>
      <c r="L362" s="13">
        <v>151</v>
      </c>
      <c r="M362" s="13">
        <v>155</v>
      </c>
      <c r="N362" s="13">
        <v>106</v>
      </c>
      <c r="O362" s="13">
        <v>87</v>
      </c>
      <c r="P362" s="13">
        <v>216</v>
      </c>
      <c r="Q362" s="13">
        <v>244</v>
      </c>
      <c r="R362" s="13">
        <v>247</v>
      </c>
      <c r="S362" s="13">
        <v>250</v>
      </c>
      <c r="T362" s="13">
        <v>243</v>
      </c>
      <c r="U362" s="13">
        <v>170</v>
      </c>
      <c r="V362" s="13">
        <v>233</v>
      </c>
      <c r="W362" s="13">
        <v>245</v>
      </c>
      <c r="X362" s="13">
        <v>245</v>
      </c>
      <c r="Y362" s="13">
        <v>401</v>
      </c>
      <c r="Z362" s="13">
        <v>85</v>
      </c>
      <c r="AA362" s="13">
        <v>0</v>
      </c>
      <c r="AB362" s="13">
        <v>196</v>
      </c>
      <c r="AC362" s="13">
        <v>245</v>
      </c>
      <c r="AD362" s="13">
        <v>240</v>
      </c>
    </row>
    <row r="363" spans="1:30" ht="15.75" thickBot="1" x14ac:dyDescent="0.3">
      <c r="A363" s="9" t="s">
        <v>976</v>
      </c>
      <c r="B363" s="9" t="s">
        <v>977</v>
      </c>
      <c r="C363" s="45" t="str">
        <f t="shared" si="5"/>
        <v>N1WB E27407 UL1G1C</v>
      </c>
      <c r="D363" s="10" t="s">
        <v>999</v>
      </c>
      <c r="E363" s="10" t="s">
        <v>994</v>
      </c>
      <c r="F363" s="9" t="s">
        <v>261</v>
      </c>
      <c r="G363" s="9" t="s">
        <v>262</v>
      </c>
      <c r="H363" s="12">
        <v>40</v>
      </c>
      <c r="I363" s="12">
        <v>161</v>
      </c>
      <c r="J363" s="13">
        <v>68</v>
      </c>
      <c r="K363" s="13">
        <v>273</v>
      </c>
      <c r="L363" s="13">
        <v>196</v>
      </c>
      <c r="M363" s="13">
        <v>205</v>
      </c>
      <c r="N363" s="13">
        <v>206</v>
      </c>
      <c r="O363" s="13">
        <v>210</v>
      </c>
      <c r="P363" s="13">
        <v>190</v>
      </c>
      <c r="Q363" s="13">
        <v>129</v>
      </c>
      <c r="R363" s="13">
        <v>241</v>
      </c>
      <c r="S363" s="13">
        <v>252</v>
      </c>
      <c r="T363" s="13">
        <v>263</v>
      </c>
      <c r="U363" s="13">
        <v>177</v>
      </c>
      <c r="V363" s="13">
        <v>199</v>
      </c>
      <c r="W363" s="13">
        <v>240</v>
      </c>
      <c r="X363" s="13">
        <v>265</v>
      </c>
      <c r="Y363" s="13">
        <v>438</v>
      </c>
      <c r="Z363" s="13">
        <v>97</v>
      </c>
      <c r="AA363" s="13">
        <v>0</v>
      </c>
      <c r="AB363" s="13">
        <v>176</v>
      </c>
      <c r="AC363" s="13">
        <v>244</v>
      </c>
      <c r="AD363" s="13">
        <v>252</v>
      </c>
    </row>
    <row r="364" spans="1:30" ht="15.75" thickBot="1" x14ac:dyDescent="0.3">
      <c r="A364" s="9" t="s">
        <v>976</v>
      </c>
      <c r="B364" s="9" t="s">
        <v>977</v>
      </c>
      <c r="C364" s="45" t="str">
        <f t="shared" si="5"/>
        <v>N1WB E27407 UL1G1E</v>
      </c>
      <c r="D364" s="10" t="s">
        <v>1000</v>
      </c>
      <c r="E364" s="10" t="s">
        <v>994</v>
      </c>
      <c r="F364" s="9" t="s">
        <v>261</v>
      </c>
      <c r="G364" s="9" t="s">
        <v>262</v>
      </c>
      <c r="H364" s="12">
        <v>40</v>
      </c>
      <c r="I364" s="12">
        <v>274</v>
      </c>
      <c r="J364" s="13">
        <v>33</v>
      </c>
      <c r="K364" s="13">
        <v>390</v>
      </c>
      <c r="L364" s="13">
        <v>270</v>
      </c>
      <c r="M364" s="13">
        <v>234</v>
      </c>
      <c r="N364" s="13">
        <v>304</v>
      </c>
      <c r="O364" s="13">
        <v>412</v>
      </c>
      <c r="P364" s="13">
        <v>262</v>
      </c>
      <c r="Q364" s="13">
        <v>196</v>
      </c>
      <c r="R364" s="13">
        <v>323</v>
      </c>
      <c r="S364" s="13">
        <v>376</v>
      </c>
      <c r="T364" s="13">
        <v>382</v>
      </c>
      <c r="U364" s="13">
        <v>288</v>
      </c>
      <c r="V364" s="13">
        <v>561</v>
      </c>
      <c r="W364" s="13">
        <v>685</v>
      </c>
      <c r="X364" s="13">
        <v>475</v>
      </c>
      <c r="Y364" s="13">
        <v>699</v>
      </c>
      <c r="Z364" s="13">
        <v>154</v>
      </c>
      <c r="AA364" s="13">
        <v>0</v>
      </c>
      <c r="AB364" s="13">
        <v>520</v>
      </c>
      <c r="AC364" s="13">
        <v>670</v>
      </c>
      <c r="AD364" s="13">
        <v>611</v>
      </c>
    </row>
    <row r="365" spans="1:30" ht="15.75" thickBot="1" x14ac:dyDescent="0.3">
      <c r="A365" s="9" t="s">
        <v>976</v>
      </c>
      <c r="B365" s="9" t="s">
        <v>977</v>
      </c>
      <c r="C365" s="45" t="str">
        <f t="shared" si="5"/>
        <v>N1WB E27407 UL3LU4</v>
      </c>
      <c r="D365" s="10" t="s">
        <v>1001</v>
      </c>
      <c r="E365" s="10" t="s">
        <v>994</v>
      </c>
      <c r="F365" s="9" t="s">
        <v>261</v>
      </c>
      <c r="G365" s="9" t="s">
        <v>262</v>
      </c>
      <c r="H365" s="12">
        <v>40</v>
      </c>
      <c r="I365" s="12">
        <v>21</v>
      </c>
      <c r="J365" s="13">
        <v>0</v>
      </c>
      <c r="K365" s="13">
        <v>42</v>
      </c>
      <c r="L365" s="13">
        <v>22</v>
      </c>
      <c r="M365" s="13">
        <v>22</v>
      </c>
      <c r="N365" s="13">
        <v>32</v>
      </c>
      <c r="O365" s="13">
        <v>48</v>
      </c>
      <c r="P365" s="13">
        <v>21</v>
      </c>
      <c r="Q365" s="13">
        <v>13</v>
      </c>
      <c r="R365" s="13">
        <v>16</v>
      </c>
      <c r="S365" s="13">
        <v>22</v>
      </c>
      <c r="T365" s="13">
        <v>25</v>
      </c>
      <c r="U365" s="13">
        <v>18</v>
      </c>
      <c r="V365" s="13">
        <v>25</v>
      </c>
      <c r="W365" s="13">
        <v>34</v>
      </c>
      <c r="X365" s="13">
        <v>23</v>
      </c>
      <c r="Y365" s="13">
        <v>42</v>
      </c>
      <c r="Z365" s="13">
        <v>8</v>
      </c>
      <c r="AA365" s="13">
        <v>0</v>
      </c>
      <c r="AB365" s="13">
        <v>28</v>
      </c>
      <c r="AC365" s="13">
        <v>31</v>
      </c>
      <c r="AD365" s="13">
        <v>24</v>
      </c>
    </row>
    <row r="366" spans="1:30" ht="15.75" thickBot="1" x14ac:dyDescent="0.3">
      <c r="A366" s="9" t="s">
        <v>976</v>
      </c>
      <c r="B366" s="9" t="s">
        <v>977</v>
      </c>
      <c r="C366" s="45" t="str">
        <f t="shared" si="5"/>
        <v>T1WB E23943 BB1HO8</v>
      </c>
      <c r="D366" s="10" t="s">
        <v>1002</v>
      </c>
      <c r="E366" s="10" t="s">
        <v>979</v>
      </c>
      <c r="F366" s="9" t="s">
        <v>261</v>
      </c>
      <c r="G366" s="9" t="s">
        <v>262</v>
      </c>
      <c r="H366" s="12">
        <v>40</v>
      </c>
      <c r="I366" s="8"/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2</v>
      </c>
      <c r="T366" s="13">
        <v>0</v>
      </c>
      <c r="U366" s="13">
        <v>0</v>
      </c>
      <c r="V366" s="13">
        <v>4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</row>
    <row r="367" spans="1:30" ht="15.75" thickBot="1" x14ac:dyDescent="0.3">
      <c r="A367" s="9" t="s">
        <v>976</v>
      </c>
      <c r="B367" s="9" t="s">
        <v>977</v>
      </c>
      <c r="C367" s="45" t="str">
        <f t="shared" si="5"/>
        <v>T1WB E23943 BB31Y5</v>
      </c>
      <c r="D367" s="10" t="s">
        <v>1003</v>
      </c>
      <c r="E367" s="10" t="s">
        <v>979</v>
      </c>
      <c r="F367" s="9" t="s">
        <v>261</v>
      </c>
      <c r="G367" s="9" t="s">
        <v>262</v>
      </c>
      <c r="H367" s="12">
        <v>40</v>
      </c>
      <c r="I367" s="8"/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4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</row>
    <row r="368" spans="1:30" ht="15.75" thickBot="1" x14ac:dyDescent="0.3">
      <c r="A368" s="9" t="s">
        <v>976</v>
      </c>
      <c r="B368" s="9" t="s">
        <v>977</v>
      </c>
      <c r="C368" s="45" t="str">
        <f t="shared" si="5"/>
        <v>T1WB E23943 CB1HO8</v>
      </c>
      <c r="D368" s="10" t="s">
        <v>1004</v>
      </c>
      <c r="E368" s="10" t="s">
        <v>979</v>
      </c>
      <c r="F368" s="9" t="s">
        <v>261</v>
      </c>
      <c r="G368" s="9" t="s">
        <v>262</v>
      </c>
      <c r="H368" s="12">
        <v>40</v>
      </c>
      <c r="I368" s="8"/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  <c r="P368" s="13">
        <v>0</v>
      </c>
      <c r="Q368" s="13">
        <v>0</v>
      </c>
      <c r="R368" s="13">
        <v>0</v>
      </c>
      <c r="S368" s="13">
        <v>0</v>
      </c>
      <c r="T368" s="13">
        <v>0</v>
      </c>
      <c r="U368" s="13">
        <v>0</v>
      </c>
      <c r="V368" s="13">
        <v>2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0</v>
      </c>
    </row>
    <row r="369" spans="1:30" ht="15.75" thickBot="1" x14ac:dyDescent="0.3">
      <c r="A369" s="9" t="s">
        <v>976</v>
      </c>
      <c r="B369" s="9" t="s">
        <v>977</v>
      </c>
      <c r="C369" s="45" t="str">
        <f t="shared" si="5"/>
        <v>T1WB E23943 CB31Y5</v>
      </c>
      <c r="D369" s="10" t="s">
        <v>1005</v>
      </c>
      <c r="E369" s="10" t="s">
        <v>979</v>
      </c>
      <c r="F369" s="9" t="s">
        <v>261</v>
      </c>
      <c r="G369" s="9" t="s">
        <v>262</v>
      </c>
      <c r="H369" s="12">
        <v>40</v>
      </c>
      <c r="I369" s="8"/>
      <c r="J369" s="13">
        <v>0</v>
      </c>
      <c r="K369" s="13">
        <v>0</v>
      </c>
      <c r="L369" s="13">
        <v>0</v>
      </c>
      <c r="M369" s="13">
        <v>0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  <c r="S369" s="13">
        <v>0</v>
      </c>
      <c r="T369" s="13">
        <v>0</v>
      </c>
      <c r="U369" s="13">
        <v>0</v>
      </c>
      <c r="V369" s="13">
        <v>2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0</v>
      </c>
    </row>
    <row r="370" spans="1:30" ht="15.75" thickBot="1" x14ac:dyDescent="0.3">
      <c r="A370" s="9" t="s">
        <v>976</v>
      </c>
      <c r="B370" s="9" t="s">
        <v>977</v>
      </c>
      <c r="C370" s="45" t="str">
        <f t="shared" si="5"/>
        <v>T1WB E23943 DB1HHY</v>
      </c>
      <c r="D370" s="10" t="s">
        <v>1006</v>
      </c>
      <c r="E370" s="10" t="s">
        <v>979</v>
      </c>
      <c r="F370" s="9" t="s">
        <v>261</v>
      </c>
      <c r="G370" s="9" t="s">
        <v>262</v>
      </c>
      <c r="H370" s="12">
        <v>40</v>
      </c>
      <c r="I370" s="8"/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  <c r="P370" s="13">
        <v>0</v>
      </c>
      <c r="Q370" s="13">
        <v>0</v>
      </c>
      <c r="R370" s="13">
        <v>0</v>
      </c>
      <c r="S370" s="13">
        <v>3</v>
      </c>
      <c r="T370" s="13">
        <v>0</v>
      </c>
      <c r="U370" s="13">
        <v>0</v>
      </c>
      <c r="V370" s="13">
        <v>8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0</v>
      </c>
    </row>
    <row r="371" spans="1:30" ht="15.75" thickBot="1" x14ac:dyDescent="0.3">
      <c r="A371" s="9" t="s">
        <v>976</v>
      </c>
      <c r="B371" s="9" t="s">
        <v>977</v>
      </c>
      <c r="C371" s="45" t="str">
        <f t="shared" si="5"/>
        <v>T1WB E23943 EA1G1C</v>
      </c>
      <c r="D371" s="10" t="s">
        <v>1007</v>
      </c>
      <c r="E371" s="10" t="s">
        <v>979</v>
      </c>
      <c r="F371" s="9" t="s">
        <v>261</v>
      </c>
      <c r="G371" s="9" t="s">
        <v>262</v>
      </c>
      <c r="H371" s="12">
        <v>40</v>
      </c>
      <c r="I371" s="8"/>
      <c r="J371" s="13">
        <v>0</v>
      </c>
      <c r="K371" s="13">
        <v>0</v>
      </c>
      <c r="L371" s="13">
        <v>0</v>
      </c>
      <c r="M371" s="13">
        <v>0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  <c r="S371" s="13">
        <v>0</v>
      </c>
      <c r="T371" s="13">
        <v>0</v>
      </c>
      <c r="U371" s="13">
        <v>0</v>
      </c>
      <c r="V371" s="13">
        <v>8</v>
      </c>
      <c r="W371" s="13">
        <v>1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0</v>
      </c>
    </row>
    <row r="372" spans="1:30" ht="15.75" thickBot="1" x14ac:dyDescent="0.3">
      <c r="A372" s="9" t="s">
        <v>976</v>
      </c>
      <c r="B372" s="9" t="s">
        <v>977</v>
      </c>
      <c r="C372" s="45" t="str">
        <f t="shared" si="5"/>
        <v>T1WB E23943 FA1HO8</v>
      </c>
      <c r="D372" s="10" t="s">
        <v>1008</v>
      </c>
      <c r="E372" s="10" t="s">
        <v>979</v>
      </c>
      <c r="F372" s="9" t="s">
        <v>261</v>
      </c>
      <c r="G372" s="9" t="s">
        <v>262</v>
      </c>
      <c r="H372" s="12">
        <v>40</v>
      </c>
      <c r="I372" s="8"/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2</v>
      </c>
      <c r="T372" s="13">
        <v>0</v>
      </c>
      <c r="U372" s="13">
        <v>0</v>
      </c>
      <c r="V372" s="13">
        <v>8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0</v>
      </c>
    </row>
    <row r="373" spans="1:30" ht="15.75" thickBot="1" x14ac:dyDescent="0.3">
      <c r="A373" s="9" t="s">
        <v>976</v>
      </c>
      <c r="B373" s="9" t="s">
        <v>977</v>
      </c>
      <c r="C373" s="45" t="str">
        <f t="shared" si="5"/>
        <v>T1WB E23943 FA31Y5</v>
      </c>
      <c r="D373" s="10" t="s">
        <v>1009</v>
      </c>
      <c r="E373" s="10" t="s">
        <v>979</v>
      </c>
      <c r="F373" s="9" t="s">
        <v>261</v>
      </c>
      <c r="G373" s="9" t="s">
        <v>262</v>
      </c>
      <c r="H373" s="12">
        <v>40</v>
      </c>
      <c r="I373" s="8"/>
      <c r="J373" s="13">
        <v>0</v>
      </c>
      <c r="K373" s="13">
        <v>0</v>
      </c>
      <c r="L373" s="13">
        <v>0</v>
      </c>
      <c r="M373" s="13">
        <v>0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0</v>
      </c>
      <c r="T373" s="13">
        <v>0</v>
      </c>
      <c r="U373" s="13">
        <v>0</v>
      </c>
      <c r="V373" s="13">
        <v>2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0</v>
      </c>
    </row>
    <row r="374" spans="1:30" ht="15.75" thickBot="1" x14ac:dyDescent="0.3">
      <c r="A374" s="9" t="s">
        <v>976</v>
      </c>
      <c r="B374" s="9" t="s">
        <v>977</v>
      </c>
      <c r="C374" s="45" t="str">
        <f t="shared" si="5"/>
        <v>T1WB E27407 BB1HO8</v>
      </c>
      <c r="D374" s="10" t="s">
        <v>1010</v>
      </c>
      <c r="E374" s="10" t="s">
        <v>994</v>
      </c>
      <c r="F374" s="9" t="s">
        <v>261</v>
      </c>
      <c r="G374" s="9" t="s">
        <v>262</v>
      </c>
      <c r="H374" s="12">
        <v>40</v>
      </c>
      <c r="I374" s="8"/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2</v>
      </c>
      <c r="T374" s="13">
        <v>0</v>
      </c>
      <c r="U374" s="13">
        <v>0</v>
      </c>
      <c r="V374" s="13">
        <v>4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</row>
    <row r="375" spans="1:30" ht="15.75" thickBot="1" x14ac:dyDescent="0.3">
      <c r="A375" s="9" t="s">
        <v>976</v>
      </c>
      <c r="B375" s="9" t="s">
        <v>977</v>
      </c>
      <c r="C375" s="45" t="str">
        <f t="shared" si="5"/>
        <v>T1WB E27407 BB31Y5</v>
      </c>
      <c r="D375" s="10" t="s">
        <v>1011</v>
      </c>
      <c r="E375" s="10" t="s">
        <v>994</v>
      </c>
      <c r="F375" s="9" t="s">
        <v>261</v>
      </c>
      <c r="G375" s="9" t="s">
        <v>262</v>
      </c>
      <c r="H375" s="12">
        <v>40</v>
      </c>
      <c r="I375" s="8"/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4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</row>
    <row r="376" spans="1:30" ht="15.75" thickBot="1" x14ac:dyDescent="0.3">
      <c r="A376" s="9" t="s">
        <v>976</v>
      </c>
      <c r="B376" s="9" t="s">
        <v>977</v>
      </c>
      <c r="C376" s="45" t="str">
        <f t="shared" si="5"/>
        <v>T1WB E27407 CB1HO8</v>
      </c>
      <c r="D376" s="10" t="s">
        <v>1012</v>
      </c>
      <c r="E376" s="10" t="s">
        <v>994</v>
      </c>
      <c r="F376" s="9" t="s">
        <v>261</v>
      </c>
      <c r="G376" s="9" t="s">
        <v>262</v>
      </c>
      <c r="H376" s="12">
        <v>40</v>
      </c>
      <c r="I376" s="8"/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2</v>
      </c>
      <c r="T376" s="13">
        <v>0</v>
      </c>
      <c r="U376" s="13">
        <v>0</v>
      </c>
      <c r="V376" s="13">
        <v>8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</row>
    <row r="377" spans="1:30" ht="15.75" thickBot="1" x14ac:dyDescent="0.3">
      <c r="A377" s="9" t="s">
        <v>976</v>
      </c>
      <c r="B377" s="9" t="s">
        <v>977</v>
      </c>
      <c r="C377" s="45" t="str">
        <f t="shared" si="5"/>
        <v>T1WB E27407 CB31Y5</v>
      </c>
      <c r="D377" s="10" t="s">
        <v>1013</v>
      </c>
      <c r="E377" s="10" t="s">
        <v>994</v>
      </c>
      <c r="F377" s="9" t="s">
        <v>261</v>
      </c>
      <c r="G377" s="9" t="s">
        <v>262</v>
      </c>
      <c r="H377" s="12">
        <v>40</v>
      </c>
      <c r="I377" s="8"/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3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</row>
    <row r="378" spans="1:30" ht="15.75" thickBot="1" x14ac:dyDescent="0.3">
      <c r="A378" s="9" t="s">
        <v>976</v>
      </c>
      <c r="B378" s="9" t="s">
        <v>977</v>
      </c>
      <c r="C378" s="45" t="str">
        <f t="shared" si="5"/>
        <v>T1WB E27407 DB1HHY</v>
      </c>
      <c r="D378" s="10" t="s">
        <v>1014</v>
      </c>
      <c r="E378" s="10" t="s">
        <v>994</v>
      </c>
      <c r="F378" s="9" t="s">
        <v>261</v>
      </c>
      <c r="G378" s="9" t="s">
        <v>262</v>
      </c>
      <c r="H378" s="12">
        <v>40</v>
      </c>
      <c r="I378" s="8"/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3</v>
      </c>
      <c r="T378" s="13">
        <v>0</v>
      </c>
      <c r="U378" s="13">
        <v>0</v>
      </c>
      <c r="V378" s="13">
        <v>8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</row>
    <row r="379" spans="1:30" ht="15.75" thickBot="1" x14ac:dyDescent="0.3">
      <c r="A379" s="9" t="s">
        <v>976</v>
      </c>
      <c r="B379" s="9" t="s">
        <v>1015</v>
      </c>
      <c r="C379" s="45" t="str">
        <f t="shared" si="5"/>
        <v>N1WB E23942 BJ1G1E</v>
      </c>
      <c r="D379" s="10" t="s">
        <v>1016</v>
      </c>
      <c r="E379" s="10" t="s">
        <v>1017</v>
      </c>
      <c r="F379" s="9" t="s">
        <v>261</v>
      </c>
      <c r="G379" s="9" t="s">
        <v>262</v>
      </c>
      <c r="H379" s="12">
        <v>40</v>
      </c>
      <c r="I379" s="8"/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2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</row>
    <row r="380" spans="1:30" ht="15.75" thickBot="1" x14ac:dyDescent="0.3">
      <c r="A380" s="9" t="s">
        <v>976</v>
      </c>
      <c r="B380" s="9" t="s">
        <v>1015</v>
      </c>
      <c r="C380" s="45" t="str">
        <f t="shared" si="5"/>
        <v>N1WB E23942 BK1G1C</v>
      </c>
      <c r="D380" s="10" t="s">
        <v>1018</v>
      </c>
      <c r="E380" s="10" t="s">
        <v>1017</v>
      </c>
      <c r="F380" s="9" t="s">
        <v>261</v>
      </c>
      <c r="G380" s="9" t="s">
        <v>262</v>
      </c>
      <c r="H380" s="12">
        <v>40</v>
      </c>
      <c r="I380" s="12">
        <v>72</v>
      </c>
      <c r="J380" s="13">
        <v>53</v>
      </c>
      <c r="K380" s="13">
        <v>131</v>
      </c>
      <c r="L380" s="13">
        <v>93</v>
      </c>
      <c r="M380" s="13">
        <v>86</v>
      </c>
      <c r="N380" s="13">
        <v>79</v>
      </c>
      <c r="O380" s="13">
        <v>94</v>
      </c>
      <c r="P380" s="13">
        <v>75</v>
      </c>
      <c r="Q380" s="13">
        <v>67</v>
      </c>
      <c r="R380" s="13">
        <v>86</v>
      </c>
      <c r="S380" s="13">
        <v>111</v>
      </c>
      <c r="T380" s="13">
        <v>111</v>
      </c>
      <c r="U380" s="13">
        <v>80</v>
      </c>
      <c r="V380" s="13">
        <v>132</v>
      </c>
      <c r="W380" s="13">
        <v>139</v>
      </c>
      <c r="X380" s="13">
        <v>67</v>
      </c>
      <c r="Y380" s="13">
        <v>7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</row>
    <row r="381" spans="1:30" ht="15.75" thickBot="1" x14ac:dyDescent="0.3">
      <c r="A381" s="9" t="s">
        <v>976</v>
      </c>
      <c r="B381" s="9" t="s">
        <v>1015</v>
      </c>
      <c r="C381" s="45" t="str">
        <f t="shared" si="5"/>
        <v>N1WB E23942 BK1G1E</v>
      </c>
      <c r="D381" s="10" t="s">
        <v>1019</v>
      </c>
      <c r="E381" s="10" t="s">
        <v>1017</v>
      </c>
      <c r="F381" s="9" t="s">
        <v>261</v>
      </c>
      <c r="G381" s="9" t="s">
        <v>262</v>
      </c>
      <c r="H381" s="12">
        <v>40</v>
      </c>
      <c r="I381" s="12">
        <v>65</v>
      </c>
      <c r="J381" s="13">
        <v>47</v>
      </c>
      <c r="K381" s="13">
        <v>93</v>
      </c>
      <c r="L381" s="13">
        <v>68</v>
      </c>
      <c r="M381" s="13">
        <v>40</v>
      </c>
      <c r="N381" s="13">
        <v>56</v>
      </c>
      <c r="O381" s="13">
        <v>116</v>
      </c>
      <c r="P381" s="13">
        <v>88</v>
      </c>
      <c r="Q381" s="13">
        <v>56</v>
      </c>
      <c r="R381" s="13">
        <v>100</v>
      </c>
      <c r="S381" s="13">
        <v>124</v>
      </c>
      <c r="T381" s="13">
        <v>116</v>
      </c>
      <c r="U381" s="13">
        <v>100</v>
      </c>
      <c r="V381" s="13">
        <v>184</v>
      </c>
      <c r="W381" s="13">
        <v>184</v>
      </c>
      <c r="X381" s="13">
        <v>76</v>
      </c>
      <c r="Y381" s="13">
        <v>7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</row>
    <row r="382" spans="1:30" ht="15.75" thickBot="1" x14ac:dyDescent="0.3">
      <c r="A382" s="9" t="s">
        <v>976</v>
      </c>
      <c r="B382" s="9" t="s">
        <v>1015</v>
      </c>
      <c r="C382" s="45" t="str">
        <f t="shared" si="5"/>
        <v>N1WB E23942 BK3LU4</v>
      </c>
      <c r="D382" s="10" t="s">
        <v>1020</v>
      </c>
      <c r="E382" s="10" t="s">
        <v>1017</v>
      </c>
      <c r="F382" s="9" t="s">
        <v>261</v>
      </c>
      <c r="G382" s="9" t="s">
        <v>262</v>
      </c>
      <c r="H382" s="12">
        <v>40</v>
      </c>
      <c r="I382" s="12">
        <v>34</v>
      </c>
      <c r="J382" s="13">
        <v>0</v>
      </c>
      <c r="K382" s="13">
        <v>17</v>
      </c>
      <c r="L382" s="13">
        <v>20</v>
      </c>
      <c r="M382" s="13">
        <v>16</v>
      </c>
      <c r="N382" s="13">
        <v>28</v>
      </c>
      <c r="O382" s="13">
        <v>32</v>
      </c>
      <c r="P382" s="13">
        <v>20</v>
      </c>
      <c r="Q382" s="13">
        <v>0</v>
      </c>
      <c r="R382" s="13">
        <v>16</v>
      </c>
      <c r="S382" s="13">
        <v>16</v>
      </c>
      <c r="T382" s="13">
        <v>16</v>
      </c>
      <c r="U382" s="13">
        <v>16</v>
      </c>
      <c r="V382" s="13">
        <v>16</v>
      </c>
      <c r="W382" s="13">
        <v>16</v>
      </c>
      <c r="X382" s="13">
        <v>2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</row>
    <row r="383" spans="1:30" ht="15.75" thickBot="1" x14ac:dyDescent="0.3">
      <c r="A383" s="9" t="s">
        <v>976</v>
      </c>
      <c r="B383" s="9" t="s">
        <v>1015</v>
      </c>
      <c r="C383" s="45" t="str">
        <f t="shared" si="5"/>
        <v>N1WB E23942 BL1G1C</v>
      </c>
      <c r="D383" s="10" t="s">
        <v>1021</v>
      </c>
      <c r="E383" s="10" t="s">
        <v>1017</v>
      </c>
      <c r="F383" s="9" t="s">
        <v>261</v>
      </c>
      <c r="G383" s="9" t="s">
        <v>262</v>
      </c>
      <c r="H383" s="12">
        <v>40</v>
      </c>
      <c r="I383" s="12">
        <v>6</v>
      </c>
      <c r="J383" s="13">
        <v>0</v>
      </c>
      <c r="K383" s="13">
        <v>0</v>
      </c>
      <c r="L383" s="13">
        <v>0</v>
      </c>
      <c r="M383" s="13">
        <v>0</v>
      </c>
      <c r="N383" s="13">
        <v>0</v>
      </c>
      <c r="O383" s="13">
        <v>0</v>
      </c>
      <c r="P383" s="13">
        <v>0</v>
      </c>
      <c r="Q383" s="13">
        <v>0</v>
      </c>
      <c r="R383" s="13">
        <v>0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73</v>
      </c>
      <c r="Y383" s="13">
        <v>199</v>
      </c>
      <c r="Z383" s="13">
        <v>45</v>
      </c>
      <c r="AA383" s="13">
        <v>0</v>
      </c>
      <c r="AB383" s="13">
        <v>104</v>
      </c>
      <c r="AC383" s="13">
        <v>134</v>
      </c>
      <c r="AD383" s="13">
        <v>128</v>
      </c>
    </row>
    <row r="384" spans="1:30" ht="15.75" thickBot="1" x14ac:dyDescent="0.3">
      <c r="A384" s="9" t="s">
        <v>976</v>
      </c>
      <c r="B384" s="9" t="s">
        <v>1015</v>
      </c>
      <c r="C384" s="45" t="str">
        <f t="shared" si="5"/>
        <v>N1WB E23942 BL1G1E</v>
      </c>
      <c r="D384" s="10" t="s">
        <v>1022</v>
      </c>
      <c r="E384" s="10" t="s">
        <v>1017</v>
      </c>
      <c r="F384" s="9" t="s">
        <v>261</v>
      </c>
      <c r="G384" s="9" t="s">
        <v>262</v>
      </c>
      <c r="H384" s="12">
        <v>40</v>
      </c>
      <c r="I384" s="12">
        <v>2</v>
      </c>
      <c r="J384" s="13">
        <v>0</v>
      </c>
      <c r="K384" s="13">
        <v>0</v>
      </c>
      <c r="L384" s="13">
        <v>0</v>
      </c>
      <c r="M384" s="13">
        <v>0</v>
      </c>
      <c r="N384" s="13">
        <v>0</v>
      </c>
      <c r="O384" s="13">
        <v>0</v>
      </c>
      <c r="P384" s="13">
        <v>0</v>
      </c>
      <c r="Q384" s="13">
        <v>0</v>
      </c>
      <c r="R384" s="13">
        <v>0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78</v>
      </c>
      <c r="Y384" s="13">
        <v>236</v>
      </c>
      <c r="Z384" s="13">
        <v>52</v>
      </c>
      <c r="AA384" s="13">
        <v>0</v>
      </c>
      <c r="AB384" s="13">
        <v>168</v>
      </c>
      <c r="AC384" s="13">
        <v>184</v>
      </c>
      <c r="AD384" s="13">
        <v>160</v>
      </c>
    </row>
    <row r="385" spans="1:30" ht="15.75" thickBot="1" x14ac:dyDescent="0.3">
      <c r="A385" s="9" t="s">
        <v>976</v>
      </c>
      <c r="B385" s="9" t="s">
        <v>1015</v>
      </c>
      <c r="C385" s="45" t="str">
        <f t="shared" si="5"/>
        <v>N1WB E23942 BL3LU4</v>
      </c>
      <c r="D385" s="10" t="s">
        <v>1023</v>
      </c>
      <c r="E385" s="10" t="s">
        <v>1017</v>
      </c>
      <c r="F385" s="9" t="s">
        <v>261</v>
      </c>
      <c r="G385" s="9" t="s">
        <v>262</v>
      </c>
      <c r="H385" s="12">
        <v>40</v>
      </c>
      <c r="I385" s="8"/>
      <c r="J385" s="13">
        <v>0</v>
      </c>
      <c r="K385" s="13">
        <v>0</v>
      </c>
      <c r="L385" s="13">
        <v>0</v>
      </c>
      <c r="M385" s="13">
        <v>0</v>
      </c>
      <c r="N385" s="13">
        <v>0</v>
      </c>
      <c r="O385" s="13">
        <v>0</v>
      </c>
      <c r="P385" s="13">
        <v>2</v>
      </c>
      <c r="Q385" s="13">
        <v>0</v>
      </c>
      <c r="R385" s="13">
        <v>0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28</v>
      </c>
      <c r="Y385" s="13">
        <v>20</v>
      </c>
      <c r="Z385" s="13">
        <v>0</v>
      </c>
      <c r="AA385" s="13">
        <v>0</v>
      </c>
      <c r="AB385" s="13">
        <v>28</v>
      </c>
      <c r="AC385" s="13">
        <v>32</v>
      </c>
      <c r="AD385" s="13">
        <v>20</v>
      </c>
    </row>
    <row r="386" spans="1:30" ht="15.75" thickBot="1" x14ac:dyDescent="0.3">
      <c r="A386" s="9" t="s">
        <v>976</v>
      </c>
      <c r="B386" s="9" t="s">
        <v>1015</v>
      </c>
      <c r="C386" s="45" t="str">
        <f t="shared" si="5"/>
        <v>N1WB E23942 HF3ZHE</v>
      </c>
      <c r="D386" s="10" t="s">
        <v>1024</v>
      </c>
      <c r="E386" s="10" t="s">
        <v>1017</v>
      </c>
      <c r="F386" s="9" t="s">
        <v>261</v>
      </c>
      <c r="G386" s="9" t="s">
        <v>262</v>
      </c>
      <c r="H386" s="12">
        <v>40</v>
      </c>
      <c r="I386" s="12">
        <v>375</v>
      </c>
      <c r="J386" s="13">
        <v>57</v>
      </c>
      <c r="K386" s="13">
        <v>490</v>
      </c>
      <c r="L386" s="13">
        <v>194</v>
      </c>
      <c r="M386" s="13">
        <v>346</v>
      </c>
      <c r="N386" s="13">
        <v>479</v>
      </c>
      <c r="O386" s="13">
        <v>484</v>
      </c>
      <c r="P386" s="13">
        <v>289</v>
      </c>
      <c r="Q386" s="13">
        <v>237</v>
      </c>
      <c r="R386" s="13">
        <v>335</v>
      </c>
      <c r="S386" s="13">
        <v>403</v>
      </c>
      <c r="T386" s="13">
        <v>415</v>
      </c>
      <c r="U386" s="13">
        <v>283</v>
      </c>
      <c r="V386" s="13">
        <v>496</v>
      </c>
      <c r="W386" s="13">
        <v>520</v>
      </c>
      <c r="X386" s="13">
        <v>457</v>
      </c>
      <c r="Y386" s="13">
        <v>742</v>
      </c>
      <c r="Z386" s="13">
        <v>161</v>
      </c>
      <c r="AA386" s="13">
        <v>0</v>
      </c>
      <c r="AB386" s="13">
        <v>452</v>
      </c>
      <c r="AC386" s="13">
        <v>559</v>
      </c>
      <c r="AD386" s="13">
        <v>508</v>
      </c>
    </row>
    <row r="387" spans="1:30" ht="15.75" thickBot="1" x14ac:dyDescent="0.3">
      <c r="A387" s="9" t="s">
        <v>976</v>
      </c>
      <c r="B387" s="9" t="s">
        <v>1015</v>
      </c>
      <c r="C387" s="45" t="str">
        <f t="shared" si="5"/>
        <v>N1WB E23942 SE1G1E</v>
      </c>
      <c r="D387" s="10" t="s">
        <v>1025</v>
      </c>
      <c r="E387" s="10" t="s">
        <v>1017</v>
      </c>
      <c r="F387" s="9" t="s">
        <v>261</v>
      </c>
      <c r="G387" s="9" t="s">
        <v>262</v>
      </c>
      <c r="H387" s="11">
        <v>25.714200000000002</v>
      </c>
      <c r="I387" s="8"/>
      <c r="J387" s="13">
        <v>5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</row>
    <row r="388" spans="1:30" ht="15.75" thickBot="1" x14ac:dyDescent="0.3">
      <c r="A388" s="9" t="s">
        <v>976</v>
      </c>
      <c r="B388" s="9" t="s">
        <v>1015</v>
      </c>
      <c r="C388" s="45" t="str">
        <f t="shared" si="5"/>
        <v>N1WB E23942 SF1G1C</v>
      </c>
      <c r="D388" s="10" t="s">
        <v>1026</v>
      </c>
      <c r="E388" s="10" t="s">
        <v>1017</v>
      </c>
      <c r="F388" s="9" t="s">
        <v>261</v>
      </c>
      <c r="G388" s="9" t="s">
        <v>262</v>
      </c>
      <c r="H388" s="12">
        <v>40</v>
      </c>
      <c r="I388" s="12">
        <v>136</v>
      </c>
      <c r="J388" s="13">
        <v>95</v>
      </c>
      <c r="K388" s="13">
        <v>273</v>
      </c>
      <c r="L388" s="13">
        <v>196</v>
      </c>
      <c r="M388" s="13">
        <v>209</v>
      </c>
      <c r="N388" s="13">
        <v>204</v>
      </c>
      <c r="O388" s="13">
        <v>209</v>
      </c>
      <c r="P388" s="13">
        <v>190</v>
      </c>
      <c r="Q388" s="13">
        <v>129</v>
      </c>
      <c r="R388" s="13">
        <v>241</v>
      </c>
      <c r="S388" s="13">
        <v>251</v>
      </c>
      <c r="T388" s="13">
        <v>263</v>
      </c>
      <c r="U388" s="13">
        <v>178</v>
      </c>
      <c r="V388" s="13">
        <v>198</v>
      </c>
      <c r="W388" s="13">
        <v>241</v>
      </c>
      <c r="X388" s="13">
        <v>265</v>
      </c>
      <c r="Y388" s="13">
        <v>438</v>
      </c>
      <c r="Z388" s="13">
        <v>97</v>
      </c>
      <c r="AA388" s="13">
        <v>0</v>
      </c>
      <c r="AB388" s="13">
        <v>176</v>
      </c>
      <c r="AC388" s="13">
        <v>243</v>
      </c>
      <c r="AD388" s="13">
        <v>253</v>
      </c>
    </row>
    <row r="389" spans="1:30" ht="15.75" thickBot="1" x14ac:dyDescent="0.3">
      <c r="A389" s="9" t="s">
        <v>976</v>
      </c>
      <c r="B389" s="9" t="s">
        <v>1015</v>
      </c>
      <c r="C389" s="45" t="str">
        <f t="shared" si="5"/>
        <v>N1WB E23942 SF1G1E</v>
      </c>
      <c r="D389" s="10" t="s">
        <v>1027</v>
      </c>
      <c r="E389" s="10" t="s">
        <v>1017</v>
      </c>
      <c r="F389" s="9" t="s">
        <v>261</v>
      </c>
      <c r="G389" s="9" t="s">
        <v>262</v>
      </c>
      <c r="H389" s="12">
        <v>40</v>
      </c>
      <c r="I389" s="12">
        <v>267</v>
      </c>
      <c r="J389" s="13">
        <v>41</v>
      </c>
      <c r="K389" s="13">
        <v>393</v>
      </c>
      <c r="L389" s="13">
        <v>270</v>
      </c>
      <c r="M389" s="13">
        <v>234</v>
      </c>
      <c r="N389" s="13">
        <v>304</v>
      </c>
      <c r="O389" s="13">
        <v>412</v>
      </c>
      <c r="P389" s="13">
        <v>262</v>
      </c>
      <c r="Q389" s="13">
        <v>196</v>
      </c>
      <c r="R389" s="13">
        <v>323</v>
      </c>
      <c r="S389" s="13">
        <v>379</v>
      </c>
      <c r="T389" s="13">
        <v>382</v>
      </c>
      <c r="U389" s="13">
        <v>288</v>
      </c>
      <c r="V389" s="13">
        <v>561</v>
      </c>
      <c r="W389" s="13">
        <v>685</v>
      </c>
      <c r="X389" s="13">
        <v>475</v>
      </c>
      <c r="Y389" s="13">
        <v>699</v>
      </c>
      <c r="Z389" s="13">
        <v>154</v>
      </c>
      <c r="AA389" s="13">
        <v>0</v>
      </c>
      <c r="AB389" s="13">
        <v>520</v>
      </c>
      <c r="AC389" s="13">
        <v>670</v>
      </c>
      <c r="AD389" s="13">
        <v>611</v>
      </c>
    </row>
    <row r="390" spans="1:30" ht="15.75" thickBot="1" x14ac:dyDescent="0.3">
      <c r="A390" s="9" t="s">
        <v>976</v>
      </c>
      <c r="B390" s="9" t="s">
        <v>1015</v>
      </c>
      <c r="C390" s="45" t="str">
        <f t="shared" ref="C390:C453" si="6">TRIM(D390)</f>
        <v>N1WB E23942 SF3LU4</v>
      </c>
      <c r="D390" s="10" t="s">
        <v>1028</v>
      </c>
      <c r="E390" s="10" t="s">
        <v>1017</v>
      </c>
      <c r="F390" s="9" t="s">
        <v>261</v>
      </c>
      <c r="G390" s="9" t="s">
        <v>262</v>
      </c>
      <c r="H390" s="12">
        <v>40</v>
      </c>
      <c r="I390" s="12">
        <v>22</v>
      </c>
      <c r="J390" s="13">
        <v>0</v>
      </c>
      <c r="K390" s="13">
        <v>38</v>
      </c>
      <c r="L390" s="13">
        <v>22</v>
      </c>
      <c r="M390" s="13">
        <v>22</v>
      </c>
      <c r="N390" s="13">
        <v>32</v>
      </c>
      <c r="O390" s="13">
        <v>48</v>
      </c>
      <c r="P390" s="13">
        <v>21</v>
      </c>
      <c r="Q390" s="13">
        <v>13</v>
      </c>
      <c r="R390" s="13">
        <v>16</v>
      </c>
      <c r="S390" s="13">
        <v>22</v>
      </c>
      <c r="T390" s="13">
        <v>25</v>
      </c>
      <c r="U390" s="13">
        <v>18</v>
      </c>
      <c r="V390" s="13">
        <v>25</v>
      </c>
      <c r="W390" s="13">
        <v>34</v>
      </c>
      <c r="X390" s="13">
        <v>23</v>
      </c>
      <c r="Y390" s="13">
        <v>42</v>
      </c>
      <c r="Z390" s="13">
        <v>8</v>
      </c>
      <c r="AA390" s="13">
        <v>0</v>
      </c>
      <c r="AB390" s="13">
        <v>28</v>
      </c>
      <c r="AC390" s="13">
        <v>31</v>
      </c>
      <c r="AD390" s="13">
        <v>24</v>
      </c>
    </row>
    <row r="391" spans="1:30" ht="15.75" thickBot="1" x14ac:dyDescent="0.3">
      <c r="A391" s="9" t="s">
        <v>976</v>
      </c>
      <c r="B391" s="9" t="s">
        <v>1015</v>
      </c>
      <c r="C391" s="45" t="str">
        <f t="shared" si="6"/>
        <v>N1WB E23942 TK1G1C</v>
      </c>
      <c r="D391" s="10" t="s">
        <v>1029</v>
      </c>
      <c r="E391" s="10" t="s">
        <v>1017</v>
      </c>
      <c r="F391" s="9" t="s">
        <v>261</v>
      </c>
      <c r="G391" s="9" t="s">
        <v>262</v>
      </c>
      <c r="H391" s="12">
        <v>40</v>
      </c>
      <c r="I391" s="12">
        <v>181</v>
      </c>
      <c r="J391" s="13">
        <v>0</v>
      </c>
      <c r="K391" s="13">
        <v>244</v>
      </c>
      <c r="L391" s="13">
        <v>152</v>
      </c>
      <c r="M391" s="13">
        <v>154</v>
      </c>
      <c r="N391" s="13">
        <v>106</v>
      </c>
      <c r="O391" s="13">
        <v>87</v>
      </c>
      <c r="P391" s="13">
        <v>216</v>
      </c>
      <c r="Q391" s="13">
        <v>244</v>
      </c>
      <c r="R391" s="13">
        <v>247</v>
      </c>
      <c r="S391" s="13">
        <v>250</v>
      </c>
      <c r="T391" s="13">
        <v>243</v>
      </c>
      <c r="U391" s="13">
        <v>170</v>
      </c>
      <c r="V391" s="13">
        <v>233</v>
      </c>
      <c r="W391" s="13">
        <v>246</v>
      </c>
      <c r="X391" s="13">
        <v>169</v>
      </c>
      <c r="Y391" s="13">
        <v>28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</row>
    <row r="392" spans="1:30" ht="15.75" thickBot="1" x14ac:dyDescent="0.3">
      <c r="A392" s="9" t="s">
        <v>976</v>
      </c>
      <c r="B392" s="9" t="s">
        <v>1015</v>
      </c>
      <c r="C392" s="45" t="str">
        <f t="shared" si="6"/>
        <v>N1WB E23942 TL1G1C</v>
      </c>
      <c r="D392" s="10" t="s">
        <v>1030</v>
      </c>
      <c r="E392" s="10" t="s">
        <v>1017</v>
      </c>
      <c r="F392" s="9" t="s">
        <v>261</v>
      </c>
      <c r="G392" s="9" t="s">
        <v>262</v>
      </c>
      <c r="H392" s="12">
        <v>40</v>
      </c>
      <c r="I392" s="8"/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3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2</v>
      </c>
      <c r="W392" s="13">
        <v>0</v>
      </c>
      <c r="X392" s="13">
        <v>92</v>
      </c>
      <c r="Y392" s="13">
        <v>368</v>
      </c>
      <c r="Z392" s="13">
        <v>84</v>
      </c>
      <c r="AA392" s="13">
        <v>0</v>
      </c>
      <c r="AB392" s="13">
        <v>192</v>
      </c>
      <c r="AC392" s="13">
        <v>240</v>
      </c>
      <c r="AD392" s="13">
        <v>240</v>
      </c>
    </row>
    <row r="393" spans="1:30" ht="15.75" thickBot="1" x14ac:dyDescent="0.3">
      <c r="A393" s="9" t="s">
        <v>976</v>
      </c>
      <c r="B393" s="9" t="s">
        <v>1015</v>
      </c>
      <c r="C393" s="45" t="str">
        <f t="shared" si="6"/>
        <v>N1WB E27406 CL3ZHE</v>
      </c>
      <c r="D393" s="10" t="s">
        <v>1031</v>
      </c>
      <c r="E393" s="10" t="s">
        <v>1032</v>
      </c>
      <c r="F393" s="9" t="s">
        <v>261</v>
      </c>
      <c r="G393" s="9" t="s">
        <v>262</v>
      </c>
      <c r="H393" s="12">
        <v>40</v>
      </c>
      <c r="I393" s="12">
        <v>379</v>
      </c>
      <c r="J393" s="13">
        <v>31</v>
      </c>
      <c r="K393" s="13">
        <v>488</v>
      </c>
      <c r="L393" s="13">
        <v>194</v>
      </c>
      <c r="M393" s="13">
        <v>348</v>
      </c>
      <c r="N393" s="13">
        <v>476</v>
      </c>
      <c r="O393" s="13">
        <v>482</v>
      </c>
      <c r="P393" s="13">
        <v>292</v>
      </c>
      <c r="Q393" s="13">
        <v>237</v>
      </c>
      <c r="R393" s="13">
        <v>335</v>
      </c>
      <c r="S393" s="13">
        <v>400</v>
      </c>
      <c r="T393" s="13">
        <v>418</v>
      </c>
      <c r="U393" s="13">
        <v>283</v>
      </c>
      <c r="V393" s="13">
        <v>496</v>
      </c>
      <c r="W393" s="13">
        <v>520</v>
      </c>
      <c r="X393" s="13">
        <v>458</v>
      </c>
      <c r="Y393" s="13">
        <v>741</v>
      </c>
      <c r="Z393" s="13">
        <v>161</v>
      </c>
      <c r="AA393" s="13">
        <v>0</v>
      </c>
      <c r="AB393" s="13">
        <v>452</v>
      </c>
      <c r="AC393" s="13">
        <v>559</v>
      </c>
      <c r="AD393" s="13">
        <v>508</v>
      </c>
    </row>
    <row r="394" spans="1:30" ht="15.75" thickBot="1" x14ac:dyDescent="0.3">
      <c r="A394" s="9" t="s">
        <v>976</v>
      </c>
      <c r="B394" s="9" t="s">
        <v>1015</v>
      </c>
      <c r="C394" s="45" t="str">
        <f t="shared" si="6"/>
        <v>N1WB E27406 RL1G1E</v>
      </c>
      <c r="D394" s="10" t="s">
        <v>1033</v>
      </c>
      <c r="E394" s="10" t="s">
        <v>1032</v>
      </c>
      <c r="F394" s="9" t="s">
        <v>261</v>
      </c>
      <c r="G394" s="9" t="s">
        <v>262</v>
      </c>
      <c r="H394" s="12">
        <v>40</v>
      </c>
      <c r="I394" s="8"/>
      <c r="J394" s="13">
        <v>1</v>
      </c>
      <c r="K394" s="13">
        <v>1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</row>
    <row r="395" spans="1:30" ht="15.75" thickBot="1" x14ac:dyDescent="0.3">
      <c r="A395" s="9" t="s">
        <v>976</v>
      </c>
      <c r="B395" s="9" t="s">
        <v>1015</v>
      </c>
      <c r="C395" s="45" t="str">
        <f t="shared" si="6"/>
        <v>N1WB E27406 RP1G1C</v>
      </c>
      <c r="D395" s="10" t="s">
        <v>1034</v>
      </c>
      <c r="E395" s="10" t="s">
        <v>1032</v>
      </c>
      <c r="F395" s="9" t="s">
        <v>261</v>
      </c>
      <c r="G395" s="9" t="s">
        <v>262</v>
      </c>
      <c r="H395" s="12">
        <v>40</v>
      </c>
      <c r="I395" s="12">
        <v>71</v>
      </c>
      <c r="J395" s="13">
        <v>48</v>
      </c>
      <c r="K395" s="13">
        <v>131</v>
      </c>
      <c r="L395" s="13">
        <v>93</v>
      </c>
      <c r="M395" s="13">
        <v>86</v>
      </c>
      <c r="N395" s="13">
        <v>79</v>
      </c>
      <c r="O395" s="13">
        <v>94</v>
      </c>
      <c r="P395" s="13">
        <v>75</v>
      </c>
      <c r="Q395" s="13">
        <v>67</v>
      </c>
      <c r="R395" s="13">
        <v>86</v>
      </c>
      <c r="S395" s="13">
        <v>111</v>
      </c>
      <c r="T395" s="13">
        <v>111</v>
      </c>
      <c r="U395" s="13">
        <v>80</v>
      </c>
      <c r="V395" s="13">
        <v>132</v>
      </c>
      <c r="W395" s="13">
        <v>139</v>
      </c>
      <c r="X395" s="13">
        <v>143</v>
      </c>
      <c r="Y395" s="13">
        <v>206</v>
      </c>
      <c r="Z395" s="13">
        <v>45</v>
      </c>
      <c r="AA395" s="13">
        <v>0</v>
      </c>
      <c r="AB395" s="13">
        <v>104</v>
      </c>
      <c r="AC395" s="13">
        <v>134</v>
      </c>
      <c r="AD395" s="13">
        <v>128</v>
      </c>
    </row>
    <row r="396" spans="1:30" ht="15.75" thickBot="1" x14ac:dyDescent="0.3">
      <c r="A396" s="9" t="s">
        <v>976</v>
      </c>
      <c r="B396" s="9" t="s">
        <v>1015</v>
      </c>
      <c r="C396" s="45" t="str">
        <f t="shared" si="6"/>
        <v>N1WB E27406 RP1G1E</v>
      </c>
      <c r="D396" s="10" t="s">
        <v>1035</v>
      </c>
      <c r="E396" s="10" t="s">
        <v>1032</v>
      </c>
      <c r="F396" s="9" t="s">
        <v>261</v>
      </c>
      <c r="G396" s="9" t="s">
        <v>262</v>
      </c>
      <c r="H396" s="12">
        <v>40</v>
      </c>
      <c r="I396" s="12">
        <v>63</v>
      </c>
      <c r="J396" s="13">
        <v>33</v>
      </c>
      <c r="K396" s="13">
        <v>109</v>
      </c>
      <c r="L396" s="13">
        <v>56</v>
      </c>
      <c r="M396" s="13">
        <v>48</v>
      </c>
      <c r="N396" s="13">
        <v>60</v>
      </c>
      <c r="O396" s="13">
        <v>104</v>
      </c>
      <c r="P396" s="13">
        <v>100</v>
      </c>
      <c r="Q396" s="13">
        <v>56</v>
      </c>
      <c r="R396" s="13">
        <v>100</v>
      </c>
      <c r="S396" s="13">
        <v>124</v>
      </c>
      <c r="T396" s="13">
        <v>116</v>
      </c>
      <c r="U396" s="13">
        <v>100</v>
      </c>
      <c r="V396" s="13">
        <v>184</v>
      </c>
      <c r="W396" s="13">
        <v>184</v>
      </c>
      <c r="X396" s="13">
        <v>148</v>
      </c>
      <c r="Y396" s="13">
        <v>248</v>
      </c>
      <c r="Z396" s="13">
        <v>52</v>
      </c>
      <c r="AA396" s="13">
        <v>0</v>
      </c>
      <c r="AB396" s="13">
        <v>168</v>
      </c>
      <c r="AC396" s="13">
        <v>184</v>
      </c>
      <c r="AD396" s="13">
        <v>160</v>
      </c>
    </row>
    <row r="397" spans="1:30" ht="15.75" thickBot="1" x14ac:dyDescent="0.3">
      <c r="A397" s="9" t="s">
        <v>976</v>
      </c>
      <c r="B397" s="9" t="s">
        <v>1015</v>
      </c>
      <c r="C397" s="45" t="str">
        <f t="shared" si="6"/>
        <v>N1WB E27406 RP3LU4</v>
      </c>
      <c r="D397" s="10" t="s">
        <v>1036</v>
      </c>
      <c r="E397" s="10" t="s">
        <v>1032</v>
      </c>
      <c r="F397" s="9" t="s">
        <v>261</v>
      </c>
      <c r="G397" s="9" t="s">
        <v>262</v>
      </c>
      <c r="H397" s="12">
        <v>40</v>
      </c>
      <c r="I397" s="12">
        <v>33</v>
      </c>
      <c r="J397" s="13">
        <v>0</v>
      </c>
      <c r="K397" s="13">
        <v>23</v>
      </c>
      <c r="L397" s="13">
        <v>20</v>
      </c>
      <c r="M397" s="13">
        <v>16</v>
      </c>
      <c r="N397" s="13">
        <v>16</v>
      </c>
      <c r="O397" s="13">
        <v>28</v>
      </c>
      <c r="P397" s="13">
        <v>20</v>
      </c>
      <c r="Q397" s="13">
        <v>0</v>
      </c>
      <c r="R397" s="13">
        <v>28</v>
      </c>
      <c r="S397" s="13">
        <v>20</v>
      </c>
      <c r="T397" s="13">
        <v>16</v>
      </c>
      <c r="U397" s="13">
        <v>16</v>
      </c>
      <c r="V397" s="13">
        <v>16</v>
      </c>
      <c r="W397" s="13">
        <v>16</v>
      </c>
      <c r="X397" s="13">
        <v>16</v>
      </c>
      <c r="Y397" s="13">
        <v>28</v>
      </c>
      <c r="Z397" s="13">
        <v>4</v>
      </c>
      <c r="AA397" s="13">
        <v>0</v>
      </c>
      <c r="AB397" s="13">
        <v>28</v>
      </c>
      <c r="AC397" s="13">
        <v>32</v>
      </c>
      <c r="AD397" s="13">
        <v>20</v>
      </c>
    </row>
    <row r="398" spans="1:30" ht="15.75" thickBot="1" x14ac:dyDescent="0.3">
      <c r="A398" s="9" t="s">
        <v>976</v>
      </c>
      <c r="B398" s="9" t="s">
        <v>1015</v>
      </c>
      <c r="C398" s="45" t="str">
        <f t="shared" si="6"/>
        <v>N1WB E27406 SL1G1C</v>
      </c>
      <c r="D398" s="10" t="s">
        <v>1037</v>
      </c>
      <c r="E398" s="10" t="s">
        <v>1032</v>
      </c>
      <c r="F398" s="9" t="s">
        <v>261</v>
      </c>
      <c r="G398" s="9" t="s">
        <v>262</v>
      </c>
      <c r="H398" s="12">
        <v>40</v>
      </c>
      <c r="I398" s="12">
        <v>181</v>
      </c>
      <c r="J398" s="13">
        <v>0</v>
      </c>
      <c r="K398" s="13">
        <v>244</v>
      </c>
      <c r="L398" s="13">
        <v>152</v>
      </c>
      <c r="M398" s="13">
        <v>154</v>
      </c>
      <c r="N398" s="13">
        <v>106</v>
      </c>
      <c r="O398" s="13">
        <v>87</v>
      </c>
      <c r="P398" s="13">
        <v>216</v>
      </c>
      <c r="Q398" s="13">
        <v>244</v>
      </c>
      <c r="R398" s="13">
        <v>247</v>
      </c>
      <c r="S398" s="13">
        <v>250</v>
      </c>
      <c r="T398" s="13">
        <v>243</v>
      </c>
      <c r="U398" s="13">
        <v>170</v>
      </c>
      <c r="V398" s="13">
        <v>233</v>
      </c>
      <c r="W398" s="13">
        <v>246</v>
      </c>
      <c r="X398" s="13">
        <v>245</v>
      </c>
      <c r="Y398" s="13">
        <v>401</v>
      </c>
      <c r="Z398" s="13">
        <v>85</v>
      </c>
      <c r="AA398" s="13">
        <v>0</v>
      </c>
      <c r="AB398" s="13">
        <v>196</v>
      </c>
      <c r="AC398" s="13">
        <v>244</v>
      </c>
      <c r="AD398" s="13">
        <v>240</v>
      </c>
    </row>
    <row r="399" spans="1:30" ht="15.75" thickBot="1" x14ac:dyDescent="0.3">
      <c r="A399" s="9" t="s">
        <v>976</v>
      </c>
      <c r="B399" s="9" t="s">
        <v>1015</v>
      </c>
      <c r="C399" s="45" t="str">
        <f t="shared" si="6"/>
        <v>N1WB E27406 UL1G1C</v>
      </c>
      <c r="D399" s="10" t="s">
        <v>1038</v>
      </c>
      <c r="E399" s="10" t="s">
        <v>1032</v>
      </c>
      <c r="F399" s="9" t="s">
        <v>261</v>
      </c>
      <c r="G399" s="9" t="s">
        <v>262</v>
      </c>
      <c r="H399" s="12">
        <v>40</v>
      </c>
      <c r="I399" s="12">
        <v>140</v>
      </c>
      <c r="J399" s="13">
        <v>88</v>
      </c>
      <c r="K399" s="13">
        <v>273</v>
      </c>
      <c r="L399" s="13">
        <v>196</v>
      </c>
      <c r="M399" s="13">
        <v>209</v>
      </c>
      <c r="N399" s="13">
        <v>204</v>
      </c>
      <c r="O399" s="13">
        <v>209</v>
      </c>
      <c r="P399" s="13">
        <v>190</v>
      </c>
      <c r="Q399" s="13">
        <v>129</v>
      </c>
      <c r="R399" s="13">
        <v>241</v>
      </c>
      <c r="S399" s="13">
        <v>251</v>
      </c>
      <c r="T399" s="13">
        <v>263</v>
      </c>
      <c r="U399" s="13">
        <v>178</v>
      </c>
      <c r="V399" s="13">
        <v>198</v>
      </c>
      <c r="W399" s="13">
        <v>241</v>
      </c>
      <c r="X399" s="13">
        <v>265</v>
      </c>
      <c r="Y399" s="13">
        <v>438</v>
      </c>
      <c r="Z399" s="13">
        <v>97</v>
      </c>
      <c r="AA399" s="13">
        <v>0</v>
      </c>
      <c r="AB399" s="13">
        <v>176</v>
      </c>
      <c r="AC399" s="13">
        <v>243</v>
      </c>
      <c r="AD399" s="13">
        <v>253</v>
      </c>
    </row>
    <row r="400" spans="1:30" ht="15.75" thickBot="1" x14ac:dyDescent="0.3">
      <c r="A400" s="9" t="s">
        <v>976</v>
      </c>
      <c r="B400" s="9" t="s">
        <v>1015</v>
      </c>
      <c r="C400" s="45" t="str">
        <f t="shared" si="6"/>
        <v>N1WB E27406 UL1G1E</v>
      </c>
      <c r="D400" s="10" t="s">
        <v>1039</v>
      </c>
      <c r="E400" s="10" t="s">
        <v>1032</v>
      </c>
      <c r="F400" s="9" t="s">
        <v>261</v>
      </c>
      <c r="G400" s="9" t="s">
        <v>262</v>
      </c>
      <c r="H400" s="12">
        <v>40</v>
      </c>
      <c r="I400" s="12">
        <v>262</v>
      </c>
      <c r="J400" s="13">
        <v>49</v>
      </c>
      <c r="K400" s="13">
        <v>392</v>
      </c>
      <c r="L400" s="13">
        <v>268</v>
      </c>
      <c r="M400" s="13">
        <v>234</v>
      </c>
      <c r="N400" s="13">
        <v>305</v>
      </c>
      <c r="O400" s="13">
        <v>412</v>
      </c>
      <c r="P400" s="13">
        <v>259</v>
      </c>
      <c r="Q400" s="13">
        <v>202</v>
      </c>
      <c r="R400" s="13">
        <v>320</v>
      </c>
      <c r="S400" s="13">
        <v>376</v>
      </c>
      <c r="T400" s="13">
        <v>382</v>
      </c>
      <c r="U400" s="13">
        <v>288</v>
      </c>
      <c r="V400" s="13">
        <v>562</v>
      </c>
      <c r="W400" s="13">
        <v>684</v>
      </c>
      <c r="X400" s="13">
        <v>475</v>
      </c>
      <c r="Y400" s="13">
        <v>703</v>
      </c>
      <c r="Z400" s="13">
        <v>154</v>
      </c>
      <c r="AA400" s="13">
        <v>0</v>
      </c>
      <c r="AB400" s="13">
        <v>520</v>
      </c>
      <c r="AC400" s="13">
        <v>670</v>
      </c>
      <c r="AD400" s="13">
        <v>611</v>
      </c>
    </row>
    <row r="401" spans="1:30" ht="15.75" thickBot="1" x14ac:dyDescent="0.3">
      <c r="A401" s="9" t="s">
        <v>976</v>
      </c>
      <c r="B401" s="9" t="s">
        <v>1015</v>
      </c>
      <c r="C401" s="45" t="str">
        <f t="shared" si="6"/>
        <v>N1WB E27406 UL3LU4</v>
      </c>
      <c r="D401" s="10" t="s">
        <v>1040</v>
      </c>
      <c r="E401" s="10" t="s">
        <v>1032</v>
      </c>
      <c r="F401" s="9" t="s">
        <v>261</v>
      </c>
      <c r="G401" s="9" t="s">
        <v>262</v>
      </c>
      <c r="H401" s="12">
        <v>40</v>
      </c>
      <c r="I401" s="12">
        <v>18</v>
      </c>
      <c r="J401" s="13">
        <v>0</v>
      </c>
      <c r="K401" s="13">
        <v>45</v>
      </c>
      <c r="L401" s="13">
        <v>22</v>
      </c>
      <c r="M401" s="13">
        <v>22</v>
      </c>
      <c r="N401" s="13">
        <v>32</v>
      </c>
      <c r="O401" s="13">
        <v>49</v>
      </c>
      <c r="P401" s="13">
        <v>20</v>
      </c>
      <c r="Q401" s="13">
        <v>13</v>
      </c>
      <c r="R401" s="13">
        <v>16</v>
      </c>
      <c r="S401" s="13">
        <v>22</v>
      </c>
      <c r="T401" s="13">
        <v>25</v>
      </c>
      <c r="U401" s="13">
        <v>18</v>
      </c>
      <c r="V401" s="13">
        <v>26</v>
      </c>
      <c r="W401" s="13">
        <v>33</v>
      </c>
      <c r="X401" s="13">
        <v>23</v>
      </c>
      <c r="Y401" s="13">
        <v>42</v>
      </c>
      <c r="Z401" s="13">
        <v>9</v>
      </c>
      <c r="AA401" s="13">
        <v>0</v>
      </c>
      <c r="AB401" s="13">
        <v>24</v>
      </c>
      <c r="AC401" s="13">
        <v>34</v>
      </c>
      <c r="AD401" s="13">
        <v>24</v>
      </c>
    </row>
    <row r="402" spans="1:30" ht="15.75" thickBot="1" x14ac:dyDescent="0.3">
      <c r="A402" s="9" t="s">
        <v>976</v>
      </c>
      <c r="B402" s="9" t="s">
        <v>1015</v>
      </c>
      <c r="C402" s="45" t="str">
        <f t="shared" si="6"/>
        <v>T1WB E23942 BB1HO8</v>
      </c>
      <c r="D402" s="10" t="s">
        <v>1041</v>
      </c>
      <c r="E402" s="10" t="s">
        <v>1017</v>
      </c>
      <c r="F402" s="9" t="s">
        <v>261</v>
      </c>
      <c r="G402" s="9" t="s">
        <v>262</v>
      </c>
      <c r="H402" s="12">
        <v>40</v>
      </c>
      <c r="I402" s="8"/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2</v>
      </c>
      <c r="T402" s="13">
        <v>0</v>
      </c>
      <c r="U402" s="13">
        <v>0</v>
      </c>
      <c r="V402" s="13">
        <v>4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</row>
    <row r="403" spans="1:30" ht="15.75" thickBot="1" x14ac:dyDescent="0.3">
      <c r="A403" s="9" t="s">
        <v>976</v>
      </c>
      <c r="B403" s="9" t="s">
        <v>1015</v>
      </c>
      <c r="C403" s="45" t="str">
        <f t="shared" si="6"/>
        <v>T1WB E23942 BB31Y5</v>
      </c>
      <c r="D403" s="10" t="s">
        <v>1042</v>
      </c>
      <c r="E403" s="10" t="s">
        <v>1017</v>
      </c>
      <c r="F403" s="9" t="s">
        <v>261</v>
      </c>
      <c r="G403" s="9" t="s">
        <v>262</v>
      </c>
      <c r="H403" s="12">
        <v>40</v>
      </c>
      <c r="I403" s="8"/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4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</row>
    <row r="404" spans="1:30" ht="15.75" thickBot="1" x14ac:dyDescent="0.3">
      <c r="A404" s="9" t="s">
        <v>976</v>
      </c>
      <c r="B404" s="9" t="s">
        <v>1015</v>
      </c>
      <c r="C404" s="45" t="str">
        <f t="shared" si="6"/>
        <v>T1WB E23942 CB1HO8</v>
      </c>
      <c r="D404" s="10" t="s">
        <v>1043</v>
      </c>
      <c r="E404" s="10" t="s">
        <v>1017</v>
      </c>
      <c r="F404" s="9" t="s">
        <v>261</v>
      </c>
      <c r="G404" s="9" t="s">
        <v>262</v>
      </c>
      <c r="H404" s="12">
        <v>40</v>
      </c>
      <c r="I404" s="8"/>
      <c r="J404" s="13">
        <v>0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0</v>
      </c>
      <c r="V404" s="13">
        <v>2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0</v>
      </c>
    </row>
    <row r="405" spans="1:30" ht="15.75" thickBot="1" x14ac:dyDescent="0.3">
      <c r="A405" s="9" t="s">
        <v>976</v>
      </c>
      <c r="B405" s="9" t="s">
        <v>1015</v>
      </c>
      <c r="C405" s="45" t="str">
        <f t="shared" si="6"/>
        <v>T1WB E23942 CB31Y5</v>
      </c>
      <c r="D405" s="10" t="s">
        <v>1044</v>
      </c>
      <c r="E405" s="10" t="s">
        <v>1017</v>
      </c>
      <c r="F405" s="9" t="s">
        <v>261</v>
      </c>
      <c r="G405" s="9" t="s">
        <v>262</v>
      </c>
      <c r="H405" s="12">
        <v>40</v>
      </c>
      <c r="I405" s="8"/>
      <c r="J405" s="13">
        <v>0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3">
        <v>0</v>
      </c>
      <c r="U405" s="13">
        <v>0</v>
      </c>
      <c r="V405" s="13">
        <v>2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</v>
      </c>
    </row>
    <row r="406" spans="1:30" ht="15.75" thickBot="1" x14ac:dyDescent="0.3">
      <c r="A406" s="9" t="s">
        <v>976</v>
      </c>
      <c r="B406" s="9" t="s">
        <v>1015</v>
      </c>
      <c r="C406" s="45" t="str">
        <f t="shared" si="6"/>
        <v>T1WB E23942 DB1HHY</v>
      </c>
      <c r="D406" s="10" t="s">
        <v>1045</v>
      </c>
      <c r="E406" s="10" t="s">
        <v>1017</v>
      </c>
      <c r="F406" s="9" t="s">
        <v>261</v>
      </c>
      <c r="G406" s="9" t="s">
        <v>262</v>
      </c>
      <c r="H406" s="12">
        <v>40</v>
      </c>
      <c r="I406" s="8"/>
      <c r="J406" s="13">
        <v>0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3</v>
      </c>
      <c r="T406" s="13">
        <v>0</v>
      </c>
      <c r="U406" s="13">
        <v>0</v>
      </c>
      <c r="V406" s="13">
        <v>8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</row>
    <row r="407" spans="1:30" ht="15.75" thickBot="1" x14ac:dyDescent="0.3">
      <c r="A407" s="9" t="s">
        <v>976</v>
      </c>
      <c r="B407" s="9" t="s">
        <v>1015</v>
      </c>
      <c r="C407" s="45" t="str">
        <f t="shared" si="6"/>
        <v>T1WB E23942 EA1G1C</v>
      </c>
      <c r="D407" s="10" t="s">
        <v>1046</v>
      </c>
      <c r="E407" s="10" t="s">
        <v>1017</v>
      </c>
      <c r="F407" s="9" t="s">
        <v>261</v>
      </c>
      <c r="G407" s="9" t="s">
        <v>262</v>
      </c>
      <c r="H407" s="12">
        <v>40</v>
      </c>
      <c r="I407" s="8"/>
      <c r="J407" s="13">
        <v>0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8</v>
      </c>
      <c r="W407" s="13">
        <v>1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</row>
    <row r="408" spans="1:30" ht="15.75" thickBot="1" x14ac:dyDescent="0.3">
      <c r="A408" s="9" t="s">
        <v>976</v>
      </c>
      <c r="B408" s="9" t="s">
        <v>1015</v>
      </c>
      <c r="C408" s="45" t="str">
        <f t="shared" si="6"/>
        <v>T1WB E23942 FA31Y5</v>
      </c>
      <c r="D408" s="10" t="s">
        <v>1047</v>
      </c>
      <c r="E408" s="10" t="s">
        <v>1048</v>
      </c>
      <c r="F408" s="9" t="s">
        <v>261</v>
      </c>
      <c r="G408" s="9" t="s">
        <v>262</v>
      </c>
      <c r="H408" s="12">
        <v>40</v>
      </c>
      <c r="I408" s="8"/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2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</row>
    <row r="409" spans="1:30" ht="15.75" thickBot="1" x14ac:dyDescent="0.3">
      <c r="A409" s="9" t="s">
        <v>976</v>
      </c>
      <c r="B409" s="9" t="s">
        <v>1015</v>
      </c>
      <c r="C409" s="45" t="str">
        <f t="shared" si="6"/>
        <v>T1WB E27406 BB1HO8</v>
      </c>
      <c r="D409" s="10" t="s">
        <v>1049</v>
      </c>
      <c r="E409" s="10" t="s">
        <v>1032</v>
      </c>
      <c r="F409" s="9" t="s">
        <v>261</v>
      </c>
      <c r="G409" s="9" t="s">
        <v>262</v>
      </c>
      <c r="H409" s="12">
        <v>40</v>
      </c>
      <c r="I409" s="8"/>
      <c r="J409" s="13">
        <v>0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2</v>
      </c>
      <c r="T409" s="13">
        <v>0</v>
      </c>
      <c r="U409" s="13">
        <v>0</v>
      </c>
      <c r="V409" s="13">
        <v>4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</row>
    <row r="410" spans="1:30" ht="15.75" thickBot="1" x14ac:dyDescent="0.3">
      <c r="A410" s="9" t="s">
        <v>976</v>
      </c>
      <c r="B410" s="9" t="s">
        <v>1015</v>
      </c>
      <c r="C410" s="45" t="str">
        <f t="shared" si="6"/>
        <v>T1WB E27406 BB31Y5</v>
      </c>
      <c r="D410" s="10" t="s">
        <v>1050</v>
      </c>
      <c r="E410" s="10" t="s">
        <v>1032</v>
      </c>
      <c r="F410" s="9" t="s">
        <v>261</v>
      </c>
      <c r="G410" s="9" t="s">
        <v>262</v>
      </c>
      <c r="H410" s="12">
        <v>40</v>
      </c>
      <c r="I410" s="8"/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4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</row>
    <row r="411" spans="1:30" ht="15.75" thickBot="1" x14ac:dyDescent="0.3">
      <c r="A411" s="9" t="s">
        <v>976</v>
      </c>
      <c r="B411" s="9" t="s">
        <v>1015</v>
      </c>
      <c r="C411" s="45" t="str">
        <f t="shared" si="6"/>
        <v>T1WB E27406 CB1HO8</v>
      </c>
      <c r="D411" s="10" t="s">
        <v>1051</v>
      </c>
      <c r="E411" s="10" t="s">
        <v>1032</v>
      </c>
      <c r="F411" s="9" t="s">
        <v>261</v>
      </c>
      <c r="G411" s="9" t="s">
        <v>262</v>
      </c>
      <c r="H411" s="12">
        <v>40</v>
      </c>
      <c r="I411" s="8"/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2</v>
      </c>
      <c r="T411" s="13">
        <v>0</v>
      </c>
      <c r="U411" s="13">
        <v>0</v>
      </c>
      <c r="V411" s="13">
        <v>8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</row>
    <row r="412" spans="1:30" ht="15.75" thickBot="1" x14ac:dyDescent="0.3">
      <c r="A412" s="9" t="s">
        <v>976</v>
      </c>
      <c r="B412" s="9" t="s">
        <v>1015</v>
      </c>
      <c r="C412" s="45" t="str">
        <f t="shared" si="6"/>
        <v>T1WB E27406 CB31Y5</v>
      </c>
      <c r="D412" s="10" t="s">
        <v>1052</v>
      </c>
      <c r="E412" s="10" t="s">
        <v>1032</v>
      </c>
      <c r="F412" s="9" t="s">
        <v>261</v>
      </c>
      <c r="G412" s="9" t="s">
        <v>262</v>
      </c>
      <c r="H412" s="12">
        <v>40</v>
      </c>
      <c r="I412" s="8"/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3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</row>
    <row r="413" spans="1:30" ht="15.75" thickBot="1" x14ac:dyDescent="0.3">
      <c r="A413" s="9" t="s">
        <v>976</v>
      </c>
      <c r="B413" s="9" t="s">
        <v>1015</v>
      </c>
      <c r="C413" s="45" t="str">
        <f t="shared" si="6"/>
        <v>T1WB E27406 DB1HHY</v>
      </c>
      <c r="D413" s="10" t="s">
        <v>1053</v>
      </c>
      <c r="E413" s="10" t="s">
        <v>1032</v>
      </c>
      <c r="F413" s="9" t="s">
        <v>261</v>
      </c>
      <c r="G413" s="9" t="s">
        <v>262</v>
      </c>
      <c r="H413" s="12">
        <v>40</v>
      </c>
      <c r="I413" s="8"/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3</v>
      </c>
      <c r="T413" s="13">
        <v>0</v>
      </c>
      <c r="U413" s="13">
        <v>0</v>
      </c>
      <c r="V413" s="13">
        <v>8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</row>
    <row r="414" spans="1:30" ht="15.75" thickBot="1" x14ac:dyDescent="0.3">
      <c r="A414" s="9" t="s">
        <v>976</v>
      </c>
      <c r="B414" s="9" t="s">
        <v>1054</v>
      </c>
      <c r="C414" s="45" t="str">
        <f t="shared" si="6"/>
        <v>N1WB E23943 VD1G1E</v>
      </c>
      <c r="D414" s="10" t="s">
        <v>1055</v>
      </c>
      <c r="E414" s="10" t="s">
        <v>979</v>
      </c>
      <c r="F414" s="9" t="s">
        <v>261</v>
      </c>
      <c r="G414" s="9" t="s">
        <v>262</v>
      </c>
      <c r="H414" s="11">
        <v>25.714200000000002</v>
      </c>
      <c r="I414" s="8"/>
      <c r="J414" s="13">
        <v>5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</row>
    <row r="415" spans="1:30" ht="15.75" thickBot="1" x14ac:dyDescent="0.3">
      <c r="A415" s="9" t="s">
        <v>976</v>
      </c>
      <c r="B415" s="9" t="s">
        <v>1056</v>
      </c>
      <c r="C415" s="45" t="str">
        <f t="shared" si="6"/>
        <v>KB3B 2123942 CG3ZHE</v>
      </c>
      <c r="D415" s="10" t="s">
        <v>1057</v>
      </c>
      <c r="E415" s="10" t="s">
        <v>1058</v>
      </c>
      <c r="F415" s="9" t="s">
        <v>494</v>
      </c>
      <c r="G415" s="9" t="s">
        <v>262</v>
      </c>
      <c r="H415" s="12">
        <v>40</v>
      </c>
      <c r="I415" s="8"/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2</v>
      </c>
      <c r="AA415" s="13">
        <v>0</v>
      </c>
      <c r="AB415" s="13">
        <v>0</v>
      </c>
      <c r="AC415" s="13">
        <v>0</v>
      </c>
      <c r="AD415" s="13">
        <v>0</v>
      </c>
    </row>
    <row r="416" spans="1:30" ht="15.75" thickBot="1" x14ac:dyDescent="0.3">
      <c r="A416" s="9" t="s">
        <v>976</v>
      </c>
      <c r="B416" s="9" t="s">
        <v>1056</v>
      </c>
      <c r="C416" s="45" t="str">
        <f t="shared" si="6"/>
        <v>KB3B 2123942 EH3ZHE</v>
      </c>
      <c r="D416" s="10" t="s">
        <v>1059</v>
      </c>
      <c r="E416" s="10" t="s">
        <v>1058</v>
      </c>
      <c r="F416" s="9" t="s">
        <v>494</v>
      </c>
      <c r="G416" s="9" t="s">
        <v>262</v>
      </c>
      <c r="H416" s="12">
        <v>40</v>
      </c>
      <c r="I416" s="8"/>
      <c r="J416" s="13">
        <v>0</v>
      </c>
      <c r="K416" s="13">
        <v>1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</row>
    <row r="417" spans="1:30" ht="15.75" thickBot="1" x14ac:dyDescent="0.3">
      <c r="A417" s="9" t="s">
        <v>976</v>
      </c>
      <c r="B417" s="9" t="s">
        <v>1056</v>
      </c>
      <c r="C417" s="45" t="str">
        <f t="shared" si="6"/>
        <v>KB3B 2123942 FG3ZHE</v>
      </c>
      <c r="D417" s="10" t="s">
        <v>1060</v>
      </c>
      <c r="E417" s="10" t="s">
        <v>1058</v>
      </c>
      <c r="F417" s="9" t="s">
        <v>494</v>
      </c>
      <c r="G417" s="9" t="s">
        <v>262</v>
      </c>
      <c r="H417" s="12">
        <v>40</v>
      </c>
      <c r="I417" s="8"/>
      <c r="J417" s="13">
        <v>3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</row>
    <row r="418" spans="1:30" ht="15.75" thickBot="1" x14ac:dyDescent="0.3">
      <c r="A418" s="9" t="s">
        <v>976</v>
      </c>
      <c r="B418" s="9" t="s">
        <v>1056</v>
      </c>
      <c r="C418" s="45" t="str">
        <f t="shared" si="6"/>
        <v>KB3B 2623942 CG31TC</v>
      </c>
      <c r="D418" s="10" t="s">
        <v>1061</v>
      </c>
      <c r="E418" s="10" t="s">
        <v>1062</v>
      </c>
      <c r="F418" s="9" t="s">
        <v>494</v>
      </c>
      <c r="G418" s="9" t="s">
        <v>262</v>
      </c>
      <c r="H418" s="12">
        <v>40</v>
      </c>
      <c r="I418" s="8"/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1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</row>
    <row r="419" spans="1:30" ht="15.75" thickBot="1" x14ac:dyDescent="0.3">
      <c r="A419" s="9" t="s">
        <v>976</v>
      </c>
      <c r="B419" s="9" t="s">
        <v>1056</v>
      </c>
      <c r="C419" s="45" t="str">
        <f t="shared" si="6"/>
        <v>KB3B 2623942 CG3ZHE</v>
      </c>
      <c r="D419" s="10" t="s">
        <v>1063</v>
      </c>
      <c r="E419" s="10" t="s">
        <v>1062</v>
      </c>
      <c r="F419" s="9" t="s">
        <v>494</v>
      </c>
      <c r="G419" s="9" t="s">
        <v>262</v>
      </c>
      <c r="H419" s="12">
        <v>40</v>
      </c>
      <c r="I419" s="8"/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2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</row>
    <row r="420" spans="1:30" ht="15.75" thickBot="1" x14ac:dyDescent="0.3">
      <c r="A420" s="9" t="s">
        <v>976</v>
      </c>
      <c r="B420" s="9" t="s">
        <v>1056</v>
      </c>
      <c r="C420" s="45" t="str">
        <f t="shared" si="6"/>
        <v>KB3B 2623942 GF3ZHE</v>
      </c>
      <c r="D420" s="10" t="s">
        <v>1064</v>
      </c>
      <c r="E420" s="10" t="s">
        <v>1062</v>
      </c>
      <c r="F420" s="9" t="s">
        <v>494</v>
      </c>
      <c r="G420" s="9" t="s">
        <v>262</v>
      </c>
      <c r="H420" s="12">
        <v>40</v>
      </c>
      <c r="I420" s="8"/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1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</row>
    <row r="421" spans="1:30" ht="15.75" thickBot="1" x14ac:dyDescent="0.3">
      <c r="A421" s="9" t="s">
        <v>976</v>
      </c>
      <c r="B421" s="9" t="s">
        <v>1056</v>
      </c>
      <c r="C421" s="45" t="str">
        <f t="shared" si="6"/>
        <v>KB3B 2623942 JB3ZHE</v>
      </c>
      <c r="D421" s="10" t="s">
        <v>1065</v>
      </c>
      <c r="E421" s="10" t="s">
        <v>1062</v>
      </c>
      <c r="F421" s="9" t="s">
        <v>494</v>
      </c>
      <c r="G421" s="9" t="s">
        <v>262</v>
      </c>
      <c r="H421" s="12">
        <v>40</v>
      </c>
      <c r="I421" s="8"/>
      <c r="J421" s="13">
        <v>0</v>
      </c>
      <c r="K421" s="13">
        <v>2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2</v>
      </c>
      <c r="AA421" s="13">
        <v>0</v>
      </c>
      <c r="AB421" s="13">
        <v>0</v>
      </c>
      <c r="AC421" s="13">
        <v>0</v>
      </c>
      <c r="AD421" s="13">
        <v>0</v>
      </c>
    </row>
    <row r="422" spans="1:30" ht="15.75" thickBot="1" x14ac:dyDescent="0.3">
      <c r="A422" s="9" t="s">
        <v>976</v>
      </c>
      <c r="B422" s="9" t="s">
        <v>1056</v>
      </c>
      <c r="C422" s="45" t="str">
        <f t="shared" si="6"/>
        <v>KB3B 2627406 CE31TC</v>
      </c>
      <c r="D422" s="10" t="s">
        <v>1066</v>
      </c>
      <c r="E422" s="10" t="s">
        <v>1067</v>
      </c>
      <c r="F422" s="9" t="s">
        <v>494</v>
      </c>
      <c r="G422" s="9" t="s">
        <v>262</v>
      </c>
      <c r="H422" s="12">
        <v>40</v>
      </c>
      <c r="I422" s="8"/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3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</row>
    <row r="423" spans="1:30" ht="15.75" thickBot="1" x14ac:dyDescent="0.3">
      <c r="A423" s="9" t="s">
        <v>976</v>
      </c>
      <c r="B423" s="9" t="s">
        <v>1056</v>
      </c>
      <c r="C423" s="45" t="str">
        <f t="shared" si="6"/>
        <v>KB3B 2627406 DE3ZHE</v>
      </c>
      <c r="D423" s="10" t="s">
        <v>1068</v>
      </c>
      <c r="E423" s="10" t="s">
        <v>1067</v>
      </c>
      <c r="F423" s="9" t="s">
        <v>494</v>
      </c>
      <c r="G423" s="9" t="s">
        <v>262</v>
      </c>
      <c r="H423" s="12">
        <v>40</v>
      </c>
      <c r="I423" s="8"/>
      <c r="J423" s="13">
        <v>3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3</v>
      </c>
      <c r="AA423" s="13">
        <v>0</v>
      </c>
      <c r="AB423" s="13">
        <v>0</v>
      </c>
      <c r="AC423" s="13">
        <v>0</v>
      </c>
      <c r="AD423" s="13">
        <v>0</v>
      </c>
    </row>
    <row r="424" spans="1:30" ht="15.75" thickBot="1" x14ac:dyDescent="0.3">
      <c r="A424" s="9" t="s">
        <v>976</v>
      </c>
      <c r="B424" s="9" t="s">
        <v>1056</v>
      </c>
      <c r="C424" s="45" t="str">
        <f t="shared" si="6"/>
        <v>KB3B 2627406 FE3ZHE</v>
      </c>
      <c r="D424" s="10" t="s">
        <v>1069</v>
      </c>
      <c r="E424" s="10" t="s">
        <v>1067</v>
      </c>
      <c r="F424" s="9" t="s">
        <v>494</v>
      </c>
      <c r="G424" s="9" t="s">
        <v>262</v>
      </c>
      <c r="H424" s="12">
        <v>40</v>
      </c>
      <c r="I424" s="8"/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2</v>
      </c>
      <c r="AA424" s="13">
        <v>0</v>
      </c>
      <c r="AB424" s="13">
        <v>0</v>
      </c>
      <c r="AC424" s="13">
        <v>0</v>
      </c>
      <c r="AD424" s="13">
        <v>0</v>
      </c>
    </row>
    <row r="425" spans="1:30" ht="15.75" thickBot="1" x14ac:dyDescent="0.3">
      <c r="A425" s="9" t="s">
        <v>976</v>
      </c>
      <c r="B425" s="9" t="s">
        <v>1070</v>
      </c>
      <c r="C425" s="45" t="str">
        <f t="shared" si="6"/>
        <v>KB3B 2123943 CG3ZHE</v>
      </c>
      <c r="D425" s="10" t="s">
        <v>1071</v>
      </c>
      <c r="E425" s="10" t="s">
        <v>1072</v>
      </c>
      <c r="F425" s="9" t="s">
        <v>494</v>
      </c>
      <c r="G425" s="9" t="s">
        <v>262</v>
      </c>
      <c r="H425" s="12">
        <v>40</v>
      </c>
      <c r="I425" s="8"/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3</v>
      </c>
      <c r="AA425" s="13">
        <v>0</v>
      </c>
      <c r="AB425" s="13">
        <v>0</v>
      </c>
      <c r="AC425" s="13">
        <v>0</v>
      </c>
      <c r="AD425" s="13">
        <v>0</v>
      </c>
    </row>
    <row r="426" spans="1:30" ht="15.75" thickBot="1" x14ac:dyDescent="0.3">
      <c r="A426" s="9" t="s">
        <v>976</v>
      </c>
      <c r="B426" s="9" t="s">
        <v>1070</v>
      </c>
      <c r="C426" s="45" t="str">
        <f t="shared" si="6"/>
        <v>KB3B 2123943 EH31TC</v>
      </c>
      <c r="D426" s="10" t="s">
        <v>1073</v>
      </c>
      <c r="E426" s="10" t="s">
        <v>1072</v>
      </c>
      <c r="F426" s="9" t="s">
        <v>494</v>
      </c>
      <c r="G426" s="9" t="s">
        <v>262</v>
      </c>
      <c r="H426" s="12">
        <v>40</v>
      </c>
      <c r="I426" s="8"/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1</v>
      </c>
      <c r="AA426" s="13">
        <v>0</v>
      </c>
      <c r="AB426" s="13">
        <v>0</v>
      </c>
      <c r="AC426" s="13">
        <v>0</v>
      </c>
      <c r="AD426" s="13">
        <v>0</v>
      </c>
    </row>
    <row r="427" spans="1:30" ht="15.75" thickBot="1" x14ac:dyDescent="0.3">
      <c r="A427" s="9" t="s">
        <v>976</v>
      </c>
      <c r="B427" s="9" t="s">
        <v>1070</v>
      </c>
      <c r="C427" s="45" t="str">
        <f t="shared" si="6"/>
        <v>KB3B 2123943 FG3ZHE</v>
      </c>
      <c r="D427" s="10" t="s">
        <v>1074</v>
      </c>
      <c r="E427" s="10" t="s">
        <v>1072</v>
      </c>
      <c r="F427" s="9" t="s">
        <v>494</v>
      </c>
      <c r="G427" s="9" t="s">
        <v>262</v>
      </c>
      <c r="H427" s="12">
        <v>40</v>
      </c>
      <c r="I427" s="8"/>
      <c r="J427" s="13">
        <v>0</v>
      </c>
      <c r="K427" s="13">
        <v>0</v>
      </c>
      <c r="L427" s="13">
        <v>0</v>
      </c>
      <c r="M427" s="13">
        <v>0</v>
      </c>
      <c r="N427" s="13">
        <v>5</v>
      </c>
      <c r="O427" s="13">
        <v>0</v>
      </c>
      <c r="P427" s="13">
        <v>0</v>
      </c>
      <c r="Q427" s="13">
        <v>0</v>
      </c>
      <c r="R427" s="13">
        <v>6</v>
      </c>
      <c r="S427" s="13">
        <v>0</v>
      </c>
      <c r="T427" s="13">
        <v>0</v>
      </c>
      <c r="U427" s="13">
        <v>0</v>
      </c>
      <c r="V427" s="13">
        <v>7</v>
      </c>
      <c r="W427" s="13">
        <v>0</v>
      </c>
      <c r="X427" s="13">
        <v>0</v>
      </c>
      <c r="Y427" s="13">
        <v>0</v>
      </c>
      <c r="Z427" s="13">
        <v>6</v>
      </c>
      <c r="AA427" s="13">
        <v>0</v>
      </c>
      <c r="AB427" s="13">
        <v>0</v>
      </c>
      <c r="AC427" s="13">
        <v>0</v>
      </c>
      <c r="AD427" s="13">
        <v>0</v>
      </c>
    </row>
    <row r="428" spans="1:30" ht="15.75" thickBot="1" x14ac:dyDescent="0.3">
      <c r="A428" s="9" t="s">
        <v>976</v>
      </c>
      <c r="B428" s="9" t="s">
        <v>1070</v>
      </c>
      <c r="C428" s="45" t="str">
        <f t="shared" si="6"/>
        <v>KB3B 2623943 CG31TC</v>
      </c>
      <c r="D428" s="10" t="s">
        <v>1075</v>
      </c>
      <c r="E428" s="10" t="s">
        <v>1076</v>
      </c>
      <c r="F428" s="9" t="s">
        <v>494</v>
      </c>
      <c r="G428" s="9" t="s">
        <v>262</v>
      </c>
      <c r="H428" s="12">
        <v>40</v>
      </c>
      <c r="I428" s="8"/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</row>
    <row r="429" spans="1:30" ht="15.75" thickBot="1" x14ac:dyDescent="0.3">
      <c r="A429" s="9" t="s">
        <v>976</v>
      </c>
      <c r="B429" s="9" t="s">
        <v>1070</v>
      </c>
      <c r="C429" s="45" t="str">
        <f t="shared" si="6"/>
        <v>KB3B 2623943 EH3ZHE</v>
      </c>
      <c r="D429" s="10" t="s">
        <v>1077</v>
      </c>
      <c r="E429" s="10" t="s">
        <v>1076</v>
      </c>
      <c r="F429" s="9" t="s">
        <v>494</v>
      </c>
      <c r="G429" s="9" t="s">
        <v>262</v>
      </c>
      <c r="H429" s="12">
        <v>40</v>
      </c>
      <c r="I429" s="8"/>
      <c r="J429" s="13">
        <v>12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7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</row>
    <row r="430" spans="1:30" ht="15.75" thickBot="1" x14ac:dyDescent="0.3">
      <c r="A430" s="9" t="s">
        <v>976</v>
      </c>
      <c r="B430" s="9" t="s">
        <v>1070</v>
      </c>
      <c r="C430" s="45" t="str">
        <f t="shared" si="6"/>
        <v>KB3B 2623943 HB3ZHE</v>
      </c>
      <c r="D430" s="10" t="s">
        <v>1078</v>
      </c>
      <c r="E430" s="10" t="s">
        <v>1076</v>
      </c>
      <c r="F430" s="9" t="s">
        <v>494</v>
      </c>
      <c r="G430" s="9" t="s">
        <v>262</v>
      </c>
      <c r="H430" s="12">
        <v>40</v>
      </c>
      <c r="I430" s="8"/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4</v>
      </c>
      <c r="AA430" s="13">
        <v>0</v>
      </c>
      <c r="AB430" s="13">
        <v>0</v>
      </c>
      <c r="AC430" s="13">
        <v>0</v>
      </c>
      <c r="AD430" s="13">
        <v>0</v>
      </c>
    </row>
    <row r="431" spans="1:30" ht="15.75" thickBot="1" x14ac:dyDescent="0.3">
      <c r="A431" s="9" t="s">
        <v>976</v>
      </c>
      <c r="B431" s="9" t="s">
        <v>1070</v>
      </c>
      <c r="C431" s="45" t="str">
        <f t="shared" si="6"/>
        <v>KB3B 2623943 JB3ZHE</v>
      </c>
      <c r="D431" s="10" t="s">
        <v>1079</v>
      </c>
      <c r="E431" s="10" t="s">
        <v>1076</v>
      </c>
      <c r="F431" s="9" t="s">
        <v>494</v>
      </c>
      <c r="G431" s="9" t="s">
        <v>262</v>
      </c>
      <c r="H431" s="12">
        <v>40</v>
      </c>
      <c r="I431" s="8"/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3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</row>
    <row r="432" spans="1:30" ht="15.75" thickBot="1" x14ac:dyDescent="0.3">
      <c r="A432" s="9" t="s">
        <v>976</v>
      </c>
      <c r="B432" s="9" t="s">
        <v>1070</v>
      </c>
      <c r="C432" s="45" t="str">
        <f t="shared" si="6"/>
        <v>KB3B 2627407 CE3ZHE</v>
      </c>
      <c r="D432" s="10" t="s">
        <v>1080</v>
      </c>
      <c r="E432" s="10" t="s">
        <v>1081</v>
      </c>
      <c r="F432" s="9" t="s">
        <v>494</v>
      </c>
      <c r="G432" s="9" t="s">
        <v>262</v>
      </c>
      <c r="H432" s="12">
        <v>40</v>
      </c>
      <c r="I432" s="8"/>
      <c r="J432" s="13">
        <v>0</v>
      </c>
      <c r="K432" s="13">
        <v>0</v>
      </c>
      <c r="L432" s="13">
        <v>0</v>
      </c>
      <c r="M432" s="13">
        <v>4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4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</row>
    <row r="433" spans="1:30" ht="15.75" thickBot="1" x14ac:dyDescent="0.3">
      <c r="A433" s="9" t="s">
        <v>1082</v>
      </c>
      <c r="B433" s="9" t="s">
        <v>1083</v>
      </c>
      <c r="C433" s="45" t="str">
        <f t="shared" si="6"/>
        <v>DET850109BU0A07N00R</v>
      </c>
      <c r="D433" s="10" t="s">
        <v>1084</v>
      </c>
      <c r="E433" s="10" t="s">
        <v>1085</v>
      </c>
      <c r="F433" s="9" t="s">
        <v>1086</v>
      </c>
      <c r="G433" s="9" t="s">
        <v>924</v>
      </c>
      <c r="H433" s="12">
        <v>900</v>
      </c>
      <c r="I433" s="12">
        <v>3169</v>
      </c>
      <c r="J433" s="13">
        <v>0</v>
      </c>
      <c r="K433" s="13">
        <v>183</v>
      </c>
      <c r="L433" s="13">
        <v>4000</v>
      </c>
      <c r="M433" s="13">
        <v>3000</v>
      </c>
      <c r="N433" s="13">
        <v>3000</v>
      </c>
      <c r="O433" s="13">
        <v>3000</v>
      </c>
      <c r="P433" s="13">
        <v>3000</v>
      </c>
      <c r="Q433" s="13">
        <v>3000</v>
      </c>
      <c r="R433" s="13">
        <v>3000</v>
      </c>
      <c r="S433" s="13">
        <v>3000</v>
      </c>
      <c r="T433" s="13">
        <v>3000</v>
      </c>
      <c r="U433" s="13">
        <v>3000</v>
      </c>
      <c r="V433" s="13">
        <v>0</v>
      </c>
      <c r="W433" s="13">
        <v>0</v>
      </c>
      <c r="X433" s="13">
        <v>5000</v>
      </c>
      <c r="Y433" s="13">
        <v>0</v>
      </c>
      <c r="Z433" s="13">
        <v>0</v>
      </c>
      <c r="AA433" s="13">
        <v>0</v>
      </c>
      <c r="AB433" s="13">
        <v>0</v>
      </c>
      <c r="AC433" s="13">
        <v>8000</v>
      </c>
      <c r="AD433" s="13">
        <v>0</v>
      </c>
    </row>
    <row r="434" spans="1:30" ht="15.75" thickBot="1" x14ac:dyDescent="0.3">
      <c r="A434" s="9" t="s">
        <v>1082</v>
      </c>
      <c r="B434" s="9" t="s">
        <v>1083</v>
      </c>
      <c r="C434" s="45" t="str">
        <f t="shared" si="6"/>
        <v>DET850109BU0A08N00L</v>
      </c>
      <c r="D434" s="10" t="s">
        <v>1087</v>
      </c>
      <c r="E434" s="10" t="s">
        <v>1088</v>
      </c>
      <c r="F434" s="9" t="s">
        <v>1086</v>
      </c>
      <c r="G434" s="9" t="s">
        <v>924</v>
      </c>
      <c r="H434" s="12">
        <v>900</v>
      </c>
      <c r="I434" s="12">
        <v>2817</v>
      </c>
      <c r="J434" s="13">
        <v>0</v>
      </c>
      <c r="K434" s="13">
        <v>183</v>
      </c>
      <c r="L434" s="13">
        <v>4000</v>
      </c>
      <c r="M434" s="13">
        <v>3000</v>
      </c>
      <c r="N434" s="13">
        <v>3000</v>
      </c>
      <c r="O434" s="13">
        <v>3000</v>
      </c>
      <c r="P434" s="13">
        <v>3000</v>
      </c>
      <c r="Q434" s="13">
        <v>3000</v>
      </c>
      <c r="R434" s="13">
        <v>3000</v>
      </c>
      <c r="S434" s="13">
        <v>3000</v>
      </c>
      <c r="T434" s="13">
        <v>3000</v>
      </c>
      <c r="U434" s="13">
        <v>3000</v>
      </c>
      <c r="V434" s="13">
        <v>0</v>
      </c>
      <c r="W434" s="13">
        <v>0</v>
      </c>
      <c r="X434" s="13">
        <v>5000</v>
      </c>
      <c r="Y434" s="13">
        <v>0</v>
      </c>
      <c r="Z434" s="13">
        <v>0</v>
      </c>
      <c r="AA434" s="13">
        <v>0</v>
      </c>
      <c r="AB434" s="13">
        <v>0</v>
      </c>
      <c r="AC434" s="13">
        <v>8000</v>
      </c>
      <c r="AD434" s="13">
        <v>0</v>
      </c>
    </row>
    <row r="435" spans="1:30" ht="15.75" thickBot="1" x14ac:dyDescent="0.3">
      <c r="A435" s="9" t="s">
        <v>1082</v>
      </c>
      <c r="B435" s="9" t="s">
        <v>1083</v>
      </c>
      <c r="C435" s="45" t="str">
        <f t="shared" si="6"/>
        <v>DET850109BU0A09N00R</v>
      </c>
      <c r="D435" s="10" t="s">
        <v>1089</v>
      </c>
      <c r="E435" s="10" t="s">
        <v>1090</v>
      </c>
      <c r="F435" s="9" t="s">
        <v>1086</v>
      </c>
      <c r="G435" s="9" t="s">
        <v>924</v>
      </c>
      <c r="H435" s="12">
        <v>900</v>
      </c>
      <c r="I435" s="12">
        <v>4053</v>
      </c>
      <c r="J435" s="13">
        <v>0</v>
      </c>
      <c r="K435" s="13">
        <v>0</v>
      </c>
      <c r="L435" s="13">
        <v>681</v>
      </c>
      <c r="M435" s="13">
        <v>2700</v>
      </c>
      <c r="N435" s="13">
        <v>2700</v>
      </c>
      <c r="O435" s="13">
        <v>2700</v>
      </c>
      <c r="P435" s="13">
        <v>2700</v>
      </c>
      <c r="Q435" s="13">
        <v>2700</v>
      </c>
      <c r="R435" s="13">
        <v>2700</v>
      </c>
      <c r="S435" s="13">
        <v>2700</v>
      </c>
      <c r="T435" s="13">
        <v>2700</v>
      </c>
      <c r="U435" s="13">
        <v>0</v>
      </c>
      <c r="V435" s="13">
        <v>0</v>
      </c>
      <c r="W435" s="13">
        <v>0</v>
      </c>
      <c r="X435" s="13">
        <v>5400</v>
      </c>
      <c r="Y435" s="13">
        <v>0</v>
      </c>
      <c r="Z435" s="13">
        <v>0</v>
      </c>
      <c r="AA435" s="13">
        <v>0</v>
      </c>
      <c r="AB435" s="13">
        <v>0</v>
      </c>
      <c r="AC435" s="13">
        <v>8100</v>
      </c>
      <c r="AD435" s="13">
        <v>0</v>
      </c>
    </row>
    <row r="436" spans="1:30" ht="15.75" thickBot="1" x14ac:dyDescent="0.3">
      <c r="A436" s="9" t="s">
        <v>1082</v>
      </c>
      <c r="B436" s="9" t="s">
        <v>1083</v>
      </c>
      <c r="C436" s="45" t="str">
        <f t="shared" si="6"/>
        <v>DET850109BU0A10N00L</v>
      </c>
      <c r="D436" s="10" t="s">
        <v>1091</v>
      </c>
      <c r="E436" s="10" t="s">
        <v>1092</v>
      </c>
      <c r="F436" s="9" t="s">
        <v>1086</v>
      </c>
      <c r="G436" s="9" t="s">
        <v>924</v>
      </c>
      <c r="H436" s="12">
        <v>900</v>
      </c>
      <c r="I436" s="12">
        <v>4206</v>
      </c>
      <c r="J436" s="13">
        <v>0</v>
      </c>
      <c r="K436" s="13">
        <v>0</v>
      </c>
      <c r="L436" s="13">
        <v>681</v>
      </c>
      <c r="M436" s="13">
        <v>2700</v>
      </c>
      <c r="N436" s="13">
        <v>2700</v>
      </c>
      <c r="O436" s="13">
        <v>2700</v>
      </c>
      <c r="P436" s="13">
        <v>2700</v>
      </c>
      <c r="Q436" s="13">
        <v>2700</v>
      </c>
      <c r="R436" s="13">
        <v>2700</v>
      </c>
      <c r="S436" s="13">
        <v>2700</v>
      </c>
      <c r="T436" s="13">
        <v>2700</v>
      </c>
      <c r="U436" s="13">
        <v>0</v>
      </c>
      <c r="V436" s="13">
        <v>0</v>
      </c>
      <c r="W436" s="13">
        <v>0</v>
      </c>
      <c r="X436" s="13">
        <v>5400</v>
      </c>
      <c r="Y436" s="13">
        <v>0</v>
      </c>
      <c r="Z436" s="13">
        <v>0</v>
      </c>
      <c r="AA436" s="13">
        <v>0</v>
      </c>
      <c r="AB436" s="13">
        <v>0</v>
      </c>
      <c r="AC436" s="13">
        <v>8100</v>
      </c>
      <c r="AD436" s="13">
        <v>0</v>
      </c>
    </row>
    <row r="437" spans="1:30" ht="15.75" thickBot="1" x14ac:dyDescent="0.3">
      <c r="A437" s="9" t="s">
        <v>1082</v>
      </c>
      <c r="B437" s="9" t="s">
        <v>1093</v>
      </c>
      <c r="C437" s="45" t="str">
        <f t="shared" si="6"/>
        <v>DET21109A84A</v>
      </c>
      <c r="D437" s="10" t="s">
        <v>1094</v>
      </c>
      <c r="E437" s="10" t="s">
        <v>1095</v>
      </c>
      <c r="F437" s="9" t="s">
        <v>494</v>
      </c>
      <c r="G437" s="9" t="s">
        <v>924</v>
      </c>
      <c r="H437" s="12">
        <v>1800</v>
      </c>
      <c r="I437" s="12">
        <v>7142</v>
      </c>
      <c r="J437" s="13">
        <v>0</v>
      </c>
      <c r="K437" s="13">
        <v>0</v>
      </c>
      <c r="L437" s="13">
        <v>4014</v>
      </c>
      <c r="M437" s="13">
        <v>3888</v>
      </c>
      <c r="N437" s="13">
        <v>5120</v>
      </c>
      <c r="O437" s="13">
        <v>5504</v>
      </c>
      <c r="P437" s="13">
        <v>6172</v>
      </c>
      <c r="Q437" s="13">
        <v>2868</v>
      </c>
      <c r="R437" s="13">
        <v>4044</v>
      </c>
      <c r="S437" s="13">
        <v>5964</v>
      </c>
      <c r="T437" s="13">
        <v>6296</v>
      </c>
      <c r="U437" s="13">
        <v>5992</v>
      </c>
      <c r="V437" s="13">
        <v>5144</v>
      </c>
      <c r="W437" s="13">
        <v>8296</v>
      </c>
      <c r="X437" s="13">
        <v>7936</v>
      </c>
      <c r="Y437" s="13">
        <v>7988</v>
      </c>
      <c r="Z437" s="13">
        <v>9828</v>
      </c>
      <c r="AA437" s="13">
        <v>0</v>
      </c>
      <c r="AB437" s="13">
        <v>1664</v>
      </c>
      <c r="AC437" s="13">
        <v>8320</v>
      </c>
      <c r="AD437" s="13">
        <v>8192</v>
      </c>
    </row>
    <row r="438" spans="1:30" ht="15.75" thickBot="1" x14ac:dyDescent="0.3">
      <c r="A438" s="9" t="s">
        <v>1082</v>
      </c>
      <c r="B438" s="9" t="s">
        <v>1093</v>
      </c>
      <c r="C438" s="45" t="str">
        <f t="shared" si="6"/>
        <v>DET21410A48A</v>
      </c>
      <c r="D438" s="10" t="s">
        <v>1096</v>
      </c>
      <c r="E438" s="10" t="s">
        <v>1097</v>
      </c>
      <c r="F438" s="9" t="s">
        <v>494</v>
      </c>
      <c r="G438" s="9" t="s">
        <v>924</v>
      </c>
      <c r="H438" s="12">
        <v>900</v>
      </c>
      <c r="I438" s="12">
        <v>6606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1078</v>
      </c>
      <c r="P438" s="13">
        <v>1796</v>
      </c>
      <c r="Q438" s="13">
        <v>448</v>
      </c>
      <c r="R438" s="13">
        <v>1004</v>
      </c>
      <c r="S438" s="13">
        <v>1534</v>
      </c>
      <c r="T438" s="13">
        <v>1656</v>
      </c>
      <c r="U438" s="13">
        <v>1496</v>
      </c>
      <c r="V438" s="13">
        <v>1276</v>
      </c>
      <c r="W438" s="13">
        <v>2064</v>
      </c>
      <c r="X438" s="13">
        <v>2008</v>
      </c>
      <c r="Y438" s="13">
        <v>1992</v>
      </c>
      <c r="Z438" s="13">
        <v>2464</v>
      </c>
      <c r="AA438" s="13">
        <v>0</v>
      </c>
      <c r="AB438" s="13">
        <v>412</v>
      </c>
      <c r="AC438" s="13">
        <v>2068</v>
      </c>
      <c r="AD438" s="13">
        <v>2064</v>
      </c>
    </row>
    <row r="439" spans="1:30" ht="15.75" thickBot="1" x14ac:dyDescent="0.3">
      <c r="A439" s="9" t="s">
        <v>1082</v>
      </c>
      <c r="B439" s="9" t="s">
        <v>1093</v>
      </c>
      <c r="C439" s="45" t="str">
        <f t="shared" si="6"/>
        <v>DET21410A49A</v>
      </c>
      <c r="D439" s="10" t="s">
        <v>1098</v>
      </c>
      <c r="E439" s="10" t="s">
        <v>1097</v>
      </c>
      <c r="F439" s="9" t="s">
        <v>494</v>
      </c>
      <c r="G439" s="9" t="s">
        <v>924</v>
      </c>
      <c r="H439" s="12">
        <v>900</v>
      </c>
      <c r="I439" s="12">
        <v>5169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1078</v>
      </c>
      <c r="P439" s="13">
        <v>1796</v>
      </c>
      <c r="Q439" s="13">
        <v>448</v>
      </c>
      <c r="R439" s="13">
        <v>1004</v>
      </c>
      <c r="S439" s="13">
        <v>1534</v>
      </c>
      <c r="T439" s="13">
        <v>1656</v>
      </c>
      <c r="U439" s="13">
        <v>1496</v>
      </c>
      <c r="V439" s="13">
        <v>1276</v>
      </c>
      <c r="W439" s="13">
        <v>2064</v>
      </c>
      <c r="X439" s="13">
        <v>2008</v>
      </c>
      <c r="Y439" s="13">
        <v>1992</v>
      </c>
      <c r="Z439" s="13">
        <v>2464</v>
      </c>
      <c r="AA439" s="13">
        <v>0</v>
      </c>
      <c r="AB439" s="13">
        <v>412</v>
      </c>
      <c r="AC439" s="13">
        <v>2068</v>
      </c>
      <c r="AD439" s="13">
        <v>2064</v>
      </c>
    </row>
    <row r="440" spans="1:30" ht="15.75" thickBot="1" x14ac:dyDescent="0.3">
      <c r="A440" s="9" t="s">
        <v>1082</v>
      </c>
      <c r="B440" s="9" t="s">
        <v>1093</v>
      </c>
      <c r="C440" s="45" t="str">
        <f t="shared" si="6"/>
        <v>DET26107K40A</v>
      </c>
      <c r="D440" s="10" t="s">
        <v>1099</v>
      </c>
      <c r="E440" s="10" t="s">
        <v>1100</v>
      </c>
      <c r="F440" s="9" t="s">
        <v>494</v>
      </c>
      <c r="G440" s="9" t="s">
        <v>924</v>
      </c>
      <c r="H440" s="12">
        <v>900</v>
      </c>
      <c r="I440" s="12">
        <v>2933</v>
      </c>
      <c r="J440" s="13">
        <v>0</v>
      </c>
      <c r="K440" s="13">
        <v>0</v>
      </c>
      <c r="L440" s="13">
        <v>3</v>
      </c>
      <c r="M440" s="13">
        <v>1021</v>
      </c>
      <c r="N440" s="13">
        <v>1108</v>
      </c>
      <c r="O440" s="13">
        <v>1518</v>
      </c>
      <c r="P440" s="13">
        <v>1895</v>
      </c>
      <c r="Q440" s="13">
        <v>371</v>
      </c>
      <c r="R440" s="13">
        <v>1043</v>
      </c>
      <c r="S440" s="13">
        <v>1516</v>
      </c>
      <c r="T440" s="13">
        <v>1663</v>
      </c>
      <c r="U440" s="13">
        <v>1485</v>
      </c>
      <c r="V440" s="13">
        <v>1285</v>
      </c>
      <c r="W440" s="13">
        <v>2068</v>
      </c>
      <c r="X440" s="13">
        <v>1998</v>
      </c>
      <c r="Y440" s="13">
        <v>1991</v>
      </c>
      <c r="Z440" s="13">
        <v>2472</v>
      </c>
      <c r="AA440" s="13">
        <v>0</v>
      </c>
      <c r="AB440" s="13">
        <v>412</v>
      </c>
      <c r="AC440" s="13">
        <v>2063</v>
      </c>
      <c r="AD440" s="13">
        <v>2055</v>
      </c>
    </row>
    <row r="441" spans="1:30" ht="15.75" thickBot="1" x14ac:dyDescent="0.3">
      <c r="A441" s="9" t="s">
        <v>1082</v>
      </c>
      <c r="B441" s="9" t="s">
        <v>1093</v>
      </c>
      <c r="C441" s="45" t="str">
        <f t="shared" si="6"/>
        <v>DET26108A70A</v>
      </c>
      <c r="D441" s="10" t="s">
        <v>1101</v>
      </c>
      <c r="E441" s="10" t="s">
        <v>1102</v>
      </c>
      <c r="F441" s="9" t="s">
        <v>494</v>
      </c>
      <c r="G441" s="9" t="s">
        <v>924</v>
      </c>
      <c r="H441" s="12">
        <v>900</v>
      </c>
      <c r="I441" s="12">
        <v>3020</v>
      </c>
      <c r="J441" s="13">
        <v>0</v>
      </c>
      <c r="K441" s="13">
        <v>0</v>
      </c>
      <c r="L441" s="13">
        <v>0</v>
      </c>
      <c r="M441" s="13">
        <v>937</v>
      </c>
      <c r="N441" s="13">
        <v>1108</v>
      </c>
      <c r="O441" s="13">
        <v>1518</v>
      </c>
      <c r="P441" s="13">
        <v>1895</v>
      </c>
      <c r="Q441" s="13">
        <v>371</v>
      </c>
      <c r="R441" s="13">
        <v>1043</v>
      </c>
      <c r="S441" s="13">
        <v>1516</v>
      </c>
      <c r="T441" s="13">
        <v>1663</v>
      </c>
      <c r="U441" s="13">
        <v>1485</v>
      </c>
      <c r="V441" s="13">
        <v>1285</v>
      </c>
      <c r="W441" s="13">
        <v>2068</v>
      </c>
      <c r="X441" s="13">
        <v>1998</v>
      </c>
      <c r="Y441" s="13">
        <v>1991</v>
      </c>
      <c r="Z441" s="13">
        <v>2472</v>
      </c>
      <c r="AA441" s="13">
        <v>0</v>
      </c>
      <c r="AB441" s="13">
        <v>412</v>
      </c>
      <c r="AC441" s="13">
        <v>2063</v>
      </c>
      <c r="AD441" s="13">
        <v>2055</v>
      </c>
    </row>
    <row r="442" spans="1:30" ht="15.75" thickBot="1" x14ac:dyDescent="0.3">
      <c r="A442" s="9" t="s">
        <v>1082</v>
      </c>
      <c r="B442" s="9" t="s">
        <v>1093</v>
      </c>
      <c r="C442" s="45" t="str">
        <f t="shared" si="6"/>
        <v>DET26108A71A</v>
      </c>
      <c r="D442" s="10" t="s">
        <v>1103</v>
      </c>
      <c r="E442" s="10" t="s">
        <v>1104</v>
      </c>
      <c r="F442" s="9" t="s">
        <v>494</v>
      </c>
      <c r="G442" s="9" t="s">
        <v>924</v>
      </c>
      <c r="H442" s="12">
        <v>900</v>
      </c>
      <c r="I442" s="12">
        <v>3170</v>
      </c>
      <c r="J442" s="13">
        <v>0</v>
      </c>
      <c r="K442" s="13">
        <v>0</v>
      </c>
      <c r="L442" s="13">
        <v>0</v>
      </c>
      <c r="M442" s="13">
        <v>937</v>
      </c>
      <c r="N442" s="13">
        <v>1108</v>
      </c>
      <c r="O442" s="13">
        <v>1518</v>
      </c>
      <c r="P442" s="13">
        <v>1895</v>
      </c>
      <c r="Q442" s="13">
        <v>371</v>
      </c>
      <c r="R442" s="13">
        <v>1043</v>
      </c>
      <c r="S442" s="13">
        <v>1516</v>
      </c>
      <c r="T442" s="13">
        <v>1663</v>
      </c>
      <c r="U442" s="13">
        <v>1485</v>
      </c>
      <c r="V442" s="13">
        <v>1285</v>
      </c>
      <c r="W442" s="13">
        <v>2068</v>
      </c>
      <c r="X442" s="13">
        <v>1998</v>
      </c>
      <c r="Y442" s="13">
        <v>1991</v>
      </c>
      <c r="Z442" s="13">
        <v>2472</v>
      </c>
      <c r="AA442" s="13">
        <v>0</v>
      </c>
      <c r="AB442" s="13">
        <v>412</v>
      </c>
      <c r="AC442" s="13">
        <v>2063</v>
      </c>
      <c r="AD442" s="13">
        <v>2055</v>
      </c>
    </row>
    <row r="443" spans="1:30" ht="15.75" thickBot="1" x14ac:dyDescent="0.3">
      <c r="A443" s="9" t="s">
        <v>1082</v>
      </c>
      <c r="B443" s="9" t="s">
        <v>1093</v>
      </c>
      <c r="C443" s="45" t="str">
        <f t="shared" si="6"/>
        <v>DET26243B12A</v>
      </c>
      <c r="D443" s="10" t="s">
        <v>1105</v>
      </c>
      <c r="E443" s="10" t="s">
        <v>1106</v>
      </c>
      <c r="F443" s="9" t="s">
        <v>494</v>
      </c>
      <c r="G443" s="9" t="s">
        <v>924</v>
      </c>
      <c r="H443" s="12">
        <v>900</v>
      </c>
      <c r="I443" s="12">
        <v>11916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</v>
      </c>
      <c r="Q443" s="13">
        <v>0</v>
      </c>
      <c r="R443" s="13">
        <v>0</v>
      </c>
      <c r="S443" s="13">
        <v>335</v>
      </c>
      <c r="T443" s="13">
        <v>1584</v>
      </c>
      <c r="U443" s="13">
        <v>1488</v>
      </c>
      <c r="V443" s="13">
        <v>1300</v>
      </c>
      <c r="W443" s="13">
        <v>2064</v>
      </c>
      <c r="X443" s="13">
        <v>1997</v>
      </c>
      <c r="Y443" s="13">
        <v>1997</v>
      </c>
      <c r="Z443" s="13">
        <v>2457</v>
      </c>
      <c r="AA443" s="13">
        <v>0</v>
      </c>
      <c r="AB443" s="13">
        <v>413</v>
      </c>
      <c r="AC443" s="13">
        <v>2074</v>
      </c>
      <c r="AD443" s="13">
        <v>2073</v>
      </c>
    </row>
    <row r="444" spans="1:30" ht="15.75" thickBot="1" x14ac:dyDescent="0.3">
      <c r="A444" s="9" t="s">
        <v>1082</v>
      </c>
      <c r="B444" s="9" t="s">
        <v>1093</v>
      </c>
      <c r="C444" s="45" t="str">
        <f t="shared" si="6"/>
        <v>DET26243B13A</v>
      </c>
      <c r="D444" s="10" t="s">
        <v>1107</v>
      </c>
      <c r="E444" s="10" t="s">
        <v>1108</v>
      </c>
      <c r="F444" s="9" t="s">
        <v>494</v>
      </c>
      <c r="G444" s="9" t="s">
        <v>924</v>
      </c>
      <c r="H444" s="12">
        <v>900</v>
      </c>
      <c r="I444" s="12">
        <v>10859</v>
      </c>
      <c r="J444" s="13">
        <v>0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0</v>
      </c>
      <c r="S444" s="13">
        <v>335</v>
      </c>
      <c r="T444" s="13">
        <v>1584</v>
      </c>
      <c r="U444" s="13">
        <v>1488</v>
      </c>
      <c r="V444" s="13">
        <v>1300</v>
      </c>
      <c r="W444" s="13">
        <v>2064</v>
      </c>
      <c r="X444" s="13">
        <v>1997</v>
      </c>
      <c r="Y444" s="13">
        <v>1997</v>
      </c>
      <c r="Z444" s="13">
        <v>2457</v>
      </c>
      <c r="AA444" s="13">
        <v>0</v>
      </c>
      <c r="AB444" s="13">
        <v>413</v>
      </c>
      <c r="AC444" s="13">
        <v>2074</v>
      </c>
      <c r="AD444" s="13">
        <v>2073</v>
      </c>
    </row>
    <row r="445" spans="1:30" ht="15.75" thickBot="1" x14ac:dyDescent="0.3">
      <c r="A445" s="9" t="s">
        <v>1082</v>
      </c>
      <c r="B445" s="9" t="s">
        <v>1093</v>
      </c>
      <c r="C445" s="45" t="str">
        <f t="shared" si="6"/>
        <v>DET2640506A</v>
      </c>
      <c r="D445" s="10" t="s">
        <v>1109</v>
      </c>
      <c r="E445" s="10" t="s">
        <v>1110</v>
      </c>
      <c r="F445" s="9" t="s">
        <v>494</v>
      </c>
      <c r="G445" s="9" t="s">
        <v>924</v>
      </c>
      <c r="H445" s="12">
        <v>900</v>
      </c>
      <c r="I445" s="12">
        <v>5250</v>
      </c>
      <c r="J445" s="13">
        <v>0</v>
      </c>
      <c r="K445" s="13">
        <v>0</v>
      </c>
      <c r="L445" s="13">
        <v>0</v>
      </c>
      <c r="M445" s="13">
        <v>0</v>
      </c>
      <c r="N445" s="13">
        <v>212</v>
      </c>
      <c r="O445" s="13">
        <v>1386</v>
      </c>
      <c r="P445" s="13">
        <v>890</v>
      </c>
      <c r="Q445" s="13">
        <v>1033</v>
      </c>
      <c r="R445" s="13">
        <v>1496</v>
      </c>
      <c r="S445" s="13">
        <v>1587</v>
      </c>
      <c r="T445" s="13">
        <v>1462</v>
      </c>
      <c r="U445" s="13">
        <v>1285</v>
      </c>
      <c r="V445" s="13">
        <v>2066</v>
      </c>
      <c r="W445" s="13">
        <v>2025</v>
      </c>
      <c r="X445" s="13">
        <v>1991</v>
      </c>
      <c r="Y445" s="13">
        <v>2452</v>
      </c>
      <c r="Z445" s="13">
        <v>0</v>
      </c>
      <c r="AA445" s="13">
        <v>412</v>
      </c>
      <c r="AB445" s="13">
        <v>2066</v>
      </c>
      <c r="AC445" s="13">
        <v>2067</v>
      </c>
      <c r="AD445" s="13">
        <v>1957</v>
      </c>
    </row>
    <row r="446" spans="1:30" ht="15.75" thickBot="1" x14ac:dyDescent="0.3">
      <c r="A446" s="9" t="s">
        <v>1082</v>
      </c>
      <c r="B446" s="9" t="s">
        <v>1093</v>
      </c>
      <c r="C446" s="45" t="str">
        <f t="shared" si="6"/>
        <v>DET2650840A</v>
      </c>
      <c r="D446" s="10" t="s">
        <v>1111</v>
      </c>
      <c r="E446" s="10" t="s">
        <v>1112</v>
      </c>
      <c r="F446" s="9" t="s">
        <v>494</v>
      </c>
      <c r="G446" s="9" t="s">
        <v>924</v>
      </c>
      <c r="H446" s="12">
        <v>900</v>
      </c>
      <c r="I446" s="12">
        <v>6023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470</v>
      </c>
      <c r="Q446" s="13">
        <v>677</v>
      </c>
      <c r="R446" s="13">
        <v>986</v>
      </c>
      <c r="S446" s="13">
        <v>1266</v>
      </c>
      <c r="T446" s="13">
        <v>1386</v>
      </c>
      <c r="U446" s="13">
        <v>1293</v>
      </c>
      <c r="V446" s="13">
        <v>1078</v>
      </c>
      <c r="W446" s="13">
        <v>1725</v>
      </c>
      <c r="X446" s="13">
        <v>1756</v>
      </c>
      <c r="Y446" s="13">
        <v>1632</v>
      </c>
      <c r="Z446" s="13">
        <v>2094</v>
      </c>
      <c r="AA446" s="13">
        <v>0</v>
      </c>
      <c r="AB446" s="13">
        <v>370</v>
      </c>
      <c r="AC446" s="13">
        <v>1817</v>
      </c>
      <c r="AD446" s="13">
        <v>1694</v>
      </c>
    </row>
    <row r="447" spans="1:30" ht="15.75" thickBot="1" x14ac:dyDescent="0.3">
      <c r="A447" s="9" t="s">
        <v>1082</v>
      </c>
      <c r="B447" s="9" t="s">
        <v>1093</v>
      </c>
      <c r="C447" s="45" t="str">
        <f t="shared" si="6"/>
        <v>DET26625A64A</v>
      </c>
      <c r="D447" s="10" t="s">
        <v>1113</v>
      </c>
      <c r="E447" s="10" t="s">
        <v>1114</v>
      </c>
      <c r="F447" s="9" t="s">
        <v>494</v>
      </c>
      <c r="G447" s="9" t="s">
        <v>924</v>
      </c>
      <c r="H447" s="12">
        <v>900</v>
      </c>
      <c r="I447" s="12">
        <v>2440</v>
      </c>
      <c r="J447" s="13">
        <v>0</v>
      </c>
      <c r="K447" s="13">
        <v>0</v>
      </c>
      <c r="L447" s="13">
        <v>496</v>
      </c>
      <c r="M447" s="13">
        <v>1021</v>
      </c>
      <c r="N447" s="13">
        <v>1108</v>
      </c>
      <c r="O447" s="13">
        <v>1518</v>
      </c>
      <c r="P447" s="13">
        <v>1895</v>
      </c>
      <c r="Q447" s="13">
        <v>371</v>
      </c>
      <c r="R447" s="13">
        <v>1043</v>
      </c>
      <c r="S447" s="13">
        <v>1516</v>
      </c>
      <c r="T447" s="13">
        <v>1663</v>
      </c>
      <c r="U447" s="13">
        <v>1485</v>
      </c>
      <c r="V447" s="13">
        <v>1285</v>
      </c>
      <c r="W447" s="13">
        <v>2068</v>
      </c>
      <c r="X447" s="13">
        <v>1998</v>
      </c>
      <c r="Y447" s="13">
        <v>1991</v>
      </c>
      <c r="Z447" s="13">
        <v>2472</v>
      </c>
      <c r="AA447" s="13">
        <v>0</v>
      </c>
      <c r="AB447" s="13">
        <v>412</v>
      </c>
      <c r="AC447" s="13">
        <v>2063</v>
      </c>
      <c r="AD447" s="13">
        <v>2055</v>
      </c>
    </row>
    <row r="448" spans="1:30" ht="15.75" thickBot="1" x14ac:dyDescent="0.3">
      <c r="A448" s="9" t="s">
        <v>1082</v>
      </c>
      <c r="B448" s="9" t="s">
        <v>1093</v>
      </c>
      <c r="C448" s="45" t="str">
        <f t="shared" si="6"/>
        <v>DET68424074</v>
      </c>
      <c r="D448" s="10" t="s">
        <v>1115</v>
      </c>
      <c r="E448" s="10" t="s">
        <v>1116</v>
      </c>
      <c r="F448" s="9" t="s">
        <v>1117</v>
      </c>
      <c r="G448" s="9" t="s">
        <v>924</v>
      </c>
      <c r="H448" s="12">
        <v>900</v>
      </c>
      <c r="I448" s="12">
        <v>1012</v>
      </c>
      <c r="J448" s="13">
        <v>0</v>
      </c>
      <c r="K448" s="13">
        <v>0</v>
      </c>
      <c r="L448" s="13">
        <v>0</v>
      </c>
      <c r="M448" s="13">
        <v>750</v>
      </c>
      <c r="N448" s="13">
        <v>3000</v>
      </c>
      <c r="O448" s="13">
        <v>2000</v>
      </c>
      <c r="P448" s="13">
        <v>3000</v>
      </c>
      <c r="Q448" s="13">
        <v>3000</v>
      </c>
      <c r="R448" s="13">
        <v>3000</v>
      </c>
      <c r="S448" s="13">
        <v>2000</v>
      </c>
      <c r="T448" s="13">
        <v>3000</v>
      </c>
      <c r="U448" s="13">
        <v>2000</v>
      </c>
      <c r="V448" s="13">
        <v>2000</v>
      </c>
      <c r="W448" s="13">
        <v>3000</v>
      </c>
      <c r="X448" s="13">
        <v>2000</v>
      </c>
      <c r="Y448" s="13">
        <v>3000</v>
      </c>
      <c r="Z448" s="13">
        <v>2000</v>
      </c>
      <c r="AA448" s="13">
        <v>0</v>
      </c>
      <c r="AB448" s="13">
        <v>2000</v>
      </c>
      <c r="AC448" s="13">
        <v>3000</v>
      </c>
      <c r="AD448" s="13">
        <v>3000</v>
      </c>
    </row>
    <row r="449" spans="1:30" ht="15.75" thickBot="1" x14ac:dyDescent="0.3">
      <c r="A449" s="9" t="s">
        <v>1082</v>
      </c>
      <c r="B449" s="9" t="s">
        <v>1093</v>
      </c>
      <c r="C449" s="45" t="str">
        <f t="shared" si="6"/>
        <v>DET68424075</v>
      </c>
      <c r="D449" s="10" t="s">
        <v>1118</v>
      </c>
      <c r="E449" s="10" t="s">
        <v>1119</v>
      </c>
      <c r="F449" s="9" t="s">
        <v>1117</v>
      </c>
      <c r="G449" s="9" t="s">
        <v>924</v>
      </c>
      <c r="H449" s="12">
        <v>900</v>
      </c>
      <c r="I449" s="12">
        <v>6986</v>
      </c>
      <c r="J449" s="13">
        <v>0</v>
      </c>
      <c r="K449" s="13">
        <v>0</v>
      </c>
      <c r="L449" s="13">
        <v>0</v>
      </c>
      <c r="M449" s="13">
        <v>750</v>
      </c>
      <c r="N449" s="13">
        <v>3000</v>
      </c>
      <c r="O449" s="13">
        <v>2000</v>
      </c>
      <c r="P449" s="13">
        <v>3000</v>
      </c>
      <c r="Q449" s="13">
        <v>3000</v>
      </c>
      <c r="R449" s="13">
        <v>3000</v>
      </c>
      <c r="S449" s="13">
        <v>2000</v>
      </c>
      <c r="T449" s="13">
        <v>3000</v>
      </c>
      <c r="U449" s="13">
        <v>2000</v>
      </c>
      <c r="V449" s="13">
        <v>2000</v>
      </c>
      <c r="W449" s="13">
        <v>3000</v>
      </c>
      <c r="X449" s="13">
        <v>2000</v>
      </c>
      <c r="Y449" s="13">
        <v>3000</v>
      </c>
      <c r="Z449" s="13">
        <v>2000</v>
      </c>
      <c r="AA449" s="13">
        <v>0</v>
      </c>
      <c r="AB449" s="13">
        <v>2000</v>
      </c>
      <c r="AC449" s="13">
        <v>3000</v>
      </c>
      <c r="AD449" s="13">
        <v>3000</v>
      </c>
    </row>
    <row r="450" spans="1:30" ht="15.75" thickBot="1" x14ac:dyDescent="0.3">
      <c r="A450" s="9" t="s">
        <v>1082</v>
      </c>
      <c r="B450" s="9" t="s">
        <v>1093</v>
      </c>
      <c r="C450" s="45" t="str">
        <f t="shared" si="6"/>
        <v>DET68431601</v>
      </c>
      <c r="D450" s="10" t="s">
        <v>1120</v>
      </c>
      <c r="E450" s="10" t="s">
        <v>1121</v>
      </c>
      <c r="F450" s="9" t="s">
        <v>1117</v>
      </c>
      <c r="G450" s="9" t="s">
        <v>924</v>
      </c>
      <c r="H450" s="12">
        <v>900</v>
      </c>
      <c r="I450" s="12">
        <v>913</v>
      </c>
      <c r="J450" s="13">
        <v>0</v>
      </c>
      <c r="K450" s="13">
        <v>0</v>
      </c>
      <c r="L450" s="13">
        <v>2409</v>
      </c>
      <c r="M450" s="13">
        <v>2400</v>
      </c>
      <c r="N450" s="13">
        <v>2400</v>
      </c>
      <c r="O450" s="13">
        <v>2400</v>
      </c>
      <c r="P450" s="13">
        <v>3000</v>
      </c>
      <c r="Q450" s="13">
        <v>3000</v>
      </c>
      <c r="R450" s="13">
        <v>2400</v>
      </c>
      <c r="S450" s="13">
        <v>2400</v>
      </c>
      <c r="T450" s="13">
        <v>3000</v>
      </c>
      <c r="U450" s="13">
        <v>1800</v>
      </c>
      <c r="V450" s="13">
        <v>2400</v>
      </c>
      <c r="W450" s="13">
        <v>3000</v>
      </c>
      <c r="X450" s="13">
        <v>1800</v>
      </c>
      <c r="Y450" s="13">
        <v>3600</v>
      </c>
      <c r="Z450" s="13">
        <v>1800</v>
      </c>
      <c r="AA450" s="13">
        <v>0</v>
      </c>
      <c r="AB450" s="13">
        <v>2400</v>
      </c>
      <c r="AC450" s="13">
        <v>2400</v>
      </c>
      <c r="AD450" s="13">
        <v>2400</v>
      </c>
    </row>
    <row r="451" spans="1:30" ht="15.75" thickBot="1" x14ac:dyDescent="0.3">
      <c r="A451" s="9" t="s">
        <v>1082</v>
      </c>
      <c r="B451" s="9" t="s">
        <v>1093</v>
      </c>
      <c r="C451" s="45" t="str">
        <f t="shared" si="6"/>
        <v>DET68436048</v>
      </c>
      <c r="D451" s="10" t="s">
        <v>1122</v>
      </c>
      <c r="E451" s="10" t="s">
        <v>1123</v>
      </c>
      <c r="F451" s="9" t="s">
        <v>1117</v>
      </c>
      <c r="G451" s="9" t="s">
        <v>924</v>
      </c>
      <c r="H451" s="12">
        <v>900</v>
      </c>
      <c r="I451" s="12">
        <v>13564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1698</v>
      </c>
      <c r="Q451" s="13">
        <v>2800</v>
      </c>
      <c r="R451" s="13">
        <v>2800</v>
      </c>
      <c r="S451" s="13">
        <v>2800</v>
      </c>
      <c r="T451" s="13">
        <v>2800</v>
      </c>
      <c r="U451" s="13">
        <v>2100</v>
      </c>
      <c r="V451" s="13">
        <v>2100</v>
      </c>
      <c r="W451" s="13">
        <v>2800</v>
      </c>
      <c r="X451" s="13">
        <v>2100</v>
      </c>
      <c r="Y451" s="13">
        <v>2800</v>
      </c>
      <c r="Z451" s="13">
        <v>2100</v>
      </c>
      <c r="AA451" s="13">
        <v>0</v>
      </c>
      <c r="AB451" s="13">
        <v>2800</v>
      </c>
      <c r="AC451" s="13">
        <v>2100</v>
      </c>
      <c r="AD451" s="13">
        <v>2800</v>
      </c>
    </row>
    <row r="452" spans="1:30" ht="15.75" thickBot="1" x14ac:dyDescent="0.3">
      <c r="A452" s="9" t="s">
        <v>1082</v>
      </c>
      <c r="B452" s="9" t="s">
        <v>1093</v>
      </c>
      <c r="C452" s="45" t="str">
        <f t="shared" si="6"/>
        <v>DET68436049</v>
      </c>
      <c r="D452" s="10" t="s">
        <v>1124</v>
      </c>
      <c r="E452" s="10" t="s">
        <v>1125</v>
      </c>
      <c r="F452" s="9" t="s">
        <v>1117</v>
      </c>
      <c r="G452" s="9" t="s">
        <v>924</v>
      </c>
      <c r="H452" s="12">
        <v>900</v>
      </c>
      <c r="I452" s="12">
        <v>18419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1698</v>
      </c>
      <c r="Q452" s="13">
        <v>2800</v>
      </c>
      <c r="R452" s="13">
        <v>2800</v>
      </c>
      <c r="S452" s="13">
        <v>2800</v>
      </c>
      <c r="T452" s="13">
        <v>2800</v>
      </c>
      <c r="U452" s="13">
        <v>2100</v>
      </c>
      <c r="V452" s="13">
        <v>2100</v>
      </c>
      <c r="W452" s="13">
        <v>2800</v>
      </c>
      <c r="X452" s="13">
        <v>2100</v>
      </c>
      <c r="Y452" s="13">
        <v>2800</v>
      </c>
      <c r="Z452" s="13">
        <v>2100</v>
      </c>
      <c r="AA452" s="13">
        <v>0</v>
      </c>
      <c r="AB452" s="13">
        <v>2800</v>
      </c>
      <c r="AC452" s="13">
        <v>2100</v>
      </c>
      <c r="AD452" s="13">
        <v>2800</v>
      </c>
    </row>
    <row r="453" spans="1:30" ht="15.75" thickBot="1" x14ac:dyDescent="0.3">
      <c r="A453" s="9" t="s">
        <v>1082</v>
      </c>
      <c r="B453" s="9" t="s">
        <v>1093</v>
      </c>
      <c r="C453" s="45" t="str">
        <f t="shared" si="6"/>
        <v>DET8A297PIA03OS</v>
      </c>
      <c r="D453" s="10" t="s">
        <v>1126</v>
      </c>
      <c r="E453" s="10" t="s">
        <v>1127</v>
      </c>
      <c r="F453" s="9" t="s">
        <v>1128</v>
      </c>
      <c r="G453" s="9" t="s">
        <v>924</v>
      </c>
      <c r="H453" s="12">
        <v>900</v>
      </c>
      <c r="I453" s="12">
        <v>10567</v>
      </c>
      <c r="J453" s="13">
        <v>0</v>
      </c>
      <c r="K453" s="13">
        <v>8433</v>
      </c>
      <c r="L453" s="13">
        <v>0</v>
      </c>
      <c r="M453" s="13">
        <v>9000</v>
      </c>
      <c r="N453" s="13">
        <v>9000</v>
      </c>
      <c r="O453" s="13">
        <v>9000</v>
      </c>
      <c r="P453" s="13">
        <v>0</v>
      </c>
      <c r="Q453" s="13">
        <v>9000</v>
      </c>
      <c r="R453" s="13">
        <v>9000</v>
      </c>
      <c r="S453" s="13">
        <v>9000</v>
      </c>
      <c r="T453" s="13">
        <v>0</v>
      </c>
      <c r="U453" s="13">
        <v>0</v>
      </c>
      <c r="V453" s="13">
        <v>9000</v>
      </c>
      <c r="W453" s="13">
        <v>9000</v>
      </c>
      <c r="X453" s="13">
        <v>0</v>
      </c>
      <c r="Y453" s="13">
        <v>9000</v>
      </c>
      <c r="Z453" s="13">
        <v>0</v>
      </c>
      <c r="AA453" s="13">
        <v>9000</v>
      </c>
      <c r="AB453" s="13">
        <v>9000</v>
      </c>
      <c r="AC453" s="13">
        <v>0</v>
      </c>
      <c r="AD453" s="13">
        <v>9000</v>
      </c>
    </row>
    <row r="454" spans="1:30" ht="15.75" thickBot="1" x14ac:dyDescent="0.3">
      <c r="A454" s="9" t="s">
        <v>1082</v>
      </c>
      <c r="B454" s="9" t="s">
        <v>1093</v>
      </c>
      <c r="C454" s="45" t="str">
        <f t="shared" ref="C454:C517" si="7">TRIM(D454)</f>
        <v>DETE10792B</v>
      </c>
      <c r="D454" s="10" t="s">
        <v>1129</v>
      </c>
      <c r="E454" s="10" t="s">
        <v>1130</v>
      </c>
      <c r="F454" s="9" t="s">
        <v>261</v>
      </c>
      <c r="G454" s="9" t="s">
        <v>924</v>
      </c>
      <c r="H454" s="12">
        <v>900</v>
      </c>
      <c r="I454" s="12">
        <v>3191</v>
      </c>
      <c r="J454" s="13">
        <v>0</v>
      </c>
      <c r="K454" s="13">
        <v>0</v>
      </c>
      <c r="L454" s="13">
        <v>0</v>
      </c>
      <c r="M454" s="13">
        <v>605</v>
      </c>
      <c r="N454" s="13">
        <v>1144</v>
      </c>
      <c r="O454" s="13">
        <v>1364</v>
      </c>
      <c r="P454" s="13">
        <v>1419</v>
      </c>
      <c r="Q454" s="13">
        <v>924</v>
      </c>
      <c r="R454" s="13">
        <v>1001</v>
      </c>
      <c r="S454" s="13">
        <v>1496</v>
      </c>
      <c r="T454" s="13">
        <v>1551</v>
      </c>
      <c r="U454" s="13">
        <v>1496</v>
      </c>
      <c r="V454" s="13">
        <v>1298</v>
      </c>
      <c r="W454" s="13">
        <v>2079</v>
      </c>
      <c r="X454" s="13">
        <v>1969</v>
      </c>
      <c r="Y454" s="13">
        <v>1991</v>
      </c>
      <c r="Z454" s="13">
        <v>2508</v>
      </c>
      <c r="AA454" s="13">
        <v>0</v>
      </c>
      <c r="AB454" s="13">
        <v>407</v>
      </c>
      <c r="AC454" s="13">
        <v>2046</v>
      </c>
      <c r="AD454" s="13">
        <v>2057</v>
      </c>
    </row>
    <row r="455" spans="1:30" ht="15.75" thickBot="1" x14ac:dyDescent="0.3">
      <c r="A455" s="9" t="s">
        <v>1082</v>
      </c>
      <c r="B455" s="9" t="s">
        <v>1093</v>
      </c>
      <c r="C455" s="45" t="str">
        <f t="shared" si="7"/>
        <v>DETE10832A</v>
      </c>
      <c r="D455" s="10" t="s">
        <v>1131</v>
      </c>
      <c r="E455" s="10" t="s">
        <v>1132</v>
      </c>
      <c r="F455" s="9" t="s">
        <v>261</v>
      </c>
      <c r="G455" s="9" t="s">
        <v>924</v>
      </c>
      <c r="H455" s="12">
        <v>900</v>
      </c>
      <c r="I455" s="12">
        <v>1176</v>
      </c>
      <c r="J455" s="13">
        <v>0</v>
      </c>
      <c r="K455" s="13">
        <v>1342</v>
      </c>
      <c r="L455" s="13">
        <v>2304</v>
      </c>
      <c r="M455" s="13">
        <v>2016</v>
      </c>
      <c r="N455" s="13">
        <v>2496</v>
      </c>
      <c r="O455" s="13">
        <v>2880</v>
      </c>
      <c r="P455" s="13">
        <v>2664</v>
      </c>
      <c r="Q455" s="13">
        <v>1800</v>
      </c>
      <c r="R455" s="13">
        <v>2040</v>
      </c>
      <c r="S455" s="13">
        <v>3024</v>
      </c>
      <c r="T455" s="13">
        <v>3120</v>
      </c>
      <c r="U455" s="13">
        <v>2952</v>
      </c>
      <c r="V455" s="13">
        <v>2640</v>
      </c>
      <c r="W455" s="13">
        <v>4104</v>
      </c>
      <c r="X455" s="13">
        <v>4032</v>
      </c>
      <c r="Y455" s="13">
        <v>3936</v>
      </c>
      <c r="Z455" s="13">
        <v>4992</v>
      </c>
      <c r="AA455" s="13">
        <v>0</v>
      </c>
      <c r="AB455" s="13">
        <v>816</v>
      </c>
      <c r="AC455" s="13">
        <v>4104</v>
      </c>
      <c r="AD455" s="13">
        <v>4128</v>
      </c>
    </row>
    <row r="456" spans="1:30" ht="15.75" thickBot="1" x14ac:dyDescent="0.3">
      <c r="A456" s="9" t="s">
        <v>1082</v>
      </c>
      <c r="B456" s="9" t="s">
        <v>1093</v>
      </c>
      <c r="C456" s="45" t="str">
        <f t="shared" si="7"/>
        <v>DETE200B62A</v>
      </c>
      <c r="D456" s="10" t="s">
        <v>1133</v>
      </c>
      <c r="E456" s="10" t="s">
        <v>1134</v>
      </c>
      <c r="F456" s="9" t="s">
        <v>261</v>
      </c>
      <c r="G456" s="9" t="s">
        <v>924</v>
      </c>
      <c r="H456" s="12">
        <v>900</v>
      </c>
      <c r="I456" s="12">
        <v>1891</v>
      </c>
      <c r="J456" s="13">
        <v>0</v>
      </c>
      <c r="K456" s="13">
        <v>0</v>
      </c>
      <c r="L456" s="13">
        <v>457</v>
      </c>
      <c r="M456" s="13">
        <v>1000</v>
      </c>
      <c r="N456" s="13">
        <v>1200</v>
      </c>
      <c r="O456" s="13">
        <v>1330</v>
      </c>
      <c r="P456" s="13">
        <v>980</v>
      </c>
      <c r="Q456" s="13">
        <v>1170</v>
      </c>
      <c r="R456" s="13">
        <v>1520</v>
      </c>
      <c r="S456" s="13">
        <v>1670</v>
      </c>
      <c r="T456" s="13">
        <v>1450</v>
      </c>
      <c r="U456" s="13">
        <v>1340</v>
      </c>
      <c r="V456" s="13">
        <v>2220</v>
      </c>
      <c r="W456" s="13">
        <v>2050</v>
      </c>
      <c r="X456" s="13">
        <v>2030</v>
      </c>
      <c r="Y456" s="13">
        <v>1720</v>
      </c>
      <c r="Z456" s="13">
        <v>0</v>
      </c>
      <c r="AA456" s="13">
        <v>920</v>
      </c>
      <c r="AB456" s="13">
        <v>2070</v>
      </c>
      <c r="AC456" s="13">
        <v>2020</v>
      </c>
      <c r="AD456" s="13">
        <v>1980</v>
      </c>
    </row>
    <row r="457" spans="1:30" ht="15.75" thickBot="1" x14ac:dyDescent="0.3">
      <c r="A457" s="9" t="s">
        <v>1082</v>
      </c>
      <c r="B457" s="9" t="s">
        <v>1093</v>
      </c>
      <c r="C457" s="45" t="str">
        <f t="shared" si="7"/>
        <v>DETE200B63A</v>
      </c>
      <c r="D457" s="10" t="s">
        <v>1135</v>
      </c>
      <c r="E457" s="10" t="s">
        <v>1136</v>
      </c>
      <c r="F457" s="9" t="s">
        <v>261</v>
      </c>
      <c r="G457" s="9" t="s">
        <v>924</v>
      </c>
      <c r="H457" s="12">
        <v>900</v>
      </c>
      <c r="I457" s="12">
        <v>1473</v>
      </c>
      <c r="J457" s="13">
        <v>0</v>
      </c>
      <c r="K457" s="13">
        <v>0</v>
      </c>
      <c r="L457" s="13">
        <v>457</v>
      </c>
      <c r="M457" s="13">
        <v>1000</v>
      </c>
      <c r="N457" s="13">
        <v>1200</v>
      </c>
      <c r="O457" s="13">
        <v>1330</v>
      </c>
      <c r="P457" s="13">
        <v>980</v>
      </c>
      <c r="Q457" s="13">
        <v>1170</v>
      </c>
      <c r="R457" s="13">
        <v>1520</v>
      </c>
      <c r="S457" s="13">
        <v>1670</v>
      </c>
      <c r="T457" s="13">
        <v>1450</v>
      </c>
      <c r="U457" s="13">
        <v>1340</v>
      </c>
      <c r="V457" s="13">
        <v>2220</v>
      </c>
      <c r="W457" s="13">
        <v>2050</v>
      </c>
      <c r="X457" s="13">
        <v>2030</v>
      </c>
      <c r="Y457" s="13">
        <v>1720</v>
      </c>
      <c r="Z457" s="13">
        <v>0</v>
      </c>
      <c r="AA457" s="13">
        <v>920</v>
      </c>
      <c r="AB457" s="13">
        <v>2070</v>
      </c>
      <c r="AC457" s="13">
        <v>2020</v>
      </c>
      <c r="AD457" s="13">
        <v>1980</v>
      </c>
    </row>
    <row r="458" spans="1:30" ht="15.75" thickBot="1" x14ac:dyDescent="0.3">
      <c r="A458" s="9" t="s">
        <v>1082</v>
      </c>
      <c r="B458" s="9" t="s">
        <v>1093</v>
      </c>
      <c r="C458" s="45" t="str">
        <f t="shared" si="7"/>
        <v>DETE279A30C</v>
      </c>
      <c r="D458" s="10" t="s">
        <v>1137</v>
      </c>
      <c r="E458" s="10" t="s">
        <v>1138</v>
      </c>
      <c r="F458" s="9" t="s">
        <v>261</v>
      </c>
      <c r="G458" s="9" t="s">
        <v>924</v>
      </c>
      <c r="H458" s="12">
        <v>900</v>
      </c>
      <c r="I458" s="12">
        <v>3542</v>
      </c>
      <c r="J458" s="13">
        <v>0</v>
      </c>
      <c r="K458" s="13">
        <v>0</v>
      </c>
      <c r="L458" s="13">
        <v>0</v>
      </c>
      <c r="M458" s="13">
        <v>503</v>
      </c>
      <c r="N458" s="13">
        <v>1200</v>
      </c>
      <c r="O458" s="13">
        <v>1320</v>
      </c>
      <c r="P458" s="13">
        <v>960</v>
      </c>
      <c r="Q458" s="13">
        <v>1200</v>
      </c>
      <c r="R458" s="13">
        <v>1440</v>
      </c>
      <c r="S458" s="13">
        <v>1680</v>
      </c>
      <c r="T458" s="13">
        <v>1440</v>
      </c>
      <c r="U458" s="13">
        <v>1440</v>
      </c>
      <c r="V458" s="13">
        <v>2160</v>
      </c>
      <c r="W458" s="13">
        <v>2040</v>
      </c>
      <c r="X458" s="13">
        <v>2040</v>
      </c>
      <c r="Y458" s="13">
        <v>1800</v>
      </c>
      <c r="Z458" s="13">
        <v>0</v>
      </c>
      <c r="AA458" s="13">
        <v>840</v>
      </c>
      <c r="AB458" s="13">
        <v>2160</v>
      </c>
      <c r="AC458" s="13">
        <v>1920</v>
      </c>
      <c r="AD458" s="13">
        <v>2040</v>
      </c>
    </row>
    <row r="459" spans="1:30" ht="15.75" thickBot="1" x14ac:dyDescent="0.3">
      <c r="A459" s="9" t="s">
        <v>1082</v>
      </c>
      <c r="B459" s="9" t="s">
        <v>1093</v>
      </c>
      <c r="C459" s="45" t="str">
        <f t="shared" si="7"/>
        <v>DETE279A31C</v>
      </c>
      <c r="D459" s="10" t="s">
        <v>1139</v>
      </c>
      <c r="E459" s="10" t="s">
        <v>1138</v>
      </c>
      <c r="F459" s="9" t="s">
        <v>261</v>
      </c>
      <c r="G459" s="9" t="s">
        <v>924</v>
      </c>
      <c r="H459" s="12">
        <v>900</v>
      </c>
      <c r="I459" s="12">
        <v>1821</v>
      </c>
      <c r="J459" s="13">
        <v>0</v>
      </c>
      <c r="K459" s="13">
        <v>0</v>
      </c>
      <c r="L459" s="13">
        <v>0</v>
      </c>
      <c r="M459" s="13">
        <v>503</v>
      </c>
      <c r="N459" s="13">
        <v>1200</v>
      </c>
      <c r="O459" s="13">
        <v>1320</v>
      </c>
      <c r="P459" s="13">
        <v>960</v>
      </c>
      <c r="Q459" s="13">
        <v>1200</v>
      </c>
      <c r="R459" s="13">
        <v>1440</v>
      </c>
      <c r="S459" s="13">
        <v>1680</v>
      </c>
      <c r="T459" s="13">
        <v>1440</v>
      </c>
      <c r="U459" s="13">
        <v>1440</v>
      </c>
      <c r="V459" s="13">
        <v>2160</v>
      </c>
      <c r="W459" s="13">
        <v>2040</v>
      </c>
      <c r="X459" s="13">
        <v>2040</v>
      </c>
      <c r="Y459" s="13">
        <v>1800</v>
      </c>
      <c r="Z459" s="13">
        <v>0</v>
      </c>
      <c r="AA459" s="13">
        <v>840</v>
      </c>
      <c r="AB459" s="13">
        <v>2160</v>
      </c>
      <c r="AC459" s="13">
        <v>1920</v>
      </c>
      <c r="AD459" s="13">
        <v>2040</v>
      </c>
    </row>
    <row r="460" spans="1:30" ht="15.75" thickBot="1" x14ac:dyDescent="0.3">
      <c r="A460" s="9" t="s">
        <v>1082</v>
      </c>
      <c r="B460" s="9" t="s">
        <v>1093</v>
      </c>
      <c r="C460" s="45" t="str">
        <f t="shared" si="7"/>
        <v>DETE40364B</v>
      </c>
      <c r="D460" s="10" t="s">
        <v>1140</v>
      </c>
      <c r="E460" s="10" t="s">
        <v>1141</v>
      </c>
      <c r="F460" s="9" t="s">
        <v>261</v>
      </c>
      <c r="G460" s="9" t="s">
        <v>924</v>
      </c>
      <c r="H460" s="12">
        <v>900</v>
      </c>
      <c r="I460" s="12">
        <v>3591</v>
      </c>
      <c r="J460" s="13">
        <v>0</v>
      </c>
      <c r="K460" s="13">
        <v>0</v>
      </c>
      <c r="L460" s="13">
        <v>194</v>
      </c>
      <c r="M460" s="13">
        <v>1000</v>
      </c>
      <c r="N460" s="13">
        <v>1200</v>
      </c>
      <c r="O460" s="13">
        <v>1330</v>
      </c>
      <c r="P460" s="13">
        <v>980</v>
      </c>
      <c r="Q460" s="13">
        <v>1170</v>
      </c>
      <c r="R460" s="13">
        <v>1520</v>
      </c>
      <c r="S460" s="13">
        <v>1670</v>
      </c>
      <c r="T460" s="13">
        <v>1450</v>
      </c>
      <c r="U460" s="13">
        <v>1340</v>
      </c>
      <c r="V460" s="13">
        <v>2220</v>
      </c>
      <c r="W460" s="13">
        <v>2050</v>
      </c>
      <c r="X460" s="13">
        <v>2030</v>
      </c>
      <c r="Y460" s="13">
        <v>1720</v>
      </c>
      <c r="Z460" s="13">
        <v>0</v>
      </c>
      <c r="AA460" s="13">
        <v>920</v>
      </c>
      <c r="AB460" s="13">
        <v>2070</v>
      </c>
      <c r="AC460" s="13">
        <v>2020</v>
      </c>
      <c r="AD460" s="13">
        <v>1980</v>
      </c>
    </row>
    <row r="461" spans="1:30" ht="15.75" thickBot="1" x14ac:dyDescent="0.3">
      <c r="A461" s="9" t="s">
        <v>1082</v>
      </c>
      <c r="B461" s="9" t="s">
        <v>1093</v>
      </c>
      <c r="C461" s="45" t="str">
        <f t="shared" si="7"/>
        <v>DETE40365B</v>
      </c>
      <c r="D461" s="10" t="s">
        <v>1142</v>
      </c>
      <c r="E461" s="10" t="s">
        <v>1143</v>
      </c>
      <c r="F461" s="9" t="s">
        <v>261</v>
      </c>
      <c r="G461" s="9" t="s">
        <v>924</v>
      </c>
      <c r="H461" s="12">
        <v>900</v>
      </c>
      <c r="I461" s="12">
        <v>3690</v>
      </c>
      <c r="J461" s="13">
        <v>0</v>
      </c>
      <c r="K461" s="13">
        <v>0</v>
      </c>
      <c r="L461" s="13">
        <v>194</v>
      </c>
      <c r="M461" s="13">
        <v>1000</v>
      </c>
      <c r="N461" s="13">
        <v>1200</v>
      </c>
      <c r="O461" s="13">
        <v>1330</v>
      </c>
      <c r="P461" s="13">
        <v>980</v>
      </c>
      <c r="Q461" s="13">
        <v>1170</v>
      </c>
      <c r="R461" s="13">
        <v>1520</v>
      </c>
      <c r="S461" s="13">
        <v>1670</v>
      </c>
      <c r="T461" s="13">
        <v>1450</v>
      </c>
      <c r="U461" s="13">
        <v>1340</v>
      </c>
      <c r="V461" s="13">
        <v>2220</v>
      </c>
      <c r="W461" s="13">
        <v>2050</v>
      </c>
      <c r="X461" s="13">
        <v>2030</v>
      </c>
      <c r="Y461" s="13">
        <v>1720</v>
      </c>
      <c r="Z461" s="13">
        <v>0</v>
      </c>
      <c r="AA461" s="13">
        <v>920</v>
      </c>
      <c r="AB461" s="13">
        <v>2070</v>
      </c>
      <c r="AC461" s="13">
        <v>2020</v>
      </c>
      <c r="AD461" s="13">
        <v>1980</v>
      </c>
    </row>
    <row r="462" spans="1:30" ht="15.75" thickBot="1" x14ac:dyDescent="0.3">
      <c r="A462" s="9" t="s">
        <v>1082</v>
      </c>
      <c r="B462" s="9" t="s">
        <v>1093</v>
      </c>
      <c r="C462" s="45" t="str">
        <f t="shared" si="7"/>
        <v>DETE410A36AA</v>
      </c>
      <c r="D462" s="10" t="s">
        <v>1144</v>
      </c>
      <c r="E462" s="10" t="s">
        <v>1145</v>
      </c>
      <c r="F462" s="9" t="s">
        <v>261</v>
      </c>
      <c r="G462" s="9" t="s">
        <v>924</v>
      </c>
      <c r="H462" s="12">
        <v>900</v>
      </c>
      <c r="I462" s="12">
        <v>334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</row>
    <row r="463" spans="1:30" ht="15.75" thickBot="1" x14ac:dyDescent="0.3">
      <c r="A463" s="9" t="s">
        <v>1082</v>
      </c>
      <c r="B463" s="9" t="s">
        <v>1093</v>
      </c>
      <c r="C463" s="45" t="str">
        <f t="shared" si="7"/>
        <v>DETE410A36B</v>
      </c>
      <c r="D463" s="10" t="s">
        <v>1146</v>
      </c>
      <c r="E463" s="10" t="s">
        <v>1145</v>
      </c>
      <c r="F463" s="9" t="s">
        <v>261</v>
      </c>
      <c r="G463" s="9" t="s">
        <v>924</v>
      </c>
      <c r="H463" s="12">
        <v>900</v>
      </c>
      <c r="I463" s="12">
        <v>4081</v>
      </c>
      <c r="J463" s="13">
        <v>0</v>
      </c>
      <c r="K463" s="13">
        <v>0</v>
      </c>
      <c r="L463" s="13">
        <v>0</v>
      </c>
      <c r="M463" s="13">
        <v>0</v>
      </c>
      <c r="N463" s="13">
        <v>902</v>
      </c>
      <c r="O463" s="13">
        <v>1364</v>
      </c>
      <c r="P463" s="13">
        <v>1432</v>
      </c>
      <c r="Q463" s="13">
        <v>988</v>
      </c>
      <c r="R463" s="13">
        <v>1048</v>
      </c>
      <c r="S463" s="13">
        <v>1500</v>
      </c>
      <c r="T463" s="13">
        <v>1580</v>
      </c>
      <c r="U463" s="13">
        <v>1484</v>
      </c>
      <c r="V463" s="13">
        <v>1292</v>
      </c>
      <c r="W463" s="13">
        <v>2064</v>
      </c>
      <c r="X463" s="13">
        <v>2004</v>
      </c>
      <c r="Y463" s="13">
        <v>1980</v>
      </c>
      <c r="Z463" s="13">
        <v>2480</v>
      </c>
      <c r="AA463" s="13">
        <v>0</v>
      </c>
      <c r="AB463" s="13">
        <v>408</v>
      </c>
      <c r="AC463" s="13">
        <v>2056</v>
      </c>
      <c r="AD463" s="13">
        <v>2076</v>
      </c>
    </row>
    <row r="464" spans="1:30" ht="15.75" thickBot="1" x14ac:dyDescent="0.3">
      <c r="A464" s="9" t="s">
        <v>1082</v>
      </c>
      <c r="B464" s="9" t="s">
        <v>1093</v>
      </c>
      <c r="C464" s="45" t="str">
        <f t="shared" si="7"/>
        <v>DETE410A37AA</v>
      </c>
      <c r="D464" s="10" t="s">
        <v>1147</v>
      </c>
      <c r="E464" s="10" t="s">
        <v>1148</v>
      </c>
      <c r="F464" s="9" t="s">
        <v>261</v>
      </c>
      <c r="G464" s="9" t="s">
        <v>924</v>
      </c>
      <c r="H464" s="12">
        <v>900</v>
      </c>
      <c r="I464" s="12">
        <v>334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</row>
    <row r="465" spans="1:30" ht="15.75" thickBot="1" x14ac:dyDescent="0.3">
      <c r="A465" s="9" t="s">
        <v>1082</v>
      </c>
      <c r="B465" s="9" t="s">
        <v>1093</v>
      </c>
      <c r="C465" s="45" t="str">
        <f t="shared" si="7"/>
        <v>DETE410A37B</v>
      </c>
      <c r="D465" s="10" t="s">
        <v>1149</v>
      </c>
      <c r="E465" s="10" t="s">
        <v>1148</v>
      </c>
      <c r="F465" s="9" t="s">
        <v>261</v>
      </c>
      <c r="G465" s="9" t="s">
        <v>924</v>
      </c>
      <c r="H465" s="12">
        <v>900</v>
      </c>
      <c r="I465" s="12">
        <v>4781</v>
      </c>
      <c r="J465" s="13">
        <v>0</v>
      </c>
      <c r="K465" s="13">
        <v>0</v>
      </c>
      <c r="L465" s="13">
        <v>0</v>
      </c>
      <c r="M465" s="13">
        <v>0</v>
      </c>
      <c r="N465" s="13">
        <v>902</v>
      </c>
      <c r="O465" s="13">
        <v>1364</v>
      </c>
      <c r="P465" s="13">
        <v>1432</v>
      </c>
      <c r="Q465" s="13">
        <v>988</v>
      </c>
      <c r="R465" s="13">
        <v>1048</v>
      </c>
      <c r="S465" s="13">
        <v>1500</v>
      </c>
      <c r="T465" s="13">
        <v>1580</v>
      </c>
      <c r="U465" s="13">
        <v>1484</v>
      </c>
      <c r="V465" s="13">
        <v>1292</v>
      </c>
      <c r="W465" s="13">
        <v>2064</v>
      </c>
      <c r="X465" s="13">
        <v>2004</v>
      </c>
      <c r="Y465" s="13">
        <v>1980</v>
      </c>
      <c r="Z465" s="13">
        <v>2480</v>
      </c>
      <c r="AA465" s="13">
        <v>0</v>
      </c>
      <c r="AB465" s="13">
        <v>408</v>
      </c>
      <c r="AC465" s="13">
        <v>2056</v>
      </c>
      <c r="AD465" s="13">
        <v>2076</v>
      </c>
    </row>
    <row r="466" spans="1:30" ht="15.75" thickBot="1" x14ac:dyDescent="0.3">
      <c r="A466" s="9" t="s">
        <v>1082</v>
      </c>
      <c r="B466" s="9" t="s">
        <v>1093</v>
      </c>
      <c r="C466" s="45" t="str">
        <f t="shared" si="7"/>
        <v>DETE431F92A</v>
      </c>
      <c r="D466" s="10" t="s">
        <v>1150</v>
      </c>
      <c r="E466" s="10" t="s">
        <v>1151</v>
      </c>
      <c r="F466" s="9" t="s">
        <v>261</v>
      </c>
      <c r="G466" s="9" t="s">
        <v>924</v>
      </c>
      <c r="H466" s="12">
        <v>900</v>
      </c>
      <c r="I466" s="12">
        <v>3407</v>
      </c>
      <c r="J466" s="13">
        <v>0</v>
      </c>
      <c r="K466" s="13">
        <v>0</v>
      </c>
      <c r="L466" s="13">
        <v>1663</v>
      </c>
      <c r="M466" s="13">
        <v>1080</v>
      </c>
      <c r="N466" s="13">
        <v>180</v>
      </c>
      <c r="O466" s="13">
        <v>1440</v>
      </c>
      <c r="P466" s="13">
        <v>900</v>
      </c>
      <c r="Q466" s="13">
        <v>1260</v>
      </c>
      <c r="R466" s="13">
        <v>1440</v>
      </c>
      <c r="S466" s="13">
        <v>1800</v>
      </c>
      <c r="T466" s="13">
        <v>1440</v>
      </c>
      <c r="U466" s="13">
        <v>1260</v>
      </c>
      <c r="V466" s="13">
        <v>2340</v>
      </c>
      <c r="W466" s="13">
        <v>1980</v>
      </c>
      <c r="X466" s="13">
        <v>1980</v>
      </c>
      <c r="Y466" s="13">
        <v>1800</v>
      </c>
      <c r="Z466" s="13">
        <v>0</v>
      </c>
      <c r="AA466" s="13">
        <v>900</v>
      </c>
      <c r="AB466" s="13">
        <v>2160</v>
      </c>
      <c r="AC466" s="13">
        <v>1980</v>
      </c>
      <c r="AD466" s="13">
        <v>1980</v>
      </c>
    </row>
    <row r="467" spans="1:30" ht="15.75" thickBot="1" x14ac:dyDescent="0.3">
      <c r="A467" s="9" t="s">
        <v>1082</v>
      </c>
      <c r="B467" s="9" t="s">
        <v>1093</v>
      </c>
      <c r="C467" s="45" t="str">
        <f t="shared" si="7"/>
        <v>DETE431F93A</v>
      </c>
      <c r="D467" s="10" t="s">
        <v>1152</v>
      </c>
      <c r="E467" s="10" t="s">
        <v>1151</v>
      </c>
      <c r="F467" s="9" t="s">
        <v>261</v>
      </c>
      <c r="G467" s="9" t="s">
        <v>924</v>
      </c>
      <c r="H467" s="12">
        <v>900</v>
      </c>
      <c r="I467" s="12">
        <v>-987</v>
      </c>
      <c r="J467" s="13">
        <v>0</v>
      </c>
      <c r="K467" s="13">
        <v>0</v>
      </c>
      <c r="L467" s="13">
        <v>1663</v>
      </c>
      <c r="M467" s="13">
        <v>1080</v>
      </c>
      <c r="N467" s="13">
        <v>180</v>
      </c>
      <c r="O467" s="13">
        <v>1440</v>
      </c>
      <c r="P467" s="13">
        <v>900</v>
      </c>
      <c r="Q467" s="13">
        <v>1260</v>
      </c>
      <c r="R467" s="13">
        <v>1440</v>
      </c>
      <c r="S467" s="13">
        <v>1800</v>
      </c>
      <c r="T467" s="13">
        <v>1440</v>
      </c>
      <c r="U467" s="13">
        <v>1260</v>
      </c>
      <c r="V467" s="13">
        <v>2340</v>
      </c>
      <c r="W467" s="13">
        <v>1980</v>
      </c>
      <c r="X467" s="13">
        <v>1980</v>
      </c>
      <c r="Y467" s="13">
        <v>1800</v>
      </c>
      <c r="Z467" s="13">
        <v>0</v>
      </c>
      <c r="AA467" s="13">
        <v>900</v>
      </c>
      <c r="AB467" s="13">
        <v>2160</v>
      </c>
      <c r="AC467" s="13">
        <v>1980</v>
      </c>
      <c r="AD467" s="13">
        <v>1980</v>
      </c>
    </row>
    <row r="468" spans="1:30" ht="15.75" thickBot="1" x14ac:dyDescent="0.3">
      <c r="A468" s="9" t="s">
        <v>1082</v>
      </c>
      <c r="B468" s="9" t="s">
        <v>1093</v>
      </c>
      <c r="C468" s="45" t="str">
        <f t="shared" si="7"/>
        <v>P0630800</v>
      </c>
      <c r="D468" s="10" t="s">
        <v>1153</v>
      </c>
      <c r="E468" s="10" t="s">
        <v>1154</v>
      </c>
      <c r="F468" s="9" t="s">
        <v>394</v>
      </c>
      <c r="G468" s="9" t="s">
        <v>924</v>
      </c>
      <c r="H468" s="12">
        <v>950</v>
      </c>
      <c r="I468" s="8"/>
      <c r="J468" s="13">
        <v>0</v>
      </c>
      <c r="K468" s="13">
        <v>6373</v>
      </c>
      <c r="L468" s="13">
        <v>7000</v>
      </c>
      <c r="M468" s="13">
        <v>6000</v>
      </c>
      <c r="N468" s="13">
        <v>7000</v>
      </c>
      <c r="O468" s="13">
        <v>7000</v>
      </c>
      <c r="P468" s="13">
        <v>7000</v>
      </c>
      <c r="Q468" s="13">
        <v>5000</v>
      </c>
      <c r="R468" s="13">
        <v>6000</v>
      </c>
      <c r="S468" s="13">
        <v>7000</v>
      </c>
      <c r="T468" s="13">
        <v>7000</v>
      </c>
      <c r="U468" s="13">
        <v>4000</v>
      </c>
      <c r="V468" s="13">
        <v>5000</v>
      </c>
      <c r="W468" s="13">
        <v>2000</v>
      </c>
      <c r="X468" s="13">
        <v>3000</v>
      </c>
      <c r="Y468" s="13">
        <v>6000</v>
      </c>
      <c r="Z468" s="13">
        <v>4000</v>
      </c>
      <c r="AA468" s="13">
        <v>4000</v>
      </c>
      <c r="AB468" s="13">
        <v>5000</v>
      </c>
      <c r="AC468" s="13">
        <v>10000</v>
      </c>
      <c r="AD468" s="13">
        <v>5000</v>
      </c>
    </row>
    <row r="469" spans="1:30" ht="15.75" thickBot="1" x14ac:dyDescent="0.3">
      <c r="A469" s="9" t="s">
        <v>1082</v>
      </c>
      <c r="B469" s="9" t="s">
        <v>1093</v>
      </c>
      <c r="C469" s="45" t="str">
        <f t="shared" si="7"/>
        <v>P0630900</v>
      </c>
      <c r="D469" s="10" t="s">
        <v>1155</v>
      </c>
      <c r="E469" s="10" t="s">
        <v>1156</v>
      </c>
      <c r="F469" s="9" t="s">
        <v>394</v>
      </c>
      <c r="G469" s="9" t="s">
        <v>924</v>
      </c>
      <c r="H469" s="12">
        <v>950</v>
      </c>
      <c r="I469" s="12">
        <v>3570</v>
      </c>
      <c r="J469" s="13">
        <v>0</v>
      </c>
      <c r="K469" s="13">
        <v>6652</v>
      </c>
      <c r="L469" s="13">
        <v>7000</v>
      </c>
      <c r="M469" s="13">
        <v>6000</v>
      </c>
      <c r="N469" s="13">
        <v>7000</v>
      </c>
      <c r="O469" s="13">
        <v>7000</v>
      </c>
      <c r="P469" s="13">
        <v>7000</v>
      </c>
      <c r="Q469" s="13">
        <v>5000</v>
      </c>
      <c r="R469" s="13">
        <v>6000</v>
      </c>
      <c r="S469" s="13">
        <v>7000</v>
      </c>
      <c r="T469" s="13">
        <v>7000</v>
      </c>
      <c r="U469" s="13">
        <v>4000</v>
      </c>
      <c r="V469" s="13">
        <v>5000</v>
      </c>
      <c r="W469" s="13">
        <v>2000</v>
      </c>
      <c r="X469" s="13">
        <v>3000</v>
      </c>
      <c r="Y469" s="13">
        <v>6000</v>
      </c>
      <c r="Z469" s="13">
        <v>4000</v>
      </c>
      <c r="AA469" s="13">
        <v>4000</v>
      </c>
      <c r="AB469" s="13">
        <v>5000</v>
      </c>
      <c r="AC469" s="13">
        <v>10000</v>
      </c>
      <c r="AD469" s="13">
        <v>5000</v>
      </c>
    </row>
    <row r="470" spans="1:30" ht="15.75" thickBot="1" x14ac:dyDescent="0.3">
      <c r="A470" s="9" t="s">
        <v>1082</v>
      </c>
      <c r="B470" s="9" t="s">
        <v>1157</v>
      </c>
      <c r="C470" s="45" t="str">
        <f t="shared" si="7"/>
        <v>DET68425109B</v>
      </c>
      <c r="D470" s="10" t="s">
        <v>1158</v>
      </c>
      <c r="E470" s="10" t="s">
        <v>1159</v>
      </c>
      <c r="F470" s="9" t="s">
        <v>1117</v>
      </c>
      <c r="G470" s="9" t="s">
        <v>924</v>
      </c>
      <c r="H470" s="12">
        <v>650</v>
      </c>
      <c r="I470" s="12">
        <v>4718</v>
      </c>
      <c r="J470" s="13">
        <v>60</v>
      </c>
      <c r="K470" s="13">
        <v>0</v>
      </c>
      <c r="L470" s="13">
        <v>2616</v>
      </c>
      <c r="M470" s="13">
        <v>2500</v>
      </c>
      <c r="N470" s="13">
        <v>2500</v>
      </c>
      <c r="O470" s="13">
        <v>2500</v>
      </c>
      <c r="P470" s="13">
        <v>3000</v>
      </c>
      <c r="Q470" s="13">
        <v>2500</v>
      </c>
      <c r="R470" s="13">
        <v>2500</v>
      </c>
      <c r="S470" s="13">
        <v>3000</v>
      </c>
      <c r="T470" s="13">
        <v>2500</v>
      </c>
      <c r="U470" s="13">
        <v>2000</v>
      </c>
      <c r="V470" s="13">
        <v>2500</v>
      </c>
      <c r="W470" s="13">
        <v>2500</v>
      </c>
      <c r="X470" s="13">
        <v>2000</v>
      </c>
      <c r="Y470" s="13">
        <v>3500</v>
      </c>
      <c r="Z470" s="13">
        <v>2000</v>
      </c>
      <c r="AA470" s="13">
        <v>0</v>
      </c>
      <c r="AB470" s="13">
        <v>2500</v>
      </c>
      <c r="AC470" s="13">
        <v>2000</v>
      </c>
      <c r="AD470" s="13">
        <v>3000</v>
      </c>
    </row>
    <row r="471" spans="1:30" ht="15.75" thickBot="1" x14ac:dyDescent="0.3">
      <c r="A471" s="9" t="s">
        <v>1082</v>
      </c>
      <c r="B471" s="9" t="s">
        <v>1157</v>
      </c>
      <c r="C471" s="45" t="str">
        <f t="shared" si="7"/>
        <v>DET68425118B</v>
      </c>
      <c r="D471" s="10" t="s">
        <v>1160</v>
      </c>
      <c r="E471" s="10" t="s">
        <v>1161</v>
      </c>
      <c r="F471" s="9" t="s">
        <v>1117</v>
      </c>
      <c r="G471" s="9" t="s">
        <v>924</v>
      </c>
      <c r="H471" s="12">
        <v>650</v>
      </c>
      <c r="I471" s="12">
        <v>1860</v>
      </c>
      <c r="J471" s="13">
        <v>60</v>
      </c>
      <c r="K471" s="13">
        <v>0</v>
      </c>
      <c r="L471" s="13">
        <v>2616</v>
      </c>
      <c r="M471" s="13">
        <v>2500</v>
      </c>
      <c r="N471" s="13">
        <v>2500</v>
      </c>
      <c r="O471" s="13">
        <v>2500</v>
      </c>
      <c r="P471" s="13">
        <v>3000</v>
      </c>
      <c r="Q471" s="13">
        <v>2500</v>
      </c>
      <c r="R471" s="13">
        <v>2500</v>
      </c>
      <c r="S471" s="13">
        <v>3000</v>
      </c>
      <c r="T471" s="13">
        <v>2500</v>
      </c>
      <c r="U471" s="13">
        <v>2000</v>
      </c>
      <c r="V471" s="13">
        <v>2500</v>
      </c>
      <c r="W471" s="13">
        <v>2500</v>
      </c>
      <c r="X471" s="13">
        <v>2000</v>
      </c>
      <c r="Y471" s="13">
        <v>3500</v>
      </c>
      <c r="Z471" s="13">
        <v>2000</v>
      </c>
      <c r="AA471" s="13">
        <v>0</v>
      </c>
      <c r="AB471" s="13">
        <v>2500</v>
      </c>
      <c r="AC471" s="13">
        <v>2000</v>
      </c>
      <c r="AD471" s="13">
        <v>3000</v>
      </c>
    </row>
    <row r="472" spans="1:30" ht="15.75" thickBot="1" x14ac:dyDescent="0.3">
      <c r="A472" s="9" t="s">
        <v>1082</v>
      </c>
      <c r="B472" s="9" t="s">
        <v>1157</v>
      </c>
      <c r="C472" s="45" t="str">
        <f t="shared" si="7"/>
        <v>DET68648250AA</v>
      </c>
      <c r="D472" s="10" t="s">
        <v>1162</v>
      </c>
      <c r="E472" s="10" t="s">
        <v>1163</v>
      </c>
      <c r="F472" s="9" t="s">
        <v>1164</v>
      </c>
      <c r="G472" s="9" t="s">
        <v>924</v>
      </c>
      <c r="H472" s="12">
        <v>650</v>
      </c>
      <c r="I472" s="12">
        <v>88</v>
      </c>
      <c r="J472" s="13">
        <v>0</v>
      </c>
      <c r="K472" s="13">
        <v>244</v>
      </c>
      <c r="L472" s="13">
        <v>980</v>
      </c>
      <c r="M472" s="13">
        <v>980</v>
      </c>
      <c r="N472" s="13">
        <v>700</v>
      </c>
      <c r="O472" s="13">
        <v>840</v>
      </c>
      <c r="P472" s="13">
        <v>840</v>
      </c>
      <c r="Q472" s="13">
        <v>840</v>
      </c>
      <c r="R472" s="13">
        <v>910</v>
      </c>
      <c r="S472" s="13">
        <v>1120</v>
      </c>
      <c r="T472" s="13">
        <v>910</v>
      </c>
      <c r="U472" s="13">
        <v>770</v>
      </c>
      <c r="V472" s="13">
        <v>630</v>
      </c>
      <c r="W472" s="13">
        <v>630</v>
      </c>
      <c r="X472" s="13">
        <v>140</v>
      </c>
      <c r="Y472" s="13">
        <v>840</v>
      </c>
      <c r="Z472" s="13">
        <v>1470</v>
      </c>
      <c r="AA472" s="13">
        <v>1750</v>
      </c>
      <c r="AB472" s="13">
        <v>1680</v>
      </c>
      <c r="AC472" s="13">
        <v>1470</v>
      </c>
      <c r="AD472" s="13">
        <v>1400</v>
      </c>
    </row>
    <row r="473" spans="1:30" ht="15.75" thickBot="1" x14ac:dyDescent="0.3">
      <c r="A473" s="9" t="s">
        <v>1082</v>
      </c>
      <c r="B473" s="9" t="s">
        <v>1157</v>
      </c>
      <c r="C473" s="45" t="str">
        <f t="shared" si="7"/>
        <v>KB3B 2150840 AC</v>
      </c>
      <c r="D473" s="10" t="s">
        <v>1165</v>
      </c>
      <c r="E473" s="10" t="s">
        <v>1112</v>
      </c>
      <c r="F473" s="9" t="s">
        <v>494</v>
      </c>
      <c r="G473" s="9" t="s">
        <v>924</v>
      </c>
      <c r="H473" s="12">
        <v>650</v>
      </c>
      <c r="I473" s="12">
        <v>5340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636</v>
      </c>
      <c r="P473" s="13">
        <v>677</v>
      </c>
      <c r="Q473" s="13">
        <v>863</v>
      </c>
      <c r="R473" s="13">
        <v>739</v>
      </c>
      <c r="S473" s="13">
        <v>1293</v>
      </c>
      <c r="T473" s="13">
        <v>1479</v>
      </c>
      <c r="U473" s="13">
        <v>1170</v>
      </c>
      <c r="V473" s="13">
        <v>1109</v>
      </c>
      <c r="W473" s="13">
        <v>1848</v>
      </c>
      <c r="X473" s="13">
        <v>1786</v>
      </c>
      <c r="Y473" s="13">
        <v>1725</v>
      </c>
      <c r="Z473" s="13">
        <v>1971</v>
      </c>
      <c r="AA473" s="13">
        <v>0</v>
      </c>
      <c r="AB473" s="13">
        <v>370</v>
      </c>
      <c r="AC473" s="13">
        <v>1848</v>
      </c>
      <c r="AD473" s="13">
        <v>1786</v>
      </c>
    </row>
    <row r="474" spans="1:30" ht="15.75" thickBot="1" x14ac:dyDescent="0.3">
      <c r="A474" s="9" t="s">
        <v>1082</v>
      </c>
      <c r="B474" s="9" t="s">
        <v>1157</v>
      </c>
      <c r="C474" s="45" t="str">
        <f t="shared" si="7"/>
        <v>PC24957A</v>
      </c>
      <c r="D474" s="10" t="s">
        <v>1166</v>
      </c>
      <c r="E474" s="10" t="s">
        <v>1167</v>
      </c>
      <c r="F474" s="9" t="s">
        <v>1117</v>
      </c>
      <c r="G474" s="9" t="s">
        <v>924</v>
      </c>
      <c r="H474" s="12">
        <v>650</v>
      </c>
      <c r="I474" s="12">
        <v>4441</v>
      </c>
      <c r="J474" s="13">
        <v>0</v>
      </c>
      <c r="K474" s="13">
        <v>1159</v>
      </c>
      <c r="L474" s="13">
        <v>2800</v>
      </c>
      <c r="M474" s="13">
        <v>2400</v>
      </c>
      <c r="N474" s="13">
        <v>2400</v>
      </c>
      <c r="O474" s="13">
        <v>2800</v>
      </c>
      <c r="P474" s="13">
        <v>2800</v>
      </c>
      <c r="Q474" s="13">
        <v>2800</v>
      </c>
      <c r="R474" s="13">
        <v>2800</v>
      </c>
      <c r="S474" s="13">
        <v>2400</v>
      </c>
      <c r="T474" s="13">
        <v>2800</v>
      </c>
      <c r="U474" s="13">
        <v>2000</v>
      </c>
      <c r="V474" s="13">
        <v>2400</v>
      </c>
      <c r="W474" s="13">
        <v>2800</v>
      </c>
      <c r="X474" s="13">
        <v>2000</v>
      </c>
      <c r="Y474" s="13">
        <v>3200</v>
      </c>
      <c r="Z474" s="13">
        <v>2000</v>
      </c>
      <c r="AA474" s="13">
        <v>0</v>
      </c>
      <c r="AB474" s="13">
        <v>2400</v>
      </c>
      <c r="AC474" s="13">
        <v>2400</v>
      </c>
      <c r="AD474" s="13">
        <v>2800</v>
      </c>
    </row>
    <row r="475" spans="1:30" ht="15.75" thickBot="1" x14ac:dyDescent="0.3">
      <c r="A475" s="9" t="s">
        <v>1082</v>
      </c>
      <c r="B475" s="9" t="s">
        <v>1157</v>
      </c>
      <c r="C475" s="45" t="str">
        <f t="shared" si="7"/>
        <v>PC24958A</v>
      </c>
      <c r="D475" s="10" t="s">
        <v>1168</v>
      </c>
      <c r="E475" s="10" t="s">
        <v>1167</v>
      </c>
      <c r="F475" s="9" t="s">
        <v>1117</v>
      </c>
      <c r="G475" s="9" t="s">
        <v>924</v>
      </c>
      <c r="H475" s="12">
        <v>650</v>
      </c>
      <c r="I475" s="12">
        <v>5802</v>
      </c>
      <c r="J475" s="13">
        <v>0</v>
      </c>
      <c r="K475" s="13">
        <v>1159</v>
      </c>
      <c r="L475" s="13">
        <v>2800</v>
      </c>
      <c r="M475" s="13">
        <v>2400</v>
      </c>
      <c r="N475" s="13">
        <v>2400</v>
      </c>
      <c r="O475" s="13">
        <v>2800</v>
      </c>
      <c r="P475" s="13">
        <v>2800</v>
      </c>
      <c r="Q475" s="13">
        <v>2800</v>
      </c>
      <c r="R475" s="13">
        <v>2800</v>
      </c>
      <c r="S475" s="13">
        <v>2400</v>
      </c>
      <c r="T475" s="13">
        <v>2800</v>
      </c>
      <c r="U475" s="13">
        <v>2000</v>
      </c>
      <c r="V475" s="13">
        <v>2400</v>
      </c>
      <c r="W475" s="13">
        <v>2800</v>
      </c>
      <c r="X475" s="13">
        <v>2000</v>
      </c>
      <c r="Y475" s="13">
        <v>3200</v>
      </c>
      <c r="Z475" s="13">
        <v>2000</v>
      </c>
      <c r="AA475" s="13">
        <v>0</v>
      </c>
      <c r="AB475" s="13">
        <v>2400</v>
      </c>
      <c r="AC475" s="13">
        <v>2400</v>
      </c>
      <c r="AD475" s="13">
        <v>2800</v>
      </c>
    </row>
    <row r="476" spans="1:30" ht="15.75" thickBot="1" x14ac:dyDescent="0.3">
      <c r="A476" s="9" t="s">
        <v>1082</v>
      </c>
      <c r="B476" s="9" t="s">
        <v>1157</v>
      </c>
      <c r="C476" s="45" t="str">
        <f t="shared" si="7"/>
        <v>PC24959A</v>
      </c>
      <c r="D476" s="10" t="s">
        <v>1169</v>
      </c>
      <c r="E476" s="10" t="s">
        <v>1170</v>
      </c>
      <c r="F476" s="9" t="s">
        <v>1117</v>
      </c>
      <c r="G476" s="9" t="s">
        <v>924</v>
      </c>
      <c r="H476" s="12">
        <v>650</v>
      </c>
      <c r="I476" s="12">
        <v>10052</v>
      </c>
      <c r="J476" s="13">
        <v>0</v>
      </c>
      <c r="K476" s="13">
        <v>0</v>
      </c>
      <c r="L476" s="13">
        <v>0</v>
      </c>
      <c r="M476" s="13">
        <v>0</v>
      </c>
      <c r="N476" s="13">
        <v>1948</v>
      </c>
      <c r="O476" s="13">
        <v>4000</v>
      </c>
      <c r="P476" s="13">
        <v>2000</v>
      </c>
      <c r="Q476" s="13">
        <v>4000</v>
      </c>
      <c r="R476" s="13">
        <v>2000</v>
      </c>
      <c r="S476" s="13">
        <v>2000</v>
      </c>
      <c r="T476" s="13">
        <v>4000</v>
      </c>
      <c r="U476" s="13">
        <v>2000</v>
      </c>
      <c r="V476" s="13">
        <v>2000</v>
      </c>
      <c r="W476" s="13">
        <v>2000</v>
      </c>
      <c r="X476" s="13">
        <v>2000</v>
      </c>
      <c r="Y476" s="13">
        <v>4000</v>
      </c>
      <c r="Z476" s="13">
        <v>2000</v>
      </c>
      <c r="AA476" s="13">
        <v>0</v>
      </c>
      <c r="AB476" s="13">
        <v>2000</v>
      </c>
      <c r="AC476" s="13">
        <v>2000</v>
      </c>
      <c r="AD476" s="13">
        <v>4000</v>
      </c>
    </row>
    <row r="477" spans="1:30" ht="15.75" thickBot="1" x14ac:dyDescent="0.3">
      <c r="A477" s="9" t="s">
        <v>1082</v>
      </c>
      <c r="B477" s="9" t="s">
        <v>1157</v>
      </c>
      <c r="C477" s="45" t="str">
        <f t="shared" si="7"/>
        <v>PC24960A</v>
      </c>
      <c r="D477" s="10" t="s">
        <v>1171</v>
      </c>
      <c r="E477" s="10" t="s">
        <v>1170</v>
      </c>
      <c r="F477" s="9" t="s">
        <v>1117</v>
      </c>
      <c r="G477" s="9" t="s">
        <v>924</v>
      </c>
      <c r="H477" s="12">
        <v>650</v>
      </c>
      <c r="I477" s="12">
        <v>12419</v>
      </c>
      <c r="J477" s="13">
        <v>0</v>
      </c>
      <c r="K477" s="13">
        <v>0</v>
      </c>
      <c r="L477" s="13">
        <v>0</v>
      </c>
      <c r="M477" s="13">
        <v>0</v>
      </c>
      <c r="N477" s="13">
        <v>1948</v>
      </c>
      <c r="O477" s="13">
        <v>4000</v>
      </c>
      <c r="P477" s="13">
        <v>2000</v>
      </c>
      <c r="Q477" s="13">
        <v>4000</v>
      </c>
      <c r="R477" s="13">
        <v>2000</v>
      </c>
      <c r="S477" s="13">
        <v>2000</v>
      </c>
      <c r="T477" s="13">
        <v>4000</v>
      </c>
      <c r="U477" s="13">
        <v>2000</v>
      </c>
      <c r="V477" s="13">
        <v>2000</v>
      </c>
      <c r="W477" s="13">
        <v>2000</v>
      </c>
      <c r="X477" s="13">
        <v>2000</v>
      </c>
      <c r="Y477" s="13">
        <v>4000</v>
      </c>
      <c r="Z477" s="13">
        <v>2000</v>
      </c>
      <c r="AA477" s="13">
        <v>0</v>
      </c>
      <c r="AB477" s="13">
        <v>2000</v>
      </c>
      <c r="AC477" s="13">
        <v>2000</v>
      </c>
      <c r="AD477" s="13">
        <v>4000</v>
      </c>
    </row>
    <row r="478" spans="1:30" ht="15.75" thickBot="1" x14ac:dyDescent="0.3">
      <c r="A478" s="9" t="s">
        <v>1082</v>
      </c>
      <c r="B478" s="9" t="s">
        <v>1157</v>
      </c>
      <c r="C478" s="45" t="str">
        <f t="shared" si="7"/>
        <v>PC26172B</v>
      </c>
      <c r="D478" s="10" t="s">
        <v>1172</v>
      </c>
      <c r="E478" s="10" t="s">
        <v>1173</v>
      </c>
      <c r="F478" s="9" t="s">
        <v>1117</v>
      </c>
      <c r="G478" s="9" t="s">
        <v>924</v>
      </c>
      <c r="H478" s="12">
        <v>650</v>
      </c>
      <c r="I478" s="12">
        <v>4818</v>
      </c>
      <c r="J478" s="13">
        <v>0</v>
      </c>
      <c r="K478" s="13">
        <v>982</v>
      </c>
      <c r="L478" s="13">
        <v>2800</v>
      </c>
      <c r="M478" s="13">
        <v>2500</v>
      </c>
      <c r="N478" s="13">
        <v>2400</v>
      </c>
      <c r="O478" s="13">
        <v>2800</v>
      </c>
      <c r="P478" s="13">
        <v>2800</v>
      </c>
      <c r="Q478" s="13">
        <v>2600</v>
      </c>
      <c r="R478" s="13">
        <v>2700</v>
      </c>
      <c r="S478" s="13">
        <v>2600</v>
      </c>
      <c r="T478" s="13">
        <v>2800</v>
      </c>
      <c r="U478" s="13">
        <v>1900</v>
      </c>
      <c r="V478" s="13">
        <v>2400</v>
      </c>
      <c r="W478" s="13">
        <v>2700</v>
      </c>
      <c r="X478" s="13">
        <v>2000</v>
      </c>
      <c r="Y478" s="13">
        <v>3400</v>
      </c>
      <c r="Z478" s="13">
        <v>2000</v>
      </c>
      <c r="AA478" s="13">
        <v>0</v>
      </c>
      <c r="AB478" s="13">
        <v>2400</v>
      </c>
      <c r="AC478" s="13">
        <v>2200</v>
      </c>
      <c r="AD478" s="13">
        <v>2900</v>
      </c>
    </row>
    <row r="479" spans="1:30" ht="15.75" thickBot="1" x14ac:dyDescent="0.3">
      <c r="A479" s="9" t="s">
        <v>1082</v>
      </c>
      <c r="B479" s="9" t="s">
        <v>1157</v>
      </c>
      <c r="C479" s="45" t="str">
        <f t="shared" si="7"/>
        <v>PC26550A</v>
      </c>
      <c r="D479" s="10" t="s">
        <v>1174</v>
      </c>
      <c r="E479" s="10" t="s">
        <v>1167</v>
      </c>
      <c r="F479" s="9" t="s">
        <v>1117</v>
      </c>
      <c r="G479" s="9" t="s">
        <v>924</v>
      </c>
      <c r="H479" s="12">
        <v>650</v>
      </c>
      <c r="I479" s="12">
        <v>11688</v>
      </c>
      <c r="J479" s="13">
        <v>0</v>
      </c>
      <c r="K479" s="13">
        <v>0</v>
      </c>
      <c r="L479" s="13">
        <v>0</v>
      </c>
      <c r="M479" s="13">
        <v>0</v>
      </c>
      <c r="N479" s="13">
        <v>1512</v>
      </c>
      <c r="O479" s="13">
        <v>2400</v>
      </c>
      <c r="P479" s="13">
        <v>3000</v>
      </c>
      <c r="Q479" s="13">
        <v>2400</v>
      </c>
      <c r="R479" s="13">
        <v>3000</v>
      </c>
      <c r="S479" s="13">
        <v>2400</v>
      </c>
      <c r="T479" s="13">
        <v>3000</v>
      </c>
      <c r="U479" s="13">
        <v>1800</v>
      </c>
      <c r="V479" s="13">
        <v>2400</v>
      </c>
      <c r="W479" s="13">
        <v>2400</v>
      </c>
      <c r="X479" s="13">
        <v>1800</v>
      </c>
      <c r="Y479" s="13">
        <v>3600</v>
      </c>
      <c r="Z479" s="13">
        <v>1800</v>
      </c>
      <c r="AA479" s="13">
        <v>0</v>
      </c>
      <c r="AB479" s="13">
        <v>2400</v>
      </c>
      <c r="AC479" s="13">
        <v>2400</v>
      </c>
      <c r="AD479" s="13">
        <v>3000</v>
      </c>
    </row>
    <row r="480" spans="1:30" ht="15.75" thickBot="1" x14ac:dyDescent="0.3">
      <c r="A480" s="9" t="s">
        <v>1082</v>
      </c>
      <c r="B480" s="9" t="s">
        <v>1157</v>
      </c>
      <c r="C480" s="45" t="str">
        <f t="shared" si="7"/>
        <v>PC26551A</v>
      </c>
      <c r="D480" s="10" t="s">
        <v>1175</v>
      </c>
      <c r="E480" s="10" t="s">
        <v>1167</v>
      </c>
      <c r="F480" s="9" t="s">
        <v>1117</v>
      </c>
      <c r="G480" s="9" t="s">
        <v>924</v>
      </c>
      <c r="H480" s="12">
        <v>650</v>
      </c>
      <c r="I480" s="12">
        <v>13912</v>
      </c>
      <c r="J480" s="13">
        <v>0</v>
      </c>
      <c r="K480" s="13">
        <v>0</v>
      </c>
      <c r="L480" s="13">
        <v>0</v>
      </c>
      <c r="M480" s="13">
        <v>0</v>
      </c>
      <c r="N480" s="13">
        <v>1512</v>
      </c>
      <c r="O480" s="13">
        <v>2400</v>
      </c>
      <c r="P480" s="13">
        <v>3000</v>
      </c>
      <c r="Q480" s="13">
        <v>2400</v>
      </c>
      <c r="R480" s="13">
        <v>3000</v>
      </c>
      <c r="S480" s="13">
        <v>2400</v>
      </c>
      <c r="T480" s="13">
        <v>3000</v>
      </c>
      <c r="U480" s="13">
        <v>1800</v>
      </c>
      <c r="V480" s="13">
        <v>2400</v>
      </c>
      <c r="W480" s="13">
        <v>2400</v>
      </c>
      <c r="X480" s="13">
        <v>1800</v>
      </c>
      <c r="Y480" s="13">
        <v>3600</v>
      </c>
      <c r="Z480" s="13">
        <v>1800</v>
      </c>
      <c r="AA480" s="13">
        <v>0</v>
      </c>
      <c r="AB480" s="13">
        <v>2400</v>
      </c>
      <c r="AC480" s="13">
        <v>2400</v>
      </c>
      <c r="AD480" s="13">
        <v>3000</v>
      </c>
    </row>
    <row r="481" spans="1:30" ht="15.75" thickBot="1" x14ac:dyDescent="0.3">
      <c r="A481" s="9" t="s">
        <v>1082</v>
      </c>
      <c r="B481" s="9" t="s">
        <v>1157</v>
      </c>
      <c r="C481" s="45" t="str">
        <f t="shared" si="7"/>
        <v>PC30481C</v>
      </c>
      <c r="D481" s="10" t="s">
        <v>1176</v>
      </c>
      <c r="E481" s="10" t="s">
        <v>1177</v>
      </c>
      <c r="F481" s="9" t="s">
        <v>1117</v>
      </c>
      <c r="G481" s="9" t="s">
        <v>924</v>
      </c>
      <c r="H481" s="12">
        <v>650</v>
      </c>
      <c r="I481" s="12">
        <v>4177</v>
      </c>
      <c r="J481" s="13">
        <v>0</v>
      </c>
      <c r="K481" s="13">
        <v>1823</v>
      </c>
      <c r="L481" s="13">
        <v>2000</v>
      </c>
      <c r="M481" s="13">
        <v>3000</v>
      </c>
      <c r="N481" s="13">
        <v>2000</v>
      </c>
      <c r="O481" s="13">
        <v>3000</v>
      </c>
      <c r="P481" s="13">
        <v>3000</v>
      </c>
      <c r="Q481" s="13">
        <v>3000</v>
      </c>
      <c r="R481" s="13">
        <v>2000</v>
      </c>
      <c r="S481" s="13">
        <v>3000</v>
      </c>
      <c r="T481" s="13">
        <v>3000</v>
      </c>
      <c r="U481" s="13">
        <v>2000</v>
      </c>
      <c r="V481" s="13">
        <v>2000</v>
      </c>
      <c r="W481" s="13">
        <v>3000</v>
      </c>
      <c r="X481" s="13">
        <v>2000</v>
      </c>
      <c r="Y481" s="13">
        <v>3000</v>
      </c>
      <c r="Z481" s="13">
        <v>2000</v>
      </c>
      <c r="AA481" s="13">
        <v>0</v>
      </c>
      <c r="AB481" s="13">
        <v>2000</v>
      </c>
      <c r="AC481" s="13">
        <v>3000</v>
      </c>
      <c r="AD481" s="13">
        <v>3000</v>
      </c>
    </row>
    <row r="482" spans="1:30" ht="15.75" thickBot="1" x14ac:dyDescent="0.3">
      <c r="A482" s="9" t="s">
        <v>1082</v>
      </c>
      <c r="B482" s="9" t="s">
        <v>1157</v>
      </c>
      <c r="C482" s="45" t="str">
        <f t="shared" si="7"/>
        <v>PC30482A</v>
      </c>
      <c r="D482" s="10" t="s">
        <v>1178</v>
      </c>
      <c r="E482" s="10" t="s">
        <v>1179</v>
      </c>
      <c r="F482" s="9" t="s">
        <v>1117</v>
      </c>
      <c r="G482" s="9" t="s">
        <v>924</v>
      </c>
      <c r="H482" s="12">
        <v>650</v>
      </c>
      <c r="I482" s="12">
        <v>5152</v>
      </c>
      <c r="J482" s="13">
        <v>0</v>
      </c>
      <c r="K482" s="13">
        <v>848</v>
      </c>
      <c r="L482" s="13">
        <v>3000</v>
      </c>
      <c r="M482" s="13">
        <v>2400</v>
      </c>
      <c r="N482" s="13">
        <v>2400</v>
      </c>
      <c r="O482" s="13">
        <v>3000</v>
      </c>
      <c r="P482" s="13">
        <v>2669</v>
      </c>
      <c r="Q482" s="13">
        <v>2731</v>
      </c>
      <c r="R482" s="13">
        <v>2400</v>
      </c>
      <c r="S482" s="13">
        <v>3000</v>
      </c>
      <c r="T482" s="13">
        <v>2669</v>
      </c>
      <c r="U482" s="13">
        <v>1800</v>
      </c>
      <c r="V482" s="13">
        <v>2400</v>
      </c>
      <c r="W482" s="13">
        <v>2731</v>
      </c>
      <c r="X482" s="13">
        <v>1800</v>
      </c>
      <c r="Y482" s="13">
        <v>3600</v>
      </c>
      <c r="Z482" s="13">
        <v>1800</v>
      </c>
      <c r="AA482" s="13">
        <v>0</v>
      </c>
      <c r="AB482" s="13">
        <v>2669</v>
      </c>
      <c r="AC482" s="13">
        <v>2131</v>
      </c>
      <c r="AD482" s="13">
        <v>3000</v>
      </c>
    </row>
    <row r="483" spans="1:30" ht="15.75" thickBot="1" x14ac:dyDescent="0.3">
      <c r="A483" s="9" t="s">
        <v>1082</v>
      </c>
      <c r="B483" s="9" t="s">
        <v>1157</v>
      </c>
      <c r="C483" s="45" t="str">
        <f t="shared" si="7"/>
        <v>PC30483A</v>
      </c>
      <c r="D483" s="10" t="s">
        <v>1180</v>
      </c>
      <c r="E483" s="10" t="s">
        <v>1181</v>
      </c>
      <c r="F483" s="9" t="s">
        <v>1117</v>
      </c>
      <c r="G483" s="9" t="s">
        <v>924</v>
      </c>
      <c r="H483" s="12">
        <v>650</v>
      </c>
      <c r="I483" s="12">
        <v>4883</v>
      </c>
      <c r="J483" s="13">
        <v>0</v>
      </c>
      <c r="K483" s="13">
        <v>848</v>
      </c>
      <c r="L483" s="13">
        <v>3000</v>
      </c>
      <c r="M483" s="13">
        <v>2400</v>
      </c>
      <c r="N483" s="13">
        <v>2400</v>
      </c>
      <c r="O483" s="13">
        <v>3000</v>
      </c>
      <c r="P483" s="13">
        <v>2669</v>
      </c>
      <c r="Q483" s="13">
        <v>2731</v>
      </c>
      <c r="R483" s="13">
        <v>2400</v>
      </c>
      <c r="S483" s="13">
        <v>3000</v>
      </c>
      <c r="T483" s="13">
        <v>2669</v>
      </c>
      <c r="U483" s="13">
        <v>1800</v>
      </c>
      <c r="V483" s="13">
        <v>2400</v>
      </c>
      <c r="W483" s="13">
        <v>2731</v>
      </c>
      <c r="X483" s="13">
        <v>1800</v>
      </c>
      <c r="Y483" s="13">
        <v>3600</v>
      </c>
      <c r="Z483" s="13">
        <v>1800</v>
      </c>
      <c r="AA483" s="13">
        <v>0</v>
      </c>
      <c r="AB483" s="13">
        <v>2669</v>
      </c>
      <c r="AC483" s="13">
        <v>2131</v>
      </c>
      <c r="AD483" s="13">
        <v>3000</v>
      </c>
    </row>
    <row r="484" spans="1:30" ht="15.75" thickBot="1" x14ac:dyDescent="0.3">
      <c r="A484" s="9" t="s">
        <v>1082</v>
      </c>
      <c r="B484" s="9" t="s">
        <v>1157</v>
      </c>
      <c r="C484" s="45" t="str">
        <f t="shared" si="7"/>
        <v>PC31587B</v>
      </c>
      <c r="D484" s="10" t="s">
        <v>1182</v>
      </c>
      <c r="E484" s="10" t="s">
        <v>1183</v>
      </c>
      <c r="F484" s="9" t="s">
        <v>1117</v>
      </c>
      <c r="G484" s="9" t="s">
        <v>924</v>
      </c>
      <c r="H484" s="12">
        <v>650</v>
      </c>
      <c r="I484" s="12">
        <v>13912</v>
      </c>
      <c r="J484" s="13">
        <v>0</v>
      </c>
      <c r="K484" s="13">
        <v>0</v>
      </c>
      <c r="L484" s="13">
        <v>0</v>
      </c>
      <c r="M484" s="13">
        <v>0</v>
      </c>
      <c r="N484" s="13">
        <v>746</v>
      </c>
      <c r="O484" s="13">
        <v>2800</v>
      </c>
      <c r="P484" s="13">
        <v>2800</v>
      </c>
      <c r="Q484" s="13">
        <v>2800</v>
      </c>
      <c r="R484" s="13">
        <v>2800</v>
      </c>
      <c r="S484" s="13">
        <v>2100</v>
      </c>
      <c r="T484" s="13">
        <v>2800</v>
      </c>
      <c r="U484" s="13">
        <v>2100</v>
      </c>
      <c r="V484" s="13">
        <v>2800</v>
      </c>
      <c r="W484" s="13">
        <v>2100</v>
      </c>
      <c r="X484" s="13">
        <v>2100</v>
      </c>
      <c r="Y484" s="13">
        <v>3500</v>
      </c>
      <c r="Z484" s="13">
        <v>2100</v>
      </c>
      <c r="AA484" s="13">
        <v>0</v>
      </c>
      <c r="AB484" s="13">
        <v>2100</v>
      </c>
      <c r="AC484" s="13">
        <v>2800</v>
      </c>
      <c r="AD484" s="13">
        <v>2800</v>
      </c>
    </row>
    <row r="485" spans="1:30" ht="15.75" thickBot="1" x14ac:dyDescent="0.3">
      <c r="A485" s="9" t="s">
        <v>1082</v>
      </c>
      <c r="B485" s="9" t="s">
        <v>1157</v>
      </c>
      <c r="C485" s="45" t="str">
        <f t="shared" si="7"/>
        <v>PC31592A</v>
      </c>
      <c r="D485" s="10" t="s">
        <v>1184</v>
      </c>
      <c r="E485" s="10" t="s">
        <v>1185</v>
      </c>
      <c r="F485" s="9" t="s">
        <v>1117</v>
      </c>
      <c r="G485" s="9" t="s">
        <v>924</v>
      </c>
      <c r="H485" s="12">
        <v>650</v>
      </c>
      <c r="I485" s="12">
        <v>6661</v>
      </c>
      <c r="J485" s="13">
        <v>0</v>
      </c>
      <c r="K485" s="13">
        <v>2398</v>
      </c>
      <c r="L485" s="13">
        <v>2400</v>
      </c>
      <c r="M485" s="13">
        <v>2400</v>
      </c>
      <c r="N485" s="13">
        <v>2400</v>
      </c>
      <c r="O485" s="13">
        <v>3600</v>
      </c>
      <c r="P485" s="13">
        <v>2400</v>
      </c>
      <c r="Q485" s="13">
        <v>2400</v>
      </c>
      <c r="R485" s="13">
        <v>3600</v>
      </c>
      <c r="S485" s="13">
        <v>2400</v>
      </c>
      <c r="T485" s="13">
        <v>2400</v>
      </c>
      <c r="U485" s="13">
        <v>2400</v>
      </c>
      <c r="V485" s="13">
        <v>2400</v>
      </c>
      <c r="W485" s="13">
        <v>2400</v>
      </c>
      <c r="X485" s="13">
        <v>2400</v>
      </c>
      <c r="Y485" s="13">
        <v>2400</v>
      </c>
      <c r="Z485" s="13">
        <v>2400</v>
      </c>
      <c r="AA485" s="13">
        <v>0</v>
      </c>
      <c r="AB485" s="13">
        <v>2400</v>
      </c>
      <c r="AC485" s="13">
        <v>2400</v>
      </c>
      <c r="AD485" s="13">
        <v>2400</v>
      </c>
    </row>
    <row r="486" spans="1:30" ht="15.75" thickBot="1" x14ac:dyDescent="0.3">
      <c r="A486" s="9" t="s">
        <v>1082</v>
      </c>
      <c r="B486" s="9" t="s">
        <v>1157</v>
      </c>
      <c r="C486" s="45" t="str">
        <f t="shared" si="7"/>
        <v>PC31593A</v>
      </c>
      <c r="D486" s="10" t="s">
        <v>1186</v>
      </c>
      <c r="E486" s="10" t="s">
        <v>1187</v>
      </c>
      <c r="F486" s="9" t="s">
        <v>1117</v>
      </c>
      <c r="G486" s="9" t="s">
        <v>924</v>
      </c>
      <c r="H486" s="12">
        <v>650</v>
      </c>
      <c r="I486" s="12">
        <v>3602</v>
      </c>
      <c r="J486" s="13">
        <v>0</v>
      </c>
      <c r="K486" s="13">
        <v>2398</v>
      </c>
      <c r="L486" s="13">
        <v>2400</v>
      </c>
      <c r="M486" s="13">
        <v>2400</v>
      </c>
      <c r="N486" s="13">
        <v>2400</v>
      </c>
      <c r="O486" s="13">
        <v>3600</v>
      </c>
      <c r="P486" s="13">
        <v>2400</v>
      </c>
      <c r="Q486" s="13">
        <v>2400</v>
      </c>
      <c r="R486" s="13">
        <v>3600</v>
      </c>
      <c r="S486" s="13">
        <v>2400</v>
      </c>
      <c r="T486" s="13">
        <v>2400</v>
      </c>
      <c r="U486" s="13">
        <v>2400</v>
      </c>
      <c r="V486" s="13">
        <v>2400</v>
      </c>
      <c r="W486" s="13">
        <v>2400</v>
      </c>
      <c r="X486" s="13">
        <v>2400</v>
      </c>
      <c r="Y486" s="13">
        <v>2400</v>
      </c>
      <c r="Z486" s="13">
        <v>2400</v>
      </c>
      <c r="AA486" s="13">
        <v>0</v>
      </c>
      <c r="AB486" s="13">
        <v>2400</v>
      </c>
      <c r="AC486" s="13">
        <v>2400</v>
      </c>
      <c r="AD486" s="13">
        <v>2400</v>
      </c>
    </row>
    <row r="487" spans="1:30" ht="15.75" thickBot="1" x14ac:dyDescent="0.3">
      <c r="A487" s="9" t="s">
        <v>1082</v>
      </c>
      <c r="B487" s="9" t="s">
        <v>1188</v>
      </c>
      <c r="C487" s="45" t="str">
        <f t="shared" si="7"/>
        <v>CON68566220AA</v>
      </c>
      <c r="D487" s="10" t="s">
        <v>1189</v>
      </c>
      <c r="E487" s="10" t="s">
        <v>1190</v>
      </c>
      <c r="F487" s="9" t="s">
        <v>394</v>
      </c>
      <c r="G487" s="9" t="s">
        <v>924</v>
      </c>
      <c r="H487" s="12">
        <v>550</v>
      </c>
      <c r="I487" s="12">
        <v>12166</v>
      </c>
      <c r="J487" s="13">
        <v>0</v>
      </c>
      <c r="K487" s="13">
        <v>6538</v>
      </c>
      <c r="L487" s="13">
        <v>6200</v>
      </c>
      <c r="M487" s="13">
        <v>6600</v>
      </c>
      <c r="N487" s="13">
        <v>7800</v>
      </c>
      <c r="O487" s="13">
        <v>7600</v>
      </c>
      <c r="P487" s="13">
        <v>8600</v>
      </c>
      <c r="Q487" s="13">
        <v>8600</v>
      </c>
      <c r="R487" s="13">
        <v>7400</v>
      </c>
      <c r="S487" s="13">
        <v>8200</v>
      </c>
      <c r="T487" s="13">
        <v>6600</v>
      </c>
      <c r="U487" s="13">
        <v>8200</v>
      </c>
      <c r="V487" s="13">
        <v>3200</v>
      </c>
      <c r="W487" s="13">
        <v>7000</v>
      </c>
      <c r="X487" s="13">
        <v>6200</v>
      </c>
      <c r="Y487" s="13">
        <v>4000</v>
      </c>
      <c r="Z487" s="13">
        <v>10600</v>
      </c>
      <c r="AA487" s="13">
        <v>3600</v>
      </c>
      <c r="AB487" s="13">
        <v>6000</v>
      </c>
      <c r="AC487" s="13">
        <v>5800</v>
      </c>
      <c r="AD487" s="13">
        <v>6000</v>
      </c>
    </row>
    <row r="488" spans="1:30" ht="15.75" thickBot="1" x14ac:dyDescent="0.3">
      <c r="A488" s="9" t="s">
        <v>1082</v>
      </c>
      <c r="B488" s="9" t="s">
        <v>1188</v>
      </c>
      <c r="C488" s="45" t="str">
        <f t="shared" si="7"/>
        <v>CON68566221AA</v>
      </c>
      <c r="D488" s="10" t="s">
        <v>1191</v>
      </c>
      <c r="E488" s="10" t="s">
        <v>1192</v>
      </c>
      <c r="F488" s="9" t="s">
        <v>394</v>
      </c>
      <c r="G488" s="9" t="s">
        <v>924</v>
      </c>
      <c r="H488" s="12">
        <v>550</v>
      </c>
      <c r="I488" s="12">
        <v>9462</v>
      </c>
      <c r="J488" s="13">
        <v>0</v>
      </c>
      <c r="K488" s="13">
        <v>6538</v>
      </c>
      <c r="L488" s="13">
        <v>6200</v>
      </c>
      <c r="M488" s="13">
        <v>6600</v>
      </c>
      <c r="N488" s="13">
        <v>7800</v>
      </c>
      <c r="O488" s="13">
        <v>7600</v>
      </c>
      <c r="P488" s="13">
        <v>8600</v>
      </c>
      <c r="Q488" s="13">
        <v>8600</v>
      </c>
      <c r="R488" s="13">
        <v>7400</v>
      </c>
      <c r="S488" s="13">
        <v>8200</v>
      </c>
      <c r="T488" s="13">
        <v>6600</v>
      </c>
      <c r="U488" s="13">
        <v>8200</v>
      </c>
      <c r="V488" s="13">
        <v>3200</v>
      </c>
      <c r="W488" s="13">
        <v>7000</v>
      </c>
      <c r="X488" s="13">
        <v>6200</v>
      </c>
      <c r="Y488" s="13">
        <v>4000</v>
      </c>
      <c r="Z488" s="13">
        <v>10600</v>
      </c>
      <c r="AA488" s="13">
        <v>3600</v>
      </c>
      <c r="AB488" s="13">
        <v>6000</v>
      </c>
      <c r="AC488" s="13">
        <v>5800</v>
      </c>
      <c r="AD488" s="13">
        <v>6000</v>
      </c>
    </row>
    <row r="489" spans="1:30" ht="15.75" thickBot="1" x14ac:dyDescent="0.3">
      <c r="A489" s="9" t="s">
        <v>1082</v>
      </c>
      <c r="B489" s="9" t="s">
        <v>1188</v>
      </c>
      <c r="C489" s="45" t="str">
        <f t="shared" si="7"/>
        <v>DET10723APIA02</v>
      </c>
      <c r="D489" s="10" t="s">
        <v>1193</v>
      </c>
      <c r="E489" s="10" t="s">
        <v>1194</v>
      </c>
      <c r="F489" s="9" t="s">
        <v>261</v>
      </c>
      <c r="G489" s="9" t="s">
        <v>924</v>
      </c>
      <c r="H489" s="12">
        <v>550</v>
      </c>
      <c r="I489" s="12">
        <v>2225</v>
      </c>
      <c r="J489" s="13">
        <v>1154</v>
      </c>
      <c r="K489" s="13">
        <v>2396</v>
      </c>
      <c r="L489" s="13">
        <v>1584</v>
      </c>
      <c r="M489" s="13">
        <v>1008</v>
      </c>
      <c r="N489" s="13">
        <v>2064</v>
      </c>
      <c r="O489" s="13">
        <v>2064</v>
      </c>
      <c r="P489" s="13">
        <v>1680</v>
      </c>
      <c r="Q489" s="13">
        <v>2784</v>
      </c>
      <c r="R489" s="13">
        <v>0</v>
      </c>
      <c r="S489" s="13">
        <v>288</v>
      </c>
      <c r="T489" s="13">
        <v>2112</v>
      </c>
      <c r="U489" s="13">
        <v>2112</v>
      </c>
      <c r="V489" s="13">
        <v>1872</v>
      </c>
      <c r="W489" s="13">
        <v>1920</v>
      </c>
      <c r="X489" s="13">
        <v>1440</v>
      </c>
      <c r="Y489" s="13">
        <v>2016</v>
      </c>
      <c r="Z489" s="13">
        <v>2064</v>
      </c>
      <c r="AA489" s="13">
        <v>2064</v>
      </c>
      <c r="AB489" s="13">
        <v>1776</v>
      </c>
      <c r="AC489" s="13">
        <v>2064</v>
      </c>
      <c r="AD489" s="13">
        <v>1920</v>
      </c>
    </row>
    <row r="490" spans="1:30" ht="15.75" thickBot="1" x14ac:dyDescent="0.3">
      <c r="A490" s="9" t="s">
        <v>1082</v>
      </c>
      <c r="B490" s="9" t="s">
        <v>1188</v>
      </c>
      <c r="C490" s="45" t="str">
        <f t="shared" si="7"/>
        <v>DET2102892MB</v>
      </c>
      <c r="D490" s="10" t="s">
        <v>1195</v>
      </c>
      <c r="E490" s="10" t="s">
        <v>1196</v>
      </c>
      <c r="F490" s="9" t="s">
        <v>261</v>
      </c>
      <c r="G490" s="9" t="s">
        <v>924</v>
      </c>
      <c r="H490" s="12">
        <v>550</v>
      </c>
      <c r="I490" s="12">
        <v>932</v>
      </c>
      <c r="J490" s="13">
        <v>0</v>
      </c>
      <c r="K490" s="13">
        <v>0</v>
      </c>
      <c r="L490" s="13">
        <v>0</v>
      </c>
      <c r="M490" s="13">
        <v>424</v>
      </c>
      <c r="N490" s="13">
        <v>1120</v>
      </c>
      <c r="O490" s="13">
        <v>1400</v>
      </c>
      <c r="P490" s="13">
        <v>840</v>
      </c>
      <c r="Q490" s="13">
        <v>1120</v>
      </c>
      <c r="R490" s="13">
        <v>1680</v>
      </c>
      <c r="S490" s="13">
        <v>1400</v>
      </c>
      <c r="T490" s="13">
        <v>1680</v>
      </c>
      <c r="U490" s="13">
        <v>1120</v>
      </c>
      <c r="V490" s="13">
        <v>2240</v>
      </c>
      <c r="W490" s="13">
        <v>2240</v>
      </c>
      <c r="X490" s="13">
        <v>1680</v>
      </c>
      <c r="Y490" s="13">
        <v>2240</v>
      </c>
      <c r="Z490" s="13">
        <v>61</v>
      </c>
      <c r="AA490" s="13">
        <v>499</v>
      </c>
      <c r="AB490" s="13">
        <v>1960</v>
      </c>
      <c r="AC490" s="13">
        <v>2240</v>
      </c>
      <c r="AD490" s="13">
        <v>1960</v>
      </c>
    </row>
    <row r="491" spans="1:30" ht="15.75" thickBot="1" x14ac:dyDescent="0.3">
      <c r="A491" s="9" t="s">
        <v>1082</v>
      </c>
      <c r="B491" s="9" t="s">
        <v>1188</v>
      </c>
      <c r="C491" s="45" t="str">
        <f t="shared" si="7"/>
        <v>DET2610706A</v>
      </c>
      <c r="D491" s="10" t="s">
        <v>1197</v>
      </c>
      <c r="E491" s="10" t="s">
        <v>1198</v>
      </c>
      <c r="F491" s="9" t="s">
        <v>494</v>
      </c>
      <c r="G491" s="9" t="s">
        <v>924</v>
      </c>
      <c r="H491" s="12">
        <v>650</v>
      </c>
      <c r="I491" s="12">
        <v>4919</v>
      </c>
      <c r="J491" s="13">
        <v>0</v>
      </c>
      <c r="K491" s="13">
        <v>0</v>
      </c>
      <c r="L491" s="13">
        <v>0</v>
      </c>
      <c r="M491" s="13">
        <v>0</v>
      </c>
      <c r="N491" s="13">
        <v>240</v>
      </c>
      <c r="O491" s="13">
        <v>1518</v>
      </c>
      <c r="P491" s="13">
        <v>1895</v>
      </c>
      <c r="Q491" s="13">
        <v>371</v>
      </c>
      <c r="R491" s="13">
        <v>1043</v>
      </c>
      <c r="S491" s="13">
        <v>1516</v>
      </c>
      <c r="T491" s="13">
        <v>1663</v>
      </c>
      <c r="U491" s="13">
        <v>1485</v>
      </c>
      <c r="V491" s="13">
        <v>1285</v>
      </c>
      <c r="W491" s="13">
        <v>2068</v>
      </c>
      <c r="X491" s="13">
        <v>1998</v>
      </c>
      <c r="Y491" s="13">
        <v>1991</v>
      </c>
      <c r="Z491" s="13">
        <v>2472</v>
      </c>
      <c r="AA491" s="13">
        <v>0</v>
      </c>
      <c r="AB491" s="13">
        <v>412</v>
      </c>
      <c r="AC491" s="13">
        <v>2063</v>
      </c>
      <c r="AD491" s="13">
        <v>2055</v>
      </c>
    </row>
    <row r="492" spans="1:30" ht="15.75" thickBot="1" x14ac:dyDescent="0.3">
      <c r="A492" s="9" t="s">
        <v>1082</v>
      </c>
      <c r="B492" s="9" t="s">
        <v>1188</v>
      </c>
      <c r="C492" s="45" t="str">
        <f t="shared" si="7"/>
        <v>DET2610707A</v>
      </c>
      <c r="D492" s="10" t="s">
        <v>1199</v>
      </c>
      <c r="E492" s="10" t="s">
        <v>1200</v>
      </c>
      <c r="F492" s="9" t="s">
        <v>494</v>
      </c>
      <c r="G492" s="9" t="s">
        <v>924</v>
      </c>
      <c r="H492" s="12">
        <v>650</v>
      </c>
      <c r="I492" s="12">
        <v>4825</v>
      </c>
      <c r="J492" s="13">
        <v>0</v>
      </c>
      <c r="K492" s="13">
        <v>0</v>
      </c>
      <c r="L492" s="13">
        <v>0</v>
      </c>
      <c r="M492" s="13">
        <v>0</v>
      </c>
      <c r="N492" s="13">
        <v>240</v>
      </c>
      <c r="O492" s="13">
        <v>1518</v>
      </c>
      <c r="P492" s="13">
        <v>1895</v>
      </c>
      <c r="Q492" s="13">
        <v>371</v>
      </c>
      <c r="R492" s="13">
        <v>1043</v>
      </c>
      <c r="S492" s="13">
        <v>1516</v>
      </c>
      <c r="T492" s="13">
        <v>1663</v>
      </c>
      <c r="U492" s="13">
        <v>1485</v>
      </c>
      <c r="V492" s="13">
        <v>1285</v>
      </c>
      <c r="W492" s="13">
        <v>2068</v>
      </c>
      <c r="X492" s="13">
        <v>1998</v>
      </c>
      <c r="Y492" s="13">
        <v>1991</v>
      </c>
      <c r="Z492" s="13">
        <v>2472</v>
      </c>
      <c r="AA492" s="13">
        <v>0</v>
      </c>
      <c r="AB492" s="13">
        <v>412</v>
      </c>
      <c r="AC492" s="13">
        <v>2063</v>
      </c>
      <c r="AD492" s="13">
        <v>2055</v>
      </c>
    </row>
    <row r="493" spans="1:30" ht="15.75" thickBot="1" x14ac:dyDescent="0.3">
      <c r="A493" s="9" t="s">
        <v>1082</v>
      </c>
      <c r="B493" s="9" t="s">
        <v>1188</v>
      </c>
      <c r="C493" s="45" t="str">
        <f t="shared" si="7"/>
        <v>DET2611150A</v>
      </c>
      <c r="D493" s="10" t="s">
        <v>1201</v>
      </c>
      <c r="E493" s="10" t="s">
        <v>1202</v>
      </c>
      <c r="F493" s="9" t="s">
        <v>494</v>
      </c>
      <c r="G493" s="9" t="s">
        <v>924</v>
      </c>
      <c r="H493" s="12">
        <v>650</v>
      </c>
      <c r="I493" s="12">
        <v>3031</v>
      </c>
      <c r="J493" s="13">
        <v>0</v>
      </c>
      <c r="K493" s="13">
        <v>0</v>
      </c>
      <c r="L493" s="13">
        <v>563</v>
      </c>
      <c r="M493" s="13">
        <v>1021</v>
      </c>
      <c r="N493" s="13">
        <v>1108</v>
      </c>
      <c r="O493" s="13">
        <v>1518</v>
      </c>
      <c r="P493" s="13">
        <v>1895</v>
      </c>
      <c r="Q493" s="13">
        <v>371</v>
      </c>
      <c r="R493" s="13">
        <v>1043</v>
      </c>
      <c r="S493" s="13">
        <v>1516</v>
      </c>
      <c r="T493" s="13">
        <v>1663</v>
      </c>
      <c r="U493" s="13">
        <v>1485</v>
      </c>
      <c r="V493" s="13">
        <v>1285</v>
      </c>
      <c r="W493" s="13">
        <v>2068</v>
      </c>
      <c r="X493" s="13">
        <v>1998</v>
      </c>
      <c r="Y493" s="13">
        <v>1991</v>
      </c>
      <c r="Z493" s="13">
        <v>2472</v>
      </c>
      <c r="AA493" s="13">
        <v>0</v>
      </c>
      <c r="AB493" s="13">
        <v>412</v>
      </c>
      <c r="AC493" s="13">
        <v>2063</v>
      </c>
      <c r="AD493" s="13">
        <v>2055</v>
      </c>
    </row>
    <row r="494" spans="1:30" ht="15.75" thickBot="1" x14ac:dyDescent="0.3">
      <c r="A494" s="9" t="s">
        <v>1082</v>
      </c>
      <c r="B494" s="9" t="s">
        <v>1188</v>
      </c>
      <c r="C494" s="45" t="str">
        <f t="shared" si="7"/>
        <v>DET2611151A</v>
      </c>
      <c r="D494" s="10" t="s">
        <v>1203</v>
      </c>
      <c r="E494" s="10" t="s">
        <v>1204</v>
      </c>
      <c r="F494" s="9" t="s">
        <v>494</v>
      </c>
      <c r="G494" s="9" t="s">
        <v>924</v>
      </c>
      <c r="H494" s="12">
        <v>650</v>
      </c>
      <c r="I494" s="12">
        <v>2373</v>
      </c>
      <c r="J494" s="13">
        <v>0</v>
      </c>
      <c r="K494" s="13">
        <v>0</v>
      </c>
      <c r="L494" s="13">
        <v>563</v>
      </c>
      <c r="M494" s="13">
        <v>1021</v>
      </c>
      <c r="N494" s="13">
        <v>1108</v>
      </c>
      <c r="O494" s="13">
        <v>1518</v>
      </c>
      <c r="P494" s="13">
        <v>1895</v>
      </c>
      <c r="Q494" s="13">
        <v>371</v>
      </c>
      <c r="R494" s="13">
        <v>1043</v>
      </c>
      <c r="S494" s="13">
        <v>1516</v>
      </c>
      <c r="T494" s="13">
        <v>1663</v>
      </c>
      <c r="U494" s="13">
        <v>1485</v>
      </c>
      <c r="V494" s="13">
        <v>1285</v>
      </c>
      <c r="W494" s="13">
        <v>2068</v>
      </c>
      <c r="X494" s="13">
        <v>1998</v>
      </c>
      <c r="Y494" s="13">
        <v>1991</v>
      </c>
      <c r="Z494" s="13">
        <v>2472</v>
      </c>
      <c r="AA494" s="13">
        <v>0</v>
      </c>
      <c r="AB494" s="13">
        <v>412</v>
      </c>
      <c r="AC494" s="13">
        <v>2063</v>
      </c>
      <c r="AD494" s="13">
        <v>2055</v>
      </c>
    </row>
    <row r="495" spans="1:30" ht="15.75" thickBot="1" x14ac:dyDescent="0.3">
      <c r="A495" s="9" t="s">
        <v>1082</v>
      </c>
      <c r="B495" s="9" t="s">
        <v>1188</v>
      </c>
      <c r="C495" s="45" t="str">
        <f t="shared" si="7"/>
        <v>DET26281A30AC</v>
      </c>
      <c r="D495" s="10" t="s">
        <v>1205</v>
      </c>
      <c r="E495" s="10" t="s">
        <v>1206</v>
      </c>
      <c r="F495" s="9" t="s">
        <v>494</v>
      </c>
      <c r="G495" s="9" t="s">
        <v>924</v>
      </c>
      <c r="H495" s="12">
        <v>650</v>
      </c>
      <c r="I495" s="12">
        <v>2497</v>
      </c>
      <c r="J495" s="13">
        <v>0</v>
      </c>
      <c r="K495" s="13">
        <v>0</v>
      </c>
      <c r="L495" s="13">
        <v>0</v>
      </c>
      <c r="M495" s="13">
        <v>0</v>
      </c>
      <c r="N495" s="13">
        <v>395</v>
      </c>
      <c r="O495" s="13">
        <v>1364</v>
      </c>
      <c r="P495" s="13">
        <v>1516</v>
      </c>
      <c r="Q495" s="13">
        <v>904</v>
      </c>
      <c r="R495" s="13">
        <v>1048</v>
      </c>
      <c r="S495" s="13">
        <v>1500</v>
      </c>
      <c r="T495" s="13">
        <v>1580</v>
      </c>
      <c r="U495" s="13">
        <v>1484</v>
      </c>
      <c r="V495" s="13">
        <v>1292</v>
      </c>
      <c r="W495" s="13">
        <v>2064</v>
      </c>
      <c r="X495" s="13">
        <v>2004</v>
      </c>
      <c r="Y495" s="13">
        <v>1980</v>
      </c>
      <c r="Z495" s="13">
        <v>2480</v>
      </c>
      <c r="AA495" s="13">
        <v>0</v>
      </c>
      <c r="AB495" s="13">
        <v>408</v>
      </c>
      <c r="AC495" s="13">
        <v>2056</v>
      </c>
      <c r="AD495" s="13">
        <v>2076</v>
      </c>
    </row>
    <row r="496" spans="1:30" ht="15.75" thickBot="1" x14ac:dyDescent="0.3">
      <c r="A496" s="9" t="s">
        <v>1082</v>
      </c>
      <c r="B496" s="9" t="s">
        <v>1188</v>
      </c>
      <c r="C496" s="45" t="str">
        <f t="shared" si="7"/>
        <v>DET26281A31AC</v>
      </c>
      <c r="D496" s="10" t="s">
        <v>1207</v>
      </c>
      <c r="E496" s="10" t="s">
        <v>1206</v>
      </c>
      <c r="F496" s="9" t="s">
        <v>494</v>
      </c>
      <c r="G496" s="9" t="s">
        <v>924</v>
      </c>
      <c r="H496" s="12">
        <v>650</v>
      </c>
      <c r="I496" s="12">
        <v>2739</v>
      </c>
      <c r="J496" s="13">
        <v>0</v>
      </c>
      <c r="K496" s="13">
        <v>0</v>
      </c>
      <c r="L496" s="13">
        <v>0</v>
      </c>
      <c r="M496" s="13">
        <v>0</v>
      </c>
      <c r="N496" s="13">
        <v>395</v>
      </c>
      <c r="O496" s="13">
        <v>1364</v>
      </c>
      <c r="P496" s="13">
        <v>1516</v>
      </c>
      <c r="Q496" s="13">
        <v>904</v>
      </c>
      <c r="R496" s="13">
        <v>1048</v>
      </c>
      <c r="S496" s="13">
        <v>1500</v>
      </c>
      <c r="T496" s="13">
        <v>1580</v>
      </c>
      <c r="U496" s="13">
        <v>1484</v>
      </c>
      <c r="V496" s="13">
        <v>1292</v>
      </c>
      <c r="W496" s="13">
        <v>2064</v>
      </c>
      <c r="X496" s="13">
        <v>2004</v>
      </c>
      <c r="Y496" s="13">
        <v>1980</v>
      </c>
      <c r="Z496" s="13">
        <v>2480</v>
      </c>
      <c r="AA496" s="13">
        <v>0</v>
      </c>
      <c r="AB496" s="13">
        <v>408</v>
      </c>
      <c r="AC496" s="13">
        <v>2056</v>
      </c>
      <c r="AD496" s="13">
        <v>2076</v>
      </c>
    </row>
    <row r="497" spans="1:30" ht="15.75" thickBot="1" x14ac:dyDescent="0.3">
      <c r="A497" s="9" t="s">
        <v>1082</v>
      </c>
      <c r="B497" s="9" t="s">
        <v>1188</v>
      </c>
      <c r="C497" s="45" t="str">
        <f t="shared" si="7"/>
        <v>DET5810202</v>
      </c>
      <c r="D497" s="10" t="s">
        <v>1208</v>
      </c>
      <c r="E497" s="10" t="s">
        <v>1209</v>
      </c>
      <c r="F497" s="9" t="s">
        <v>261</v>
      </c>
      <c r="G497" s="9" t="s">
        <v>924</v>
      </c>
      <c r="H497" s="12">
        <v>550</v>
      </c>
      <c r="I497" s="12">
        <v>7116</v>
      </c>
      <c r="J497" s="13">
        <v>0</v>
      </c>
      <c r="K497" s="13">
        <v>0</v>
      </c>
      <c r="L497" s="13">
        <v>2690</v>
      </c>
      <c r="M497" s="13">
        <v>3661</v>
      </c>
      <c r="N497" s="13">
        <v>4096</v>
      </c>
      <c r="O497" s="13">
        <v>5074</v>
      </c>
      <c r="P497" s="13">
        <v>6929</v>
      </c>
      <c r="Q497" s="13">
        <v>1994</v>
      </c>
      <c r="R497" s="13">
        <v>3961</v>
      </c>
      <c r="S497" s="13">
        <v>5620</v>
      </c>
      <c r="T497" s="13">
        <v>5708</v>
      </c>
      <c r="U497" s="13">
        <v>5274</v>
      </c>
      <c r="V497" s="13">
        <v>3808</v>
      </c>
      <c r="W497" s="13">
        <v>5734</v>
      </c>
      <c r="X497" s="13">
        <v>5556</v>
      </c>
      <c r="Y497" s="13">
        <v>5627</v>
      </c>
      <c r="Z497" s="13">
        <v>6641</v>
      </c>
      <c r="AA497" s="13">
        <v>0</v>
      </c>
      <c r="AB497" s="13">
        <v>1133</v>
      </c>
      <c r="AC497" s="13">
        <v>5683</v>
      </c>
      <c r="AD497" s="13">
        <v>5652</v>
      </c>
    </row>
    <row r="498" spans="1:30" ht="15.75" thickBot="1" x14ac:dyDescent="0.3">
      <c r="A498" s="9" t="s">
        <v>1082</v>
      </c>
      <c r="B498" s="9" t="s">
        <v>1188</v>
      </c>
      <c r="C498" s="45" t="str">
        <f t="shared" si="7"/>
        <v>DET5810203</v>
      </c>
      <c r="D498" s="10" t="s">
        <v>1210</v>
      </c>
      <c r="E498" s="10" t="s">
        <v>1209</v>
      </c>
      <c r="F498" s="9" t="s">
        <v>261</v>
      </c>
      <c r="G498" s="9" t="s">
        <v>924</v>
      </c>
      <c r="H498" s="12">
        <v>550</v>
      </c>
      <c r="I498" s="12">
        <v>7597</v>
      </c>
      <c r="J498" s="13">
        <v>0</v>
      </c>
      <c r="K498" s="13">
        <v>0</v>
      </c>
      <c r="L498" s="13">
        <v>2690</v>
      </c>
      <c r="M498" s="13">
        <v>3661</v>
      </c>
      <c r="N498" s="13">
        <v>4096</v>
      </c>
      <c r="O498" s="13">
        <v>5074</v>
      </c>
      <c r="P498" s="13">
        <v>6929</v>
      </c>
      <c r="Q498" s="13">
        <v>1994</v>
      </c>
      <c r="R498" s="13">
        <v>3961</v>
      </c>
      <c r="S498" s="13">
        <v>5620</v>
      </c>
      <c r="T498" s="13">
        <v>5708</v>
      </c>
      <c r="U498" s="13">
        <v>5274</v>
      </c>
      <c r="V498" s="13">
        <v>3808</v>
      </c>
      <c r="W498" s="13">
        <v>5734</v>
      </c>
      <c r="X498" s="13">
        <v>5556</v>
      </c>
      <c r="Y498" s="13">
        <v>5627</v>
      </c>
      <c r="Z498" s="13">
        <v>6641</v>
      </c>
      <c r="AA498" s="13">
        <v>0</v>
      </c>
      <c r="AB498" s="13">
        <v>1133</v>
      </c>
      <c r="AC498" s="13">
        <v>5683</v>
      </c>
      <c r="AD498" s="13">
        <v>5652</v>
      </c>
    </row>
    <row r="499" spans="1:30" ht="15.75" thickBot="1" x14ac:dyDescent="0.3">
      <c r="A499" s="9" t="s">
        <v>1082</v>
      </c>
      <c r="B499" s="9" t="s">
        <v>1188</v>
      </c>
      <c r="C499" s="45" t="str">
        <f t="shared" si="7"/>
        <v>DET5810738A</v>
      </c>
      <c r="D499" s="10" t="s">
        <v>1211</v>
      </c>
      <c r="E499" s="10" t="s">
        <v>1212</v>
      </c>
      <c r="F499" s="9" t="s">
        <v>261</v>
      </c>
      <c r="G499" s="9" t="s">
        <v>924</v>
      </c>
      <c r="H499" s="12">
        <v>650</v>
      </c>
      <c r="I499" s="12">
        <v>3916</v>
      </c>
      <c r="J499" s="13">
        <v>0</v>
      </c>
      <c r="K499" s="13">
        <v>833</v>
      </c>
      <c r="L499" s="13">
        <v>5434</v>
      </c>
      <c r="M499" s="13">
        <v>3796</v>
      </c>
      <c r="N499" s="13">
        <v>4056</v>
      </c>
      <c r="O499" s="13">
        <v>4836</v>
      </c>
      <c r="P499" s="13">
        <v>5174</v>
      </c>
      <c r="Q499" s="13">
        <v>3926</v>
      </c>
      <c r="R499" s="13">
        <v>3926</v>
      </c>
      <c r="S499" s="13">
        <v>5616</v>
      </c>
      <c r="T499" s="13">
        <v>5720</v>
      </c>
      <c r="U499" s="13">
        <v>5252</v>
      </c>
      <c r="V499" s="13">
        <v>3848</v>
      </c>
      <c r="W499" s="13">
        <v>5720</v>
      </c>
      <c r="X499" s="13">
        <v>5538</v>
      </c>
      <c r="Y499" s="13">
        <v>5538</v>
      </c>
      <c r="Z499" s="13">
        <v>6760</v>
      </c>
      <c r="AA499" s="13">
        <v>0</v>
      </c>
      <c r="AB499" s="13">
        <v>1118</v>
      </c>
      <c r="AC499" s="13">
        <v>5642</v>
      </c>
      <c r="AD499" s="13">
        <v>5720</v>
      </c>
    </row>
    <row r="500" spans="1:30" ht="15.75" thickBot="1" x14ac:dyDescent="0.3">
      <c r="A500" s="9" t="s">
        <v>1082</v>
      </c>
      <c r="B500" s="9" t="s">
        <v>1188</v>
      </c>
      <c r="C500" s="45" t="str">
        <f t="shared" si="7"/>
        <v>DET5810739A</v>
      </c>
      <c r="D500" s="10" t="s">
        <v>1213</v>
      </c>
      <c r="E500" s="10" t="s">
        <v>1214</v>
      </c>
      <c r="F500" s="9" t="s">
        <v>261</v>
      </c>
      <c r="G500" s="9" t="s">
        <v>924</v>
      </c>
      <c r="H500" s="12">
        <v>650</v>
      </c>
      <c r="I500" s="12">
        <v>4526</v>
      </c>
      <c r="J500" s="13">
        <v>0</v>
      </c>
      <c r="K500" s="13">
        <v>833</v>
      </c>
      <c r="L500" s="13">
        <v>5434</v>
      </c>
      <c r="M500" s="13">
        <v>3796</v>
      </c>
      <c r="N500" s="13">
        <v>4056</v>
      </c>
      <c r="O500" s="13">
        <v>4836</v>
      </c>
      <c r="P500" s="13">
        <v>5174</v>
      </c>
      <c r="Q500" s="13">
        <v>3926</v>
      </c>
      <c r="R500" s="13">
        <v>3926</v>
      </c>
      <c r="S500" s="13">
        <v>5616</v>
      </c>
      <c r="T500" s="13">
        <v>5720</v>
      </c>
      <c r="U500" s="13">
        <v>5252</v>
      </c>
      <c r="V500" s="13">
        <v>3848</v>
      </c>
      <c r="W500" s="13">
        <v>5720</v>
      </c>
      <c r="X500" s="13">
        <v>5538</v>
      </c>
      <c r="Y500" s="13">
        <v>5538</v>
      </c>
      <c r="Z500" s="13">
        <v>6760</v>
      </c>
      <c r="AA500" s="13">
        <v>0</v>
      </c>
      <c r="AB500" s="13">
        <v>1118</v>
      </c>
      <c r="AC500" s="13">
        <v>5642</v>
      </c>
      <c r="AD500" s="13">
        <v>5720</v>
      </c>
    </row>
    <row r="501" spans="1:30" ht="15.75" thickBot="1" x14ac:dyDescent="0.3">
      <c r="A501" s="9" t="s">
        <v>1082</v>
      </c>
      <c r="B501" s="9" t="s">
        <v>1188</v>
      </c>
      <c r="C501" s="45" t="str">
        <f t="shared" si="7"/>
        <v>DET5810776</v>
      </c>
      <c r="D501" s="10" t="s">
        <v>1215</v>
      </c>
      <c r="E501" s="10" t="s">
        <v>1216</v>
      </c>
      <c r="F501" s="9" t="s">
        <v>261</v>
      </c>
      <c r="G501" s="9" t="s">
        <v>924</v>
      </c>
      <c r="H501" s="12">
        <v>650</v>
      </c>
      <c r="I501" s="12">
        <v>6133</v>
      </c>
      <c r="J501" s="13">
        <v>0</v>
      </c>
      <c r="K501" s="13">
        <v>0</v>
      </c>
      <c r="L501" s="13">
        <v>3350</v>
      </c>
      <c r="M501" s="13">
        <v>3661</v>
      </c>
      <c r="N501" s="13">
        <v>4096</v>
      </c>
      <c r="O501" s="13">
        <v>5074</v>
      </c>
      <c r="P501" s="13">
        <v>6929</v>
      </c>
      <c r="Q501" s="13">
        <v>1994</v>
      </c>
      <c r="R501" s="13">
        <v>3961</v>
      </c>
      <c r="S501" s="13">
        <v>5620</v>
      </c>
      <c r="T501" s="13">
        <v>5708</v>
      </c>
      <c r="U501" s="13">
        <v>5274</v>
      </c>
      <c r="V501" s="13">
        <v>3808</v>
      </c>
      <c r="W501" s="13">
        <v>5734</v>
      </c>
      <c r="X501" s="13">
        <v>5556</v>
      </c>
      <c r="Y501" s="13">
        <v>5627</v>
      </c>
      <c r="Z501" s="13">
        <v>6641</v>
      </c>
      <c r="AA501" s="13">
        <v>0</v>
      </c>
      <c r="AB501" s="13">
        <v>1133</v>
      </c>
      <c r="AC501" s="13">
        <v>5683</v>
      </c>
      <c r="AD501" s="13">
        <v>5652</v>
      </c>
    </row>
    <row r="502" spans="1:30" ht="15.75" thickBot="1" x14ac:dyDescent="0.3">
      <c r="A502" s="9" t="s">
        <v>1082</v>
      </c>
      <c r="B502" s="9" t="s">
        <v>1188</v>
      </c>
      <c r="C502" s="45" t="str">
        <f t="shared" si="7"/>
        <v>DET5810777</v>
      </c>
      <c r="D502" s="10" t="s">
        <v>1217</v>
      </c>
      <c r="E502" s="10" t="s">
        <v>1216</v>
      </c>
      <c r="F502" s="9" t="s">
        <v>261</v>
      </c>
      <c r="G502" s="9" t="s">
        <v>924</v>
      </c>
      <c r="H502" s="12">
        <v>650</v>
      </c>
      <c r="I502" s="12">
        <v>8785</v>
      </c>
      <c r="J502" s="13">
        <v>0</v>
      </c>
      <c r="K502" s="13">
        <v>0</v>
      </c>
      <c r="L502" s="13">
        <v>3350</v>
      </c>
      <c r="M502" s="13">
        <v>3661</v>
      </c>
      <c r="N502" s="13">
        <v>4096</v>
      </c>
      <c r="O502" s="13">
        <v>5074</v>
      </c>
      <c r="P502" s="13">
        <v>6929</v>
      </c>
      <c r="Q502" s="13">
        <v>1994</v>
      </c>
      <c r="R502" s="13">
        <v>3961</v>
      </c>
      <c r="S502" s="13">
        <v>5620</v>
      </c>
      <c r="T502" s="13">
        <v>5708</v>
      </c>
      <c r="U502" s="13">
        <v>5274</v>
      </c>
      <c r="V502" s="13">
        <v>3808</v>
      </c>
      <c r="W502" s="13">
        <v>5734</v>
      </c>
      <c r="X502" s="13">
        <v>5556</v>
      </c>
      <c r="Y502" s="13">
        <v>5627</v>
      </c>
      <c r="Z502" s="13">
        <v>6641</v>
      </c>
      <c r="AA502" s="13">
        <v>0</v>
      </c>
      <c r="AB502" s="13">
        <v>1133</v>
      </c>
      <c r="AC502" s="13">
        <v>5683</v>
      </c>
      <c r="AD502" s="13">
        <v>5652</v>
      </c>
    </row>
    <row r="503" spans="1:30" ht="15.75" thickBot="1" x14ac:dyDescent="0.3">
      <c r="A503" s="9" t="s">
        <v>1082</v>
      </c>
      <c r="B503" s="9" t="s">
        <v>1188</v>
      </c>
      <c r="C503" s="45" t="str">
        <f t="shared" si="7"/>
        <v>DET58112C04A</v>
      </c>
      <c r="D503" s="10" t="s">
        <v>1218</v>
      </c>
      <c r="E503" s="10" t="s">
        <v>1219</v>
      </c>
      <c r="F503" s="9" t="s">
        <v>261</v>
      </c>
      <c r="G503" s="9" t="s">
        <v>924</v>
      </c>
      <c r="H503" s="12">
        <v>650</v>
      </c>
      <c r="I503" s="12">
        <v>7397</v>
      </c>
      <c r="J503" s="13">
        <v>0</v>
      </c>
      <c r="K503" s="13">
        <v>0</v>
      </c>
      <c r="L503" s="13">
        <v>0</v>
      </c>
      <c r="M503" s="13">
        <v>703</v>
      </c>
      <c r="N503" s="13">
        <v>4056</v>
      </c>
      <c r="O503" s="13">
        <v>4836</v>
      </c>
      <c r="P503" s="13">
        <v>5174</v>
      </c>
      <c r="Q503" s="13">
        <v>3926</v>
      </c>
      <c r="R503" s="13">
        <v>3926</v>
      </c>
      <c r="S503" s="13">
        <v>5616</v>
      </c>
      <c r="T503" s="13">
        <v>5720</v>
      </c>
      <c r="U503" s="13">
        <v>5252</v>
      </c>
      <c r="V503" s="13">
        <v>3848</v>
      </c>
      <c r="W503" s="13">
        <v>5720</v>
      </c>
      <c r="X503" s="13">
        <v>5538</v>
      </c>
      <c r="Y503" s="13">
        <v>5538</v>
      </c>
      <c r="Z503" s="13">
        <v>6760</v>
      </c>
      <c r="AA503" s="13">
        <v>0</v>
      </c>
      <c r="AB503" s="13">
        <v>1118</v>
      </c>
      <c r="AC503" s="13">
        <v>5642</v>
      </c>
      <c r="AD503" s="13">
        <v>5720</v>
      </c>
    </row>
    <row r="504" spans="1:30" ht="15.75" thickBot="1" x14ac:dyDescent="0.3">
      <c r="A504" s="9" t="s">
        <v>1082</v>
      </c>
      <c r="B504" s="9" t="s">
        <v>1188</v>
      </c>
      <c r="C504" s="45" t="str">
        <f t="shared" si="7"/>
        <v>DET58112C05A</v>
      </c>
      <c r="D504" s="10" t="s">
        <v>1220</v>
      </c>
      <c r="E504" s="10" t="s">
        <v>1221</v>
      </c>
      <c r="F504" s="9" t="s">
        <v>261</v>
      </c>
      <c r="G504" s="9" t="s">
        <v>924</v>
      </c>
      <c r="H504" s="12">
        <v>650</v>
      </c>
      <c r="I504" s="12">
        <v>12091</v>
      </c>
      <c r="J504" s="13">
        <v>0</v>
      </c>
      <c r="K504" s="13">
        <v>0</v>
      </c>
      <c r="L504" s="13">
        <v>0</v>
      </c>
      <c r="M504" s="13">
        <v>703</v>
      </c>
      <c r="N504" s="13">
        <v>4056</v>
      </c>
      <c r="O504" s="13">
        <v>4836</v>
      </c>
      <c r="P504" s="13">
        <v>5174</v>
      </c>
      <c r="Q504" s="13">
        <v>3926</v>
      </c>
      <c r="R504" s="13">
        <v>3926</v>
      </c>
      <c r="S504" s="13">
        <v>5616</v>
      </c>
      <c r="T504" s="13">
        <v>5720</v>
      </c>
      <c r="U504" s="13">
        <v>5252</v>
      </c>
      <c r="V504" s="13">
        <v>3848</v>
      </c>
      <c r="W504" s="13">
        <v>5720</v>
      </c>
      <c r="X504" s="13">
        <v>5538</v>
      </c>
      <c r="Y504" s="13">
        <v>5538</v>
      </c>
      <c r="Z504" s="13">
        <v>6760</v>
      </c>
      <c r="AA504" s="13">
        <v>0</v>
      </c>
      <c r="AB504" s="13">
        <v>1118</v>
      </c>
      <c r="AC504" s="13">
        <v>5642</v>
      </c>
      <c r="AD504" s="13">
        <v>5720</v>
      </c>
    </row>
    <row r="505" spans="1:30" ht="15.75" thickBot="1" x14ac:dyDescent="0.3">
      <c r="A505" s="9" t="s">
        <v>1082</v>
      </c>
      <c r="B505" s="9" t="s">
        <v>1188</v>
      </c>
      <c r="C505" s="45" t="str">
        <f t="shared" si="7"/>
        <v>DET58112K76A</v>
      </c>
      <c r="D505" s="10" t="s">
        <v>1222</v>
      </c>
      <c r="E505" s="10" t="s">
        <v>1223</v>
      </c>
      <c r="F505" s="9" t="s">
        <v>261</v>
      </c>
      <c r="G505" s="9" t="s">
        <v>924</v>
      </c>
      <c r="H505" s="12">
        <v>550</v>
      </c>
      <c r="I505" s="12">
        <v>1556</v>
      </c>
      <c r="J505" s="13">
        <v>0</v>
      </c>
      <c r="K505" s="13">
        <v>2183</v>
      </c>
      <c r="L505" s="13">
        <v>5382</v>
      </c>
      <c r="M505" s="13">
        <v>3588</v>
      </c>
      <c r="N505" s="13">
        <v>4056</v>
      </c>
      <c r="O505" s="13">
        <v>4914</v>
      </c>
      <c r="P505" s="13">
        <v>5434</v>
      </c>
      <c r="Q505" s="13">
        <v>3718</v>
      </c>
      <c r="R505" s="13">
        <v>3926</v>
      </c>
      <c r="S505" s="13">
        <v>5616</v>
      </c>
      <c r="T505" s="13">
        <v>5746</v>
      </c>
      <c r="U505" s="13">
        <v>5330</v>
      </c>
      <c r="V505" s="13">
        <v>3744</v>
      </c>
      <c r="W505" s="13">
        <v>5720</v>
      </c>
      <c r="X505" s="13">
        <v>5538</v>
      </c>
      <c r="Y505" s="13">
        <v>5538</v>
      </c>
      <c r="Z505" s="13">
        <v>6760</v>
      </c>
      <c r="AA505" s="13">
        <v>0</v>
      </c>
      <c r="AB505" s="13">
        <v>1144</v>
      </c>
      <c r="AC505" s="13">
        <v>5720</v>
      </c>
      <c r="AD505" s="13">
        <v>5616</v>
      </c>
    </row>
    <row r="506" spans="1:30" ht="15.75" thickBot="1" x14ac:dyDescent="0.3">
      <c r="A506" s="9" t="s">
        <v>1082</v>
      </c>
      <c r="B506" s="9" t="s">
        <v>1188</v>
      </c>
      <c r="C506" s="45" t="str">
        <f t="shared" si="7"/>
        <v>DET58112K77A</v>
      </c>
      <c r="D506" s="10" t="s">
        <v>1224</v>
      </c>
      <c r="E506" s="10" t="s">
        <v>1223</v>
      </c>
      <c r="F506" s="9" t="s">
        <v>261</v>
      </c>
      <c r="G506" s="9" t="s">
        <v>924</v>
      </c>
      <c r="H506" s="12">
        <v>550</v>
      </c>
      <c r="I506" s="12">
        <v>923</v>
      </c>
      <c r="J506" s="13">
        <v>0</v>
      </c>
      <c r="K506" s="13">
        <v>2183</v>
      </c>
      <c r="L506" s="13">
        <v>5382</v>
      </c>
      <c r="M506" s="13">
        <v>3588</v>
      </c>
      <c r="N506" s="13">
        <v>4056</v>
      </c>
      <c r="O506" s="13">
        <v>4914</v>
      </c>
      <c r="P506" s="13">
        <v>5434</v>
      </c>
      <c r="Q506" s="13">
        <v>3718</v>
      </c>
      <c r="R506" s="13">
        <v>3926</v>
      </c>
      <c r="S506" s="13">
        <v>5616</v>
      </c>
      <c r="T506" s="13">
        <v>5746</v>
      </c>
      <c r="U506" s="13">
        <v>5330</v>
      </c>
      <c r="V506" s="13">
        <v>3744</v>
      </c>
      <c r="W506" s="13">
        <v>5720</v>
      </c>
      <c r="X506" s="13">
        <v>5538</v>
      </c>
      <c r="Y506" s="13">
        <v>5538</v>
      </c>
      <c r="Z506" s="13">
        <v>6760</v>
      </c>
      <c r="AA506" s="13">
        <v>0</v>
      </c>
      <c r="AB506" s="13">
        <v>1144</v>
      </c>
      <c r="AC506" s="13">
        <v>5720</v>
      </c>
      <c r="AD506" s="13">
        <v>5616</v>
      </c>
    </row>
    <row r="507" spans="1:30" ht="15.75" thickBot="1" x14ac:dyDescent="0.3">
      <c r="A507" s="9" t="s">
        <v>1082</v>
      </c>
      <c r="B507" s="9" t="s">
        <v>1188</v>
      </c>
      <c r="C507" s="45" t="str">
        <f t="shared" si="7"/>
        <v>DETBR5B018OS</v>
      </c>
      <c r="D507" s="10" t="s">
        <v>1225</v>
      </c>
      <c r="E507" s="10" t="s">
        <v>1226</v>
      </c>
      <c r="F507" s="9" t="s">
        <v>364</v>
      </c>
      <c r="G507" s="9" t="s">
        <v>924</v>
      </c>
      <c r="H507" s="12">
        <v>650</v>
      </c>
      <c r="I507" s="12">
        <v>7639</v>
      </c>
      <c r="J507" s="13">
        <v>0</v>
      </c>
      <c r="K507" s="13">
        <v>0</v>
      </c>
      <c r="L507" s="13">
        <v>971</v>
      </c>
      <c r="M507" s="13">
        <v>2240</v>
      </c>
      <c r="N507" s="13">
        <v>2080</v>
      </c>
      <c r="O507" s="13">
        <v>1760</v>
      </c>
      <c r="P507" s="13">
        <v>1440</v>
      </c>
      <c r="Q507" s="13">
        <v>2240</v>
      </c>
      <c r="R507" s="13">
        <v>1920</v>
      </c>
      <c r="S507" s="13">
        <v>1760</v>
      </c>
      <c r="T507" s="13">
        <v>2560</v>
      </c>
      <c r="U507" s="13">
        <v>0</v>
      </c>
      <c r="V507" s="13">
        <v>640</v>
      </c>
      <c r="W507" s="13">
        <v>1920</v>
      </c>
      <c r="X507" s="13">
        <v>2240</v>
      </c>
      <c r="Y507" s="13">
        <v>1920</v>
      </c>
      <c r="Z507" s="13">
        <v>1920</v>
      </c>
      <c r="AA507" s="13">
        <v>1280</v>
      </c>
      <c r="AB507" s="13">
        <v>2240</v>
      </c>
      <c r="AC507" s="13">
        <v>2240</v>
      </c>
      <c r="AD507" s="13">
        <v>2080</v>
      </c>
    </row>
    <row r="508" spans="1:30" ht="15.75" thickBot="1" x14ac:dyDescent="0.3">
      <c r="A508" s="9" t="s">
        <v>1082</v>
      </c>
      <c r="B508" s="9" t="s">
        <v>1188</v>
      </c>
      <c r="C508" s="45" t="str">
        <f t="shared" si="7"/>
        <v>DETE200L76A</v>
      </c>
      <c r="D508" s="10" t="s">
        <v>1227</v>
      </c>
      <c r="E508" s="10" t="s">
        <v>1228</v>
      </c>
      <c r="F508" s="9" t="s">
        <v>261</v>
      </c>
      <c r="G508" s="9" t="s">
        <v>924</v>
      </c>
      <c r="H508" s="12">
        <v>550</v>
      </c>
      <c r="I508" s="12">
        <v>669</v>
      </c>
      <c r="J508" s="13">
        <v>821</v>
      </c>
      <c r="K508" s="13">
        <v>0</v>
      </c>
      <c r="L508" s="13">
        <v>1565</v>
      </c>
      <c r="M508" s="13">
        <v>1050</v>
      </c>
      <c r="N508" s="13">
        <v>1210</v>
      </c>
      <c r="O508" s="13">
        <v>1340</v>
      </c>
      <c r="P508" s="13">
        <v>980</v>
      </c>
      <c r="Q508" s="13">
        <v>1160</v>
      </c>
      <c r="R508" s="13">
        <v>1520</v>
      </c>
      <c r="S508" s="13">
        <v>1680</v>
      </c>
      <c r="T508" s="13">
        <v>1450</v>
      </c>
      <c r="U508" s="13">
        <v>1340</v>
      </c>
      <c r="V508" s="13">
        <v>2220</v>
      </c>
      <c r="W508" s="13">
        <v>2050</v>
      </c>
      <c r="X508" s="13">
        <v>2040</v>
      </c>
      <c r="Y508" s="13">
        <v>1720</v>
      </c>
      <c r="Z508" s="13">
        <v>0</v>
      </c>
      <c r="AA508" s="13">
        <v>920</v>
      </c>
      <c r="AB508" s="13">
        <v>2070</v>
      </c>
      <c r="AC508" s="13">
        <v>2020</v>
      </c>
      <c r="AD508" s="13">
        <v>1980</v>
      </c>
    </row>
    <row r="509" spans="1:30" ht="15.75" thickBot="1" x14ac:dyDescent="0.3">
      <c r="A509" s="9" t="s">
        <v>1082</v>
      </c>
      <c r="B509" s="9" t="s">
        <v>1188</v>
      </c>
      <c r="C509" s="45" t="str">
        <f t="shared" si="7"/>
        <v>DETE200L77A</v>
      </c>
      <c r="D509" s="10" t="s">
        <v>1229</v>
      </c>
      <c r="E509" s="10" t="s">
        <v>1230</v>
      </c>
      <c r="F509" s="9" t="s">
        <v>261</v>
      </c>
      <c r="G509" s="9" t="s">
        <v>924</v>
      </c>
      <c r="H509" s="12">
        <v>550</v>
      </c>
      <c r="I509" s="12">
        <v>-821</v>
      </c>
      <c r="J509" s="13">
        <v>821</v>
      </c>
      <c r="K509" s="13">
        <v>0</v>
      </c>
      <c r="L509" s="13">
        <v>1565</v>
      </c>
      <c r="M509" s="13">
        <v>1050</v>
      </c>
      <c r="N509" s="13">
        <v>1210</v>
      </c>
      <c r="O509" s="13">
        <v>1340</v>
      </c>
      <c r="P509" s="13">
        <v>980</v>
      </c>
      <c r="Q509" s="13">
        <v>1160</v>
      </c>
      <c r="R509" s="13">
        <v>1520</v>
      </c>
      <c r="S509" s="13">
        <v>1680</v>
      </c>
      <c r="T509" s="13">
        <v>1450</v>
      </c>
      <c r="U509" s="13">
        <v>1340</v>
      </c>
      <c r="V509" s="13">
        <v>2220</v>
      </c>
      <c r="W509" s="13">
        <v>2050</v>
      </c>
      <c r="X509" s="13">
        <v>2040</v>
      </c>
      <c r="Y509" s="13">
        <v>1720</v>
      </c>
      <c r="Z509" s="13">
        <v>0</v>
      </c>
      <c r="AA509" s="13">
        <v>920</v>
      </c>
      <c r="AB509" s="13">
        <v>2070</v>
      </c>
      <c r="AC509" s="13">
        <v>2020</v>
      </c>
      <c r="AD509" s="13">
        <v>1980</v>
      </c>
    </row>
    <row r="510" spans="1:30" ht="15.75" thickBot="1" x14ac:dyDescent="0.3">
      <c r="A510" s="9" t="s">
        <v>1082</v>
      </c>
      <c r="B510" s="9" t="s">
        <v>1188</v>
      </c>
      <c r="C510" s="45" t="str">
        <f t="shared" si="7"/>
        <v>DETE281A30AA</v>
      </c>
      <c r="D510" s="10" t="s">
        <v>1231</v>
      </c>
      <c r="E510" s="10" t="s">
        <v>1232</v>
      </c>
      <c r="F510" s="9" t="s">
        <v>261</v>
      </c>
      <c r="G510" s="9" t="s">
        <v>924</v>
      </c>
      <c r="H510" s="12">
        <v>650</v>
      </c>
      <c r="I510" s="8"/>
      <c r="J510" s="13">
        <v>0</v>
      </c>
      <c r="K510" s="13">
        <v>0</v>
      </c>
      <c r="L510" s="13">
        <v>0</v>
      </c>
      <c r="M510" s="13">
        <v>0</v>
      </c>
      <c r="N510" s="13">
        <v>0</v>
      </c>
      <c r="O510" s="13">
        <v>0</v>
      </c>
      <c r="P510" s="13">
        <v>0</v>
      </c>
      <c r="Q510" s="13">
        <v>0</v>
      </c>
      <c r="R510" s="13">
        <v>0</v>
      </c>
      <c r="S510" s="13">
        <v>22</v>
      </c>
      <c r="T510" s="13">
        <v>88</v>
      </c>
      <c r="U510" s="13">
        <v>0</v>
      </c>
      <c r="V510" s="13">
        <v>0</v>
      </c>
      <c r="W510" s="13">
        <v>0</v>
      </c>
      <c r="X510" s="13">
        <v>0</v>
      </c>
      <c r="Y510" s="13">
        <v>0</v>
      </c>
      <c r="Z510" s="13">
        <v>0</v>
      </c>
      <c r="AA510" s="13">
        <v>0</v>
      </c>
      <c r="AB510" s="13">
        <v>0</v>
      </c>
      <c r="AC510" s="13">
        <v>0</v>
      </c>
      <c r="AD510" s="13">
        <v>0</v>
      </c>
    </row>
    <row r="511" spans="1:30" ht="15.75" thickBot="1" x14ac:dyDescent="0.3">
      <c r="A511" s="9" t="s">
        <v>1082</v>
      </c>
      <c r="B511" s="9" t="s">
        <v>1188</v>
      </c>
      <c r="C511" s="45" t="str">
        <f t="shared" si="7"/>
        <v>DETE281A31AA</v>
      </c>
      <c r="D511" s="10" t="s">
        <v>1233</v>
      </c>
      <c r="E511" s="10" t="s">
        <v>1232</v>
      </c>
      <c r="F511" s="9" t="s">
        <v>261</v>
      </c>
      <c r="G511" s="9" t="s">
        <v>924</v>
      </c>
      <c r="H511" s="12">
        <v>650</v>
      </c>
      <c r="I511" s="8"/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22</v>
      </c>
      <c r="T511" s="13">
        <v>88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</row>
    <row r="512" spans="1:30" ht="15.75" thickBot="1" x14ac:dyDescent="0.3">
      <c r="A512" s="9" t="s">
        <v>1082</v>
      </c>
      <c r="B512" s="9" t="s">
        <v>1188</v>
      </c>
      <c r="C512" s="45" t="str">
        <f t="shared" si="7"/>
        <v>DETE286G50A</v>
      </c>
      <c r="D512" s="10" t="s">
        <v>1234</v>
      </c>
      <c r="E512" s="10" t="s">
        <v>1235</v>
      </c>
      <c r="F512" s="9" t="s">
        <v>261</v>
      </c>
      <c r="G512" s="9" t="s">
        <v>924</v>
      </c>
      <c r="H512" s="12">
        <v>550</v>
      </c>
      <c r="I512" s="12">
        <v>552</v>
      </c>
      <c r="J512" s="13">
        <v>0</v>
      </c>
      <c r="K512" s="13">
        <v>16</v>
      </c>
      <c r="L512" s="13">
        <v>1334</v>
      </c>
      <c r="M512" s="13">
        <v>889</v>
      </c>
      <c r="N512" s="13">
        <v>1170</v>
      </c>
      <c r="O512" s="13">
        <v>1428</v>
      </c>
      <c r="P512" s="13">
        <v>1965</v>
      </c>
      <c r="Q512" s="13">
        <v>188</v>
      </c>
      <c r="R512" s="13">
        <v>1053</v>
      </c>
      <c r="S512" s="13">
        <v>1521</v>
      </c>
      <c r="T512" s="13">
        <v>1544</v>
      </c>
      <c r="U512" s="13">
        <v>1521</v>
      </c>
      <c r="V512" s="13">
        <v>1264</v>
      </c>
      <c r="W512" s="13">
        <v>2082</v>
      </c>
      <c r="X512" s="13">
        <v>1942</v>
      </c>
      <c r="Y512" s="13">
        <v>2036</v>
      </c>
      <c r="Z512" s="13">
        <v>2527</v>
      </c>
      <c r="AA512" s="13">
        <v>0</v>
      </c>
      <c r="AB512" s="13">
        <v>398</v>
      </c>
      <c r="AC512" s="13">
        <v>2013</v>
      </c>
      <c r="AD512" s="13">
        <v>2059</v>
      </c>
    </row>
    <row r="513" spans="1:30" ht="15.75" thickBot="1" x14ac:dyDescent="0.3">
      <c r="A513" s="9" t="s">
        <v>1082</v>
      </c>
      <c r="B513" s="9" t="s">
        <v>1188</v>
      </c>
      <c r="C513" s="45" t="str">
        <f t="shared" si="7"/>
        <v>DETE403C96A</v>
      </c>
      <c r="D513" s="10" t="s">
        <v>1236</v>
      </c>
      <c r="E513" s="10" t="s">
        <v>1237</v>
      </c>
      <c r="F513" s="9" t="s">
        <v>261</v>
      </c>
      <c r="G513" s="9" t="s">
        <v>924</v>
      </c>
      <c r="H513" s="12">
        <v>650</v>
      </c>
      <c r="I513" s="12">
        <v>2039</v>
      </c>
      <c r="J513" s="13">
        <v>0</v>
      </c>
      <c r="K513" s="13">
        <v>0</v>
      </c>
      <c r="L513" s="13">
        <v>458</v>
      </c>
      <c r="M513" s="13">
        <v>1008</v>
      </c>
      <c r="N513" s="13">
        <v>1224</v>
      </c>
      <c r="O513" s="13">
        <v>1350</v>
      </c>
      <c r="P513" s="13">
        <v>1362</v>
      </c>
      <c r="Q513" s="13">
        <v>924</v>
      </c>
      <c r="R513" s="13">
        <v>1014</v>
      </c>
      <c r="S513" s="13">
        <v>1494</v>
      </c>
      <c r="T513" s="13">
        <v>1584</v>
      </c>
      <c r="U513" s="13">
        <v>1470</v>
      </c>
      <c r="V513" s="13">
        <v>1302</v>
      </c>
      <c r="W513" s="13">
        <v>2070</v>
      </c>
      <c r="X513" s="13">
        <v>1998</v>
      </c>
      <c r="Y513" s="13">
        <v>1986</v>
      </c>
      <c r="Z513" s="13">
        <v>2472</v>
      </c>
      <c r="AA513" s="13">
        <v>0</v>
      </c>
      <c r="AB513" s="13">
        <v>408</v>
      </c>
      <c r="AC513" s="13">
        <v>2052</v>
      </c>
      <c r="AD513" s="13">
        <v>2064</v>
      </c>
    </row>
    <row r="514" spans="1:30" ht="15.75" thickBot="1" x14ac:dyDescent="0.3">
      <c r="A514" s="9" t="s">
        <v>1082</v>
      </c>
      <c r="B514" s="9" t="s">
        <v>1188</v>
      </c>
      <c r="C514" s="45" t="str">
        <f t="shared" si="7"/>
        <v>MB3B 21016A23 AA</v>
      </c>
      <c r="D514" s="10" t="s">
        <v>1238</v>
      </c>
      <c r="E514" s="10" t="s">
        <v>1239</v>
      </c>
      <c r="F514" s="9" t="s">
        <v>261</v>
      </c>
      <c r="G514" s="9" t="s">
        <v>924</v>
      </c>
      <c r="H514" s="12">
        <v>550</v>
      </c>
      <c r="I514" s="12">
        <v>3715</v>
      </c>
      <c r="J514" s="13">
        <v>0</v>
      </c>
      <c r="K514" s="13">
        <v>0</v>
      </c>
      <c r="L514" s="13">
        <v>0</v>
      </c>
      <c r="M514" s="13">
        <v>424</v>
      </c>
      <c r="N514" s="13">
        <v>1120</v>
      </c>
      <c r="O514" s="13">
        <v>1400</v>
      </c>
      <c r="P514" s="13">
        <v>840</v>
      </c>
      <c r="Q514" s="13">
        <v>1120</v>
      </c>
      <c r="R514" s="13">
        <v>1680</v>
      </c>
      <c r="S514" s="13">
        <v>1400</v>
      </c>
      <c r="T514" s="13">
        <v>1680</v>
      </c>
      <c r="U514" s="13">
        <v>1120</v>
      </c>
      <c r="V514" s="13">
        <v>2240</v>
      </c>
      <c r="W514" s="13">
        <v>2240</v>
      </c>
      <c r="X514" s="13">
        <v>1680</v>
      </c>
      <c r="Y514" s="13">
        <v>2240</v>
      </c>
      <c r="Z514" s="13">
        <v>61</v>
      </c>
      <c r="AA514" s="13">
        <v>499</v>
      </c>
      <c r="AB514" s="13">
        <v>1960</v>
      </c>
      <c r="AC514" s="13">
        <v>2240</v>
      </c>
      <c r="AD514" s="13">
        <v>1960</v>
      </c>
    </row>
    <row r="515" spans="1:30" ht="15.75" thickBot="1" x14ac:dyDescent="0.3">
      <c r="A515" s="9" t="s">
        <v>1082</v>
      </c>
      <c r="B515" s="9" t="s">
        <v>1188</v>
      </c>
      <c r="C515" s="45" t="str">
        <f t="shared" si="7"/>
        <v>N1WB E20170 AA</v>
      </c>
      <c r="D515" s="10" t="s">
        <v>1240</v>
      </c>
      <c r="E515" s="10" t="s">
        <v>1241</v>
      </c>
      <c r="F515" s="9" t="s">
        <v>261</v>
      </c>
      <c r="G515" s="9" t="s">
        <v>924</v>
      </c>
      <c r="H515" s="12">
        <v>550</v>
      </c>
      <c r="I515" s="12">
        <v>7824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246</v>
      </c>
      <c r="Q515" s="13">
        <v>860</v>
      </c>
      <c r="R515" s="13">
        <v>1505</v>
      </c>
      <c r="S515" s="13">
        <v>1505</v>
      </c>
      <c r="T515" s="13">
        <v>1820</v>
      </c>
      <c r="U515" s="13">
        <v>975</v>
      </c>
      <c r="V515" s="13">
        <v>1935</v>
      </c>
      <c r="W515" s="13">
        <v>2365</v>
      </c>
      <c r="X515" s="13">
        <v>1505</v>
      </c>
      <c r="Y515" s="13">
        <v>3010</v>
      </c>
      <c r="Z515" s="13">
        <v>0</v>
      </c>
      <c r="AA515" s="13">
        <v>0</v>
      </c>
      <c r="AB515" s="13">
        <v>2150</v>
      </c>
      <c r="AC515" s="13">
        <v>2150</v>
      </c>
      <c r="AD515" s="13">
        <v>1935</v>
      </c>
    </row>
    <row r="516" spans="1:30" ht="15.75" thickBot="1" x14ac:dyDescent="0.3">
      <c r="A516" s="9" t="s">
        <v>1082</v>
      </c>
      <c r="B516" s="9" t="s">
        <v>1188</v>
      </c>
      <c r="C516" s="45" t="str">
        <f t="shared" si="7"/>
        <v>N1WB E20171 AA</v>
      </c>
      <c r="D516" s="10" t="s">
        <v>1242</v>
      </c>
      <c r="E516" s="10" t="s">
        <v>1241</v>
      </c>
      <c r="F516" s="9" t="s">
        <v>261</v>
      </c>
      <c r="G516" s="9" t="s">
        <v>924</v>
      </c>
      <c r="H516" s="12">
        <v>550</v>
      </c>
      <c r="I516" s="12">
        <v>7924</v>
      </c>
      <c r="J516" s="13">
        <v>0</v>
      </c>
      <c r="K516" s="13">
        <v>0</v>
      </c>
      <c r="L516" s="13">
        <v>0</v>
      </c>
      <c r="M516" s="13">
        <v>0</v>
      </c>
      <c r="N516" s="13">
        <v>0</v>
      </c>
      <c r="O516" s="13">
        <v>0</v>
      </c>
      <c r="P516" s="13">
        <v>246</v>
      </c>
      <c r="Q516" s="13">
        <v>860</v>
      </c>
      <c r="R516" s="13">
        <v>1505</v>
      </c>
      <c r="S516" s="13">
        <v>1505</v>
      </c>
      <c r="T516" s="13">
        <v>1820</v>
      </c>
      <c r="U516" s="13">
        <v>975</v>
      </c>
      <c r="V516" s="13">
        <v>1935</v>
      </c>
      <c r="W516" s="13">
        <v>2365</v>
      </c>
      <c r="X516" s="13">
        <v>1505</v>
      </c>
      <c r="Y516" s="13">
        <v>3010</v>
      </c>
      <c r="Z516" s="13">
        <v>0</v>
      </c>
      <c r="AA516" s="13">
        <v>0</v>
      </c>
      <c r="AB516" s="13">
        <v>2150</v>
      </c>
      <c r="AC516" s="13">
        <v>2150</v>
      </c>
      <c r="AD516" s="13">
        <v>1935</v>
      </c>
    </row>
    <row r="517" spans="1:30" ht="15.75" thickBot="1" x14ac:dyDescent="0.3">
      <c r="A517" s="9" t="s">
        <v>1082</v>
      </c>
      <c r="B517" s="9" t="s">
        <v>1188</v>
      </c>
      <c r="C517" s="45" t="str">
        <f t="shared" si="7"/>
        <v>N1WB E26290 BA</v>
      </c>
      <c r="D517" s="10" t="s">
        <v>1243</v>
      </c>
      <c r="E517" s="10" t="s">
        <v>1244</v>
      </c>
      <c r="F517" s="9" t="s">
        <v>261</v>
      </c>
      <c r="G517" s="9" t="s">
        <v>924</v>
      </c>
      <c r="H517" s="12">
        <v>650</v>
      </c>
      <c r="I517" s="12">
        <v>6963</v>
      </c>
      <c r="J517" s="13">
        <v>0</v>
      </c>
      <c r="K517" s="13">
        <v>0</v>
      </c>
      <c r="L517" s="13">
        <v>0</v>
      </c>
      <c r="M517" s="13">
        <v>0</v>
      </c>
      <c r="N517" s="13">
        <v>0</v>
      </c>
      <c r="O517" s="13">
        <v>1219</v>
      </c>
      <c r="P517" s="13">
        <v>700</v>
      </c>
      <c r="Q517" s="13">
        <v>1400</v>
      </c>
      <c r="R517" s="13">
        <v>1400</v>
      </c>
      <c r="S517" s="13">
        <v>1400</v>
      </c>
      <c r="T517" s="13">
        <v>2100</v>
      </c>
      <c r="U517" s="13">
        <v>700</v>
      </c>
      <c r="V517" s="13">
        <v>2100</v>
      </c>
      <c r="W517" s="13">
        <v>2100</v>
      </c>
      <c r="X517" s="13">
        <v>2100</v>
      </c>
      <c r="Y517" s="13">
        <v>2100</v>
      </c>
      <c r="Z517" s="13">
        <v>0</v>
      </c>
      <c r="AA517" s="13">
        <v>700</v>
      </c>
      <c r="AB517" s="13">
        <v>2100</v>
      </c>
      <c r="AC517" s="13">
        <v>2100</v>
      </c>
      <c r="AD517" s="13">
        <v>2100</v>
      </c>
    </row>
    <row r="518" spans="1:30" ht="15.75" thickBot="1" x14ac:dyDescent="0.3">
      <c r="A518" s="9" t="s">
        <v>1082</v>
      </c>
      <c r="B518" s="9" t="s">
        <v>1188</v>
      </c>
      <c r="C518" s="45" t="str">
        <f t="shared" ref="C518:C581" si="8">TRIM(D518)</f>
        <v>N1WB E26291 BA</v>
      </c>
      <c r="D518" s="10" t="s">
        <v>1245</v>
      </c>
      <c r="E518" s="10" t="s">
        <v>1244</v>
      </c>
      <c r="F518" s="9" t="s">
        <v>261</v>
      </c>
      <c r="G518" s="9" t="s">
        <v>924</v>
      </c>
      <c r="H518" s="12">
        <v>650</v>
      </c>
      <c r="I518" s="12">
        <v>4381</v>
      </c>
      <c r="J518" s="13">
        <v>0</v>
      </c>
      <c r="K518" s="13">
        <v>0</v>
      </c>
      <c r="L518" s="13">
        <v>0</v>
      </c>
      <c r="M518" s="13">
        <v>0</v>
      </c>
      <c r="N518" s="13">
        <v>0</v>
      </c>
      <c r="O518" s="13">
        <v>1219</v>
      </c>
      <c r="P518" s="13">
        <v>700</v>
      </c>
      <c r="Q518" s="13">
        <v>1400</v>
      </c>
      <c r="R518" s="13">
        <v>1400</v>
      </c>
      <c r="S518" s="13">
        <v>1400</v>
      </c>
      <c r="T518" s="13">
        <v>2100</v>
      </c>
      <c r="U518" s="13">
        <v>700</v>
      </c>
      <c r="V518" s="13">
        <v>2100</v>
      </c>
      <c r="W518" s="13">
        <v>2100</v>
      </c>
      <c r="X518" s="13">
        <v>2100</v>
      </c>
      <c r="Y518" s="13">
        <v>2100</v>
      </c>
      <c r="Z518" s="13">
        <v>0</v>
      </c>
      <c r="AA518" s="13">
        <v>700</v>
      </c>
      <c r="AB518" s="13">
        <v>2100</v>
      </c>
      <c r="AC518" s="13">
        <v>2100</v>
      </c>
      <c r="AD518" s="13">
        <v>2100</v>
      </c>
    </row>
    <row r="519" spans="1:30" ht="15.75" thickBot="1" x14ac:dyDescent="0.3">
      <c r="A519" s="9" t="s">
        <v>1082</v>
      </c>
      <c r="B519" s="9" t="s">
        <v>1188</v>
      </c>
      <c r="C519" s="45" t="str">
        <f t="shared" si="8"/>
        <v>N1WB E41624 AC</v>
      </c>
      <c r="D519" s="10" t="s">
        <v>1246</v>
      </c>
      <c r="E519" s="10" t="s">
        <v>1247</v>
      </c>
      <c r="F519" s="9" t="s">
        <v>261</v>
      </c>
      <c r="G519" s="9" t="s">
        <v>924</v>
      </c>
      <c r="H519" s="12">
        <v>550</v>
      </c>
      <c r="I519" s="12">
        <v>1975</v>
      </c>
      <c r="J519" s="13">
        <v>0</v>
      </c>
      <c r="K519" s="13">
        <v>0</v>
      </c>
      <c r="L519" s="13">
        <v>1945</v>
      </c>
      <c r="M519" s="13">
        <v>1120</v>
      </c>
      <c r="N519" s="13">
        <v>980</v>
      </c>
      <c r="O519" s="13">
        <v>1540</v>
      </c>
      <c r="P519" s="13">
        <v>980</v>
      </c>
      <c r="Q519" s="13">
        <v>1120</v>
      </c>
      <c r="R519" s="13">
        <v>1400</v>
      </c>
      <c r="S519" s="13">
        <v>1680</v>
      </c>
      <c r="T519" s="13">
        <v>1680</v>
      </c>
      <c r="U519" s="13">
        <v>1120</v>
      </c>
      <c r="V519" s="13">
        <v>2100</v>
      </c>
      <c r="W519" s="13">
        <v>2240</v>
      </c>
      <c r="X519" s="13">
        <v>1820</v>
      </c>
      <c r="Y519" s="13">
        <v>2240</v>
      </c>
      <c r="Z519" s="13">
        <v>0</v>
      </c>
      <c r="AA519" s="13">
        <v>560</v>
      </c>
      <c r="AB519" s="13">
        <v>2100</v>
      </c>
      <c r="AC519" s="13">
        <v>2100</v>
      </c>
      <c r="AD519" s="13">
        <v>1960</v>
      </c>
    </row>
    <row r="520" spans="1:30" ht="15.75" thickBot="1" x14ac:dyDescent="0.3">
      <c r="A520" s="9" t="s">
        <v>1082</v>
      </c>
      <c r="B520" s="9" t="s">
        <v>1248</v>
      </c>
      <c r="C520" s="45" t="str">
        <f t="shared" si="8"/>
        <v>84533245</v>
      </c>
      <c r="D520" s="10" t="s">
        <v>1249</v>
      </c>
      <c r="E520" s="10" t="s">
        <v>1250</v>
      </c>
      <c r="F520" s="9" t="s">
        <v>404</v>
      </c>
      <c r="G520" s="9" t="s">
        <v>924</v>
      </c>
      <c r="H520" s="12">
        <v>450</v>
      </c>
      <c r="I520" s="12">
        <v>6448</v>
      </c>
      <c r="J520" s="13">
        <v>0</v>
      </c>
      <c r="K520" s="13">
        <v>1977</v>
      </c>
      <c r="L520" s="13">
        <v>3970</v>
      </c>
      <c r="M520" s="13">
        <v>4423</v>
      </c>
      <c r="N520" s="13">
        <v>4010</v>
      </c>
      <c r="O520" s="13">
        <v>3690</v>
      </c>
      <c r="P520" s="13">
        <v>3240</v>
      </c>
      <c r="Q520" s="13">
        <v>3780</v>
      </c>
      <c r="R520" s="13">
        <v>3600</v>
      </c>
      <c r="S520" s="13">
        <v>3073</v>
      </c>
      <c r="T520" s="13">
        <v>3110</v>
      </c>
      <c r="U520" s="13">
        <v>3420</v>
      </c>
      <c r="V520" s="13">
        <v>3600</v>
      </c>
      <c r="W520" s="13">
        <v>3600</v>
      </c>
      <c r="X520" s="13">
        <v>2700</v>
      </c>
      <c r="Y520" s="13">
        <v>3256</v>
      </c>
      <c r="Z520" s="13">
        <v>2266</v>
      </c>
      <c r="AA520" s="13">
        <v>3902</v>
      </c>
      <c r="AB520" s="13">
        <v>3991</v>
      </c>
      <c r="AC520" s="13">
        <v>3346</v>
      </c>
      <c r="AD520" s="13">
        <v>3975</v>
      </c>
    </row>
    <row r="521" spans="1:30" ht="15.75" thickBot="1" x14ac:dyDescent="0.3">
      <c r="A521" s="9" t="s">
        <v>1082</v>
      </c>
      <c r="B521" s="9" t="s">
        <v>1248</v>
      </c>
      <c r="C521" s="45" t="str">
        <f t="shared" si="8"/>
        <v>84533246</v>
      </c>
      <c r="D521" s="10" t="s">
        <v>1251</v>
      </c>
      <c r="E521" s="10" t="s">
        <v>1252</v>
      </c>
      <c r="F521" s="9" t="s">
        <v>404</v>
      </c>
      <c r="G521" s="9" t="s">
        <v>924</v>
      </c>
      <c r="H521" s="12">
        <v>450</v>
      </c>
      <c r="I521" s="12">
        <v>7382</v>
      </c>
      <c r="J521" s="13">
        <v>0</v>
      </c>
      <c r="K521" s="13">
        <v>1977</v>
      </c>
      <c r="L521" s="13">
        <v>3970</v>
      </c>
      <c r="M521" s="13">
        <v>4423</v>
      </c>
      <c r="N521" s="13">
        <v>4010</v>
      </c>
      <c r="O521" s="13">
        <v>3690</v>
      </c>
      <c r="P521" s="13">
        <v>3240</v>
      </c>
      <c r="Q521" s="13">
        <v>3780</v>
      </c>
      <c r="R521" s="13">
        <v>3600</v>
      </c>
      <c r="S521" s="13">
        <v>3073</v>
      </c>
      <c r="T521" s="13">
        <v>3110</v>
      </c>
      <c r="U521" s="13">
        <v>3420</v>
      </c>
      <c r="V521" s="13">
        <v>3600</v>
      </c>
      <c r="W521" s="13">
        <v>3600</v>
      </c>
      <c r="X521" s="13">
        <v>2700</v>
      </c>
      <c r="Y521" s="13">
        <v>3256</v>
      </c>
      <c r="Z521" s="13">
        <v>2266</v>
      </c>
      <c r="AA521" s="13">
        <v>3902</v>
      </c>
      <c r="AB521" s="13">
        <v>3991</v>
      </c>
      <c r="AC521" s="13">
        <v>3346</v>
      </c>
      <c r="AD521" s="13">
        <v>3975</v>
      </c>
    </row>
    <row r="522" spans="1:30" ht="15.75" thickBot="1" x14ac:dyDescent="0.3">
      <c r="A522" s="9" t="s">
        <v>1082</v>
      </c>
      <c r="B522" s="9" t="s">
        <v>1248</v>
      </c>
      <c r="C522" s="45" t="str">
        <f t="shared" si="8"/>
        <v>84643220</v>
      </c>
      <c r="D522" s="10" t="s">
        <v>1253</v>
      </c>
      <c r="E522" s="10" t="s">
        <v>1254</v>
      </c>
      <c r="F522" s="9" t="s">
        <v>404</v>
      </c>
      <c r="G522" s="9" t="s">
        <v>924</v>
      </c>
      <c r="H522" s="12">
        <v>450</v>
      </c>
      <c r="I522" s="12">
        <v>4376</v>
      </c>
      <c r="J522" s="13">
        <v>0</v>
      </c>
      <c r="K522" s="13">
        <v>1977</v>
      </c>
      <c r="L522" s="13">
        <v>3970</v>
      </c>
      <c r="M522" s="13">
        <v>4423</v>
      </c>
      <c r="N522" s="13">
        <v>4010</v>
      </c>
      <c r="O522" s="13">
        <v>3690</v>
      </c>
      <c r="P522" s="13">
        <v>3240</v>
      </c>
      <c r="Q522" s="13">
        <v>3780</v>
      </c>
      <c r="R522" s="13">
        <v>3600</v>
      </c>
      <c r="S522" s="13">
        <v>3073</v>
      </c>
      <c r="T522" s="13">
        <v>3110</v>
      </c>
      <c r="U522" s="13">
        <v>3420</v>
      </c>
      <c r="V522" s="13">
        <v>3600</v>
      </c>
      <c r="W522" s="13">
        <v>3600</v>
      </c>
      <c r="X522" s="13">
        <v>2700</v>
      </c>
      <c r="Y522" s="13">
        <v>3256</v>
      </c>
      <c r="Z522" s="13">
        <v>2266</v>
      </c>
      <c r="AA522" s="13">
        <v>3902</v>
      </c>
      <c r="AB522" s="13">
        <v>3991</v>
      </c>
      <c r="AC522" s="13">
        <v>3346</v>
      </c>
      <c r="AD522" s="13">
        <v>3975</v>
      </c>
    </row>
    <row r="523" spans="1:30" ht="15.75" thickBot="1" x14ac:dyDescent="0.3">
      <c r="A523" s="9" t="s">
        <v>1082</v>
      </c>
      <c r="B523" s="9" t="s">
        <v>1248</v>
      </c>
      <c r="C523" s="45" t="str">
        <f t="shared" si="8"/>
        <v>84643221</v>
      </c>
      <c r="D523" s="10" t="s">
        <v>1255</v>
      </c>
      <c r="E523" s="10" t="s">
        <v>1256</v>
      </c>
      <c r="F523" s="9" t="s">
        <v>404</v>
      </c>
      <c r="G523" s="9" t="s">
        <v>924</v>
      </c>
      <c r="H523" s="12">
        <v>450</v>
      </c>
      <c r="I523" s="12">
        <v>7388</v>
      </c>
      <c r="J523" s="13">
        <v>0</v>
      </c>
      <c r="K523" s="13">
        <v>1977</v>
      </c>
      <c r="L523" s="13">
        <v>3970</v>
      </c>
      <c r="M523" s="13">
        <v>4423</v>
      </c>
      <c r="N523" s="13">
        <v>4010</v>
      </c>
      <c r="O523" s="13">
        <v>3690</v>
      </c>
      <c r="P523" s="13">
        <v>3240</v>
      </c>
      <c r="Q523" s="13">
        <v>3780</v>
      </c>
      <c r="R523" s="13">
        <v>3600</v>
      </c>
      <c r="S523" s="13">
        <v>3073</v>
      </c>
      <c r="T523" s="13">
        <v>3110</v>
      </c>
      <c r="U523" s="13">
        <v>3420</v>
      </c>
      <c r="V523" s="13">
        <v>3600</v>
      </c>
      <c r="W523" s="13">
        <v>3600</v>
      </c>
      <c r="X523" s="13">
        <v>2700</v>
      </c>
      <c r="Y523" s="13">
        <v>3256</v>
      </c>
      <c r="Z523" s="13">
        <v>2266</v>
      </c>
      <c r="AA523" s="13">
        <v>3902</v>
      </c>
      <c r="AB523" s="13">
        <v>3991</v>
      </c>
      <c r="AC523" s="13">
        <v>3346</v>
      </c>
      <c r="AD523" s="13">
        <v>3975</v>
      </c>
    </row>
    <row r="524" spans="1:30" ht="15.75" thickBot="1" x14ac:dyDescent="0.3">
      <c r="A524" s="9" t="s">
        <v>1082</v>
      </c>
      <c r="B524" s="9" t="s">
        <v>1248</v>
      </c>
      <c r="C524" s="45" t="str">
        <f t="shared" si="8"/>
        <v>DET2102220AF</v>
      </c>
      <c r="D524" s="10" t="s">
        <v>1257</v>
      </c>
      <c r="E524" s="10" t="s">
        <v>1258</v>
      </c>
      <c r="F524" s="9" t="s">
        <v>261</v>
      </c>
      <c r="G524" s="9" t="s">
        <v>924</v>
      </c>
      <c r="H524" s="12">
        <v>450</v>
      </c>
      <c r="I524" s="12">
        <v>4270</v>
      </c>
      <c r="J524" s="13">
        <v>0</v>
      </c>
      <c r="K524" s="13">
        <v>0</v>
      </c>
      <c r="L524" s="13">
        <v>0</v>
      </c>
      <c r="M524" s="13">
        <v>0</v>
      </c>
      <c r="N524" s="13">
        <v>660</v>
      </c>
      <c r="O524" s="13">
        <v>1504</v>
      </c>
      <c r="P524" s="13">
        <v>1898</v>
      </c>
      <c r="Q524" s="13">
        <v>722</v>
      </c>
      <c r="R524" s="13">
        <v>1176</v>
      </c>
      <c r="S524" s="13">
        <v>996</v>
      </c>
      <c r="T524" s="13">
        <v>1617</v>
      </c>
      <c r="U524" s="13">
        <v>1478</v>
      </c>
      <c r="V524" s="13">
        <v>1197</v>
      </c>
      <c r="W524" s="13">
        <v>2201</v>
      </c>
      <c r="X524" s="13">
        <v>1798</v>
      </c>
      <c r="Y524" s="13">
        <v>1902</v>
      </c>
      <c r="Z524" s="13">
        <v>2503</v>
      </c>
      <c r="AA524" s="13">
        <v>0</v>
      </c>
      <c r="AB524" s="13">
        <v>467</v>
      </c>
      <c r="AC524" s="13">
        <v>2234</v>
      </c>
      <c r="AD524" s="13">
        <v>1865</v>
      </c>
    </row>
    <row r="525" spans="1:30" ht="15.75" thickBot="1" x14ac:dyDescent="0.3">
      <c r="A525" s="9" t="s">
        <v>1082</v>
      </c>
      <c r="B525" s="9" t="s">
        <v>1248</v>
      </c>
      <c r="C525" s="45" t="str">
        <f t="shared" si="8"/>
        <v>DET2102221AE</v>
      </c>
      <c r="D525" s="10" t="s">
        <v>1259</v>
      </c>
      <c r="E525" s="10" t="s">
        <v>1260</v>
      </c>
      <c r="F525" s="9" t="s">
        <v>261</v>
      </c>
      <c r="G525" s="9" t="s">
        <v>924</v>
      </c>
      <c r="H525" s="12">
        <v>450</v>
      </c>
      <c r="I525" s="12">
        <v>7104</v>
      </c>
      <c r="J525" s="13">
        <v>0</v>
      </c>
      <c r="K525" s="13">
        <v>0</v>
      </c>
      <c r="L525" s="13">
        <v>0</v>
      </c>
      <c r="M525" s="13">
        <v>0</v>
      </c>
      <c r="N525" s="13">
        <v>660</v>
      </c>
      <c r="O525" s="13">
        <v>1504</v>
      </c>
      <c r="P525" s="13">
        <v>1898</v>
      </c>
      <c r="Q525" s="13">
        <v>722</v>
      </c>
      <c r="R525" s="13">
        <v>1176</v>
      </c>
      <c r="S525" s="13">
        <v>996</v>
      </c>
      <c r="T525" s="13">
        <v>1617</v>
      </c>
      <c r="U525" s="13">
        <v>1478</v>
      </c>
      <c r="V525" s="13">
        <v>1197</v>
      </c>
      <c r="W525" s="13">
        <v>2201</v>
      </c>
      <c r="X525" s="13">
        <v>1798</v>
      </c>
      <c r="Y525" s="13">
        <v>1902</v>
      </c>
      <c r="Z525" s="13">
        <v>2503</v>
      </c>
      <c r="AA525" s="13">
        <v>0</v>
      </c>
      <c r="AB525" s="13">
        <v>467</v>
      </c>
      <c r="AC525" s="13">
        <v>2234</v>
      </c>
      <c r="AD525" s="13">
        <v>1865</v>
      </c>
    </row>
    <row r="526" spans="1:30" ht="15.75" thickBot="1" x14ac:dyDescent="0.3">
      <c r="A526" s="9" t="s">
        <v>1082</v>
      </c>
      <c r="B526" s="9" t="s">
        <v>1248</v>
      </c>
      <c r="C526" s="45" t="str">
        <f t="shared" si="8"/>
        <v>DET21025A62CB</v>
      </c>
      <c r="D526" s="10" t="s">
        <v>1261</v>
      </c>
      <c r="E526" s="10" t="s">
        <v>1262</v>
      </c>
      <c r="F526" s="9" t="s">
        <v>261</v>
      </c>
      <c r="G526" s="9" t="s">
        <v>924</v>
      </c>
      <c r="H526" s="12">
        <v>550</v>
      </c>
      <c r="I526" s="12">
        <v>2052</v>
      </c>
      <c r="J526" s="13">
        <v>0</v>
      </c>
      <c r="K526" s="13">
        <v>0</v>
      </c>
      <c r="L526" s="13">
        <v>1604</v>
      </c>
      <c r="M526" s="13">
        <v>1110</v>
      </c>
      <c r="N526" s="13">
        <v>1110</v>
      </c>
      <c r="O526" s="13">
        <v>1290</v>
      </c>
      <c r="P526" s="13">
        <v>960</v>
      </c>
      <c r="Q526" s="13">
        <v>1200</v>
      </c>
      <c r="R526" s="13">
        <v>1530</v>
      </c>
      <c r="S526" s="13">
        <v>1710</v>
      </c>
      <c r="T526" s="13">
        <v>1380</v>
      </c>
      <c r="U526" s="13">
        <v>1440</v>
      </c>
      <c r="V526" s="13">
        <v>2220</v>
      </c>
      <c r="W526" s="13">
        <v>2010</v>
      </c>
      <c r="X526" s="13">
        <v>2130</v>
      </c>
      <c r="Y526" s="13">
        <v>1470</v>
      </c>
      <c r="Z526" s="13">
        <v>0</v>
      </c>
      <c r="AA526" s="13">
        <v>1080</v>
      </c>
      <c r="AB526" s="13">
        <v>2100</v>
      </c>
      <c r="AC526" s="13">
        <v>1980</v>
      </c>
      <c r="AD526" s="13">
        <v>2010</v>
      </c>
    </row>
    <row r="527" spans="1:30" ht="15.75" thickBot="1" x14ac:dyDescent="0.3">
      <c r="A527" s="9" t="s">
        <v>1082</v>
      </c>
      <c r="B527" s="9" t="s">
        <v>1248</v>
      </c>
      <c r="C527" s="45" t="str">
        <f t="shared" si="8"/>
        <v>DET2110782A</v>
      </c>
      <c r="D527" s="10" t="s">
        <v>1263</v>
      </c>
      <c r="E527" s="10" t="s">
        <v>1264</v>
      </c>
      <c r="F527" s="9" t="s">
        <v>494</v>
      </c>
      <c r="G527" s="9" t="s">
        <v>924</v>
      </c>
      <c r="H527" s="12">
        <v>550</v>
      </c>
      <c r="I527" s="12">
        <v>7410</v>
      </c>
      <c r="J527" s="13">
        <v>0</v>
      </c>
      <c r="K527" s="13">
        <v>0</v>
      </c>
      <c r="L527" s="13">
        <v>0</v>
      </c>
      <c r="M527" s="13">
        <v>0</v>
      </c>
      <c r="N527" s="13">
        <v>0</v>
      </c>
      <c r="O527" s="13">
        <v>0</v>
      </c>
      <c r="P527" s="13">
        <v>1068</v>
      </c>
      <c r="Q527" s="13">
        <v>371</v>
      </c>
      <c r="R527" s="13">
        <v>1043</v>
      </c>
      <c r="S527" s="13">
        <v>1516</v>
      </c>
      <c r="T527" s="13">
        <v>1663</v>
      </c>
      <c r="U527" s="13">
        <v>1485</v>
      </c>
      <c r="V527" s="13">
        <v>1285</v>
      </c>
      <c r="W527" s="13">
        <v>2068</v>
      </c>
      <c r="X527" s="13">
        <v>1998</v>
      </c>
      <c r="Y527" s="13">
        <v>1991</v>
      </c>
      <c r="Z527" s="13">
        <v>2472</v>
      </c>
      <c r="AA527" s="13">
        <v>0</v>
      </c>
      <c r="AB527" s="13">
        <v>412</v>
      </c>
      <c r="AC527" s="13">
        <v>2063</v>
      </c>
      <c r="AD527" s="13">
        <v>2055</v>
      </c>
    </row>
    <row r="528" spans="1:30" ht="15.75" thickBot="1" x14ac:dyDescent="0.3">
      <c r="A528" s="9" t="s">
        <v>1082</v>
      </c>
      <c r="B528" s="9" t="s">
        <v>1248</v>
      </c>
      <c r="C528" s="45" t="str">
        <f t="shared" si="8"/>
        <v>DET2610116A</v>
      </c>
      <c r="D528" s="10" t="s">
        <v>1265</v>
      </c>
      <c r="E528" s="10" t="s">
        <v>1266</v>
      </c>
      <c r="F528" s="9" t="s">
        <v>494</v>
      </c>
      <c r="G528" s="9" t="s">
        <v>924</v>
      </c>
      <c r="H528" s="12">
        <v>550</v>
      </c>
      <c r="I528" s="12">
        <v>885</v>
      </c>
      <c r="J528" s="13">
        <v>0</v>
      </c>
      <c r="K528" s="13">
        <v>9</v>
      </c>
      <c r="L528" s="13">
        <v>1352</v>
      </c>
      <c r="M528" s="13">
        <v>1040</v>
      </c>
      <c r="N528" s="13">
        <v>1103</v>
      </c>
      <c r="O528" s="13">
        <v>1383</v>
      </c>
      <c r="P528" s="13">
        <v>1414</v>
      </c>
      <c r="Q528" s="13">
        <v>1020</v>
      </c>
      <c r="R528" s="13">
        <v>1040</v>
      </c>
      <c r="S528" s="13">
        <v>1487</v>
      </c>
      <c r="T528" s="13">
        <v>1601</v>
      </c>
      <c r="U528" s="13">
        <v>1467</v>
      </c>
      <c r="V528" s="13">
        <v>1289</v>
      </c>
      <c r="W528" s="13">
        <v>2080</v>
      </c>
      <c r="X528" s="13">
        <v>2008</v>
      </c>
      <c r="Y528" s="13">
        <v>1986</v>
      </c>
      <c r="Z528" s="13">
        <v>2454</v>
      </c>
      <c r="AA528" s="13">
        <v>0</v>
      </c>
      <c r="AB528" s="13">
        <v>406</v>
      </c>
      <c r="AC528" s="13">
        <v>2049</v>
      </c>
      <c r="AD528" s="13">
        <v>2090</v>
      </c>
    </row>
    <row r="529" spans="1:30" ht="15.75" thickBot="1" x14ac:dyDescent="0.3">
      <c r="A529" s="9" t="s">
        <v>1082</v>
      </c>
      <c r="B529" s="9" t="s">
        <v>1248</v>
      </c>
      <c r="C529" s="45" t="str">
        <f t="shared" si="8"/>
        <v>DET2610117A</v>
      </c>
      <c r="D529" s="10" t="s">
        <v>1267</v>
      </c>
      <c r="E529" s="10" t="s">
        <v>1266</v>
      </c>
      <c r="F529" s="9" t="s">
        <v>494</v>
      </c>
      <c r="G529" s="9" t="s">
        <v>924</v>
      </c>
      <c r="H529" s="12">
        <v>550</v>
      </c>
      <c r="I529" s="12">
        <v>262</v>
      </c>
      <c r="J529" s="13">
        <v>0</v>
      </c>
      <c r="K529" s="13">
        <v>9</v>
      </c>
      <c r="L529" s="13">
        <v>1352</v>
      </c>
      <c r="M529" s="13">
        <v>1040</v>
      </c>
      <c r="N529" s="13">
        <v>1103</v>
      </c>
      <c r="O529" s="13">
        <v>1383</v>
      </c>
      <c r="P529" s="13">
        <v>1414</v>
      </c>
      <c r="Q529" s="13">
        <v>1020</v>
      </c>
      <c r="R529" s="13">
        <v>1040</v>
      </c>
      <c r="S529" s="13">
        <v>1487</v>
      </c>
      <c r="T529" s="13">
        <v>1601</v>
      </c>
      <c r="U529" s="13">
        <v>1467</v>
      </c>
      <c r="V529" s="13">
        <v>1289</v>
      </c>
      <c r="W529" s="13">
        <v>2080</v>
      </c>
      <c r="X529" s="13">
        <v>2008</v>
      </c>
      <c r="Y529" s="13">
        <v>1986</v>
      </c>
      <c r="Z529" s="13">
        <v>2454</v>
      </c>
      <c r="AA529" s="13">
        <v>0</v>
      </c>
      <c r="AB529" s="13">
        <v>406</v>
      </c>
      <c r="AC529" s="13">
        <v>2049</v>
      </c>
      <c r="AD529" s="13">
        <v>2090</v>
      </c>
    </row>
    <row r="530" spans="1:30" ht="15.75" thickBot="1" x14ac:dyDescent="0.3">
      <c r="A530" s="9" t="s">
        <v>1082</v>
      </c>
      <c r="B530" s="9" t="s">
        <v>1248</v>
      </c>
      <c r="C530" s="45" t="str">
        <f t="shared" si="8"/>
        <v>DET68612898AC</v>
      </c>
      <c r="D530" s="10" t="s">
        <v>1268</v>
      </c>
      <c r="E530" s="10" t="s">
        <v>1269</v>
      </c>
      <c r="F530" s="9" t="s">
        <v>1164</v>
      </c>
      <c r="G530" s="9" t="s">
        <v>924</v>
      </c>
      <c r="H530" s="11">
        <v>552.1472</v>
      </c>
      <c r="I530" s="12">
        <v>2476</v>
      </c>
      <c r="J530" s="13">
        <v>0</v>
      </c>
      <c r="K530" s="13">
        <v>0</v>
      </c>
      <c r="L530" s="13">
        <v>0</v>
      </c>
      <c r="M530" s="13">
        <v>0</v>
      </c>
      <c r="N530" s="13">
        <v>417</v>
      </c>
      <c r="O530" s="13">
        <v>972</v>
      </c>
      <c r="P530" s="13">
        <v>756</v>
      </c>
      <c r="Q530" s="13">
        <v>864</v>
      </c>
      <c r="R530" s="13">
        <v>756</v>
      </c>
      <c r="S530" s="13">
        <v>864</v>
      </c>
      <c r="T530" s="13">
        <v>1010</v>
      </c>
      <c r="U530" s="13">
        <v>1042</v>
      </c>
      <c r="V530" s="13">
        <v>864</v>
      </c>
      <c r="W530" s="13">
        <v>756</v>
      </c>
      <c r="X530" s="13">
        <v>648</v>
      </c>
      <c r="Y530" s="13">
        <v>648</v>
      </c>
      <c r="Z530" s="13">
        <v>362</v>
      </c>
      <c r="AA530" s="13">
        <v>1728</v>
      </c>
      <c r="AB530" s="13">
        <v>1728</v>
      </c>
      <c r="AC530" s="13">
        <v>1404</v>
      </c>
      <c r="AD530" s="13">
        <v>1404</v>
      </c>
    </row>
    <row r="531" spans="1:30" ht="15.75" thickBot="1" x14ac:dyDescent="0.3">
      <c r="A531" s="9" t="s">
        <v>1082</v>
      </c>
      <c r="B531" s="9" t="s">
        <v>1248</v>
      </c>
      <c r="C531" s="45" t="str">
        <f t="shared" si="8"/>
        <v>DET68612899AC</v>
      </c>
      <c r="D531" s="10" t="s">
        <v>1270</v>
      </c>
      <c r="E531" s="10" t="s">
        <v>1271</v>
      </c>
      <c r="F531" s="9" t="s">
        <v>1164</v>
      </c>
      <c r="G531" s="9" t="s">
        <v>924</v>
      </c>
      <c r="H531" s="11">
        <v>552.1472</v>
      </c>
      <c r="I531" s="12">
        <v>3184</v>
      </c>
      <c r="J531" s="13">
        <v>0</v>
      </c>
      <c r="K531" s="13">
        <v>0</v>
      </c>
      <c r="L531" s="13">
        <v>0</v>
      </c>
      <c r="M531" s="13">
        <v>0</v>
      </c>
      <c r="N531" s="13">
        <v>417</v>
      </c>
      <c r="O531" s="13">
        <v>972</v>
      </c>
      <c r="P531" s="13">
        <v>756</v>
      </c>
      <c r="Q531" s="13">
        <v>864</v>
      </c>
      <c r="R531" s="13">
        <v>756</v>
      </c>
      <c r="S531" s="13">
        <v>864</v>
      </c>
      <c r="T531" s="13">
        <v>1010</v>
      </c>
      <c r="U531" s="13">
        <v>1042</v>
      </c>
      <c r="V531" s="13">
        <v>864</v>
      </c>
      <c r="W531" s="13">
        <v>756</v>
      </c>
      <c r="X531" s="13">
        <v>648</v>
      </c>
      <c r="Y531" s="13">
        <v>648</v>
      </c>
      <c r="Z531" s="13">
        <v>362</v>
      </c>
      <c r="AA531" s="13">
        <v>1728</v>
      </c>
      <c r="AB531" s="13">
        <v>1728</v>
      </c>
      <c r="AC531" s="13">
        <v>1404</v>
      </c>
      <c r="AD531" s="13">
        <v>1404</v>
      </c>
    </row>
    <row r="532" spans="1:30" ht="15.75" thickBot="1" x14ac:dyDescent="0.3">
      <c r="A532" s="9" t="s">
        <v>1082</v>
      </c>
      <c r="B532" s="9" t="s">
        <v>1248</v>
      </c>
      <c r="C532" s="45" t="str">
        <f t="shared" si="8"/>
        <v>DETE10522B</v>
      </c>
      <c r="D532" s="10" t="s">
        <v>1272</v>
      </c>
      <c r="E532" s="10" t="s">
        <v>1273</v>
      </c>
      <c r="F532" s="9" t="s">
        <v>261</v>
      </c>
      <c r="G532" s="9" t="s">
        <v>924</v>
      </c>
      <c r="H532" s="12">
        <v>550</v>
      </c>
      <c r="I532" s="12">
        <v>561</v>
      </c>
      <c r="J532" s="13">
        <v>0</v>
      </c>
      <c r="K532" s="13">
        <v>688</v>
      </c>
      <c r="L532" s="13">
        <v>4690</v>
      </c>
      <c r="M532" s="13">
        <v>2050</v>
      </c>
      <c r="N532" s="13">
        <v>2410</v>
      </c>
      <c r="O532" s="13">
        <v>2670</v>
      </c>
      <c r="P532" s="13">
        <v>1960</v>
      </c>
      <c r="Q532" s="13">
        <v>2330</v>
      </c>
      <c r="R532" s="13">
        <v>3040</v>
      </c>
      <c r="S532" s="13">
        <v>3350</v>
      </c>
      <c r="T532" s="13">
        <v>2900</v>
      </c>
      <c r="U532" s="13">
        <v>2680</v>
      </c>
      <c r="V532" s="13">
        <v>4440</v>
      </c>
      <c r="W532" s="13">
        <v>4100</v>
      </c>
      <c r="X532" s="13">
        <v>4070</v>
      </c>
      <c r="Y532" s="13">
        <v>3440</v>
      </c>
      <c r="Z532" s="13">
        <v>0</v>
      </c>
      <c r="AA532" s="13">
        <v>1840</v>
      </c>
      <c r="AB532" s="13">
        <v>4140</v>
      </c>
      <c r="AC532" s="13">
        <v>4040</v>
      </c>
      <c r="AD532" s="13">
        <v>3960</v>
      </c>
    </row>
    <row r="533" spans="1:30" ht="15.75" thickBot="1" x14ac:dyDescent="0.3">
      <c r="A533" s="9" t="s">
        <v>1082</v>
      </c>
      <c r="B533" s="9" t="s">
        <v>1248</v>
      </c>
      <c r="C533" s="45" t="str">
        <f t="shared" si="8"/>
        <v>DETE10665A</v>
      </c>
      <c r="D533" s="10" t="s">
        <v>1274</v>
      </c>
      <c r="E533" s="10" t="s">
        <v>1275</v>
      </c>
      <c r="F533" s="9" t="s">
        <v>261</v>
      </c>
      <c r="G533" s="9" t="s">
        <v>924</v>
      </c>
      <c r="H533" s="12">
        <v>550</v>
      </c>
      <c r="I533" s="12">
        <v>2344</v>
      </c>
      <c r="J533" s="13">
        <v>0</v>
      </c>
      <c r="K533" s="13">
        <v>0</v>
      </c>
      <c r="L533" s="13">
        <v>67</v>
      </c>
      <c r="M533" s="13">
        <v>1008</v>
      </c>
      <c r="N533" s="13">
        <v>1248</v>
      </c>
      <c r="O533" s="13">
        <v>1440</v>
      </c>
      <c r="P533" s="13">
        <v>1332</v>
      </c>
      <c r="Q533" s="13">
        <v>900</v>
      </c>
      <c r="R533" s="13">
        <v>1020</v>
      </c>
      <c r="S533" s="13">
        <v>1512</v>
      </c>
      <c r="T533" s="13">
        <v>1560</v>
      </c>
      <c r="U533" s="13">
        <v>1476</v>
      </c>
      <c r="V533" s="13">
        <v>1320</v>
      </c>
      <c r="W533" s="13">
        <v>2052</v>
      </c>
      <c r="X533" s="13">
        <v>2016</v>
      </c>
      <c r="Y533" s="13">
        <v>1968</v>
      </c>
      <c r="Z533" s="13">
        <v>2496</v>
      </c>
      <c r="AA533" s="13">
        <v>0</v>
      </c>
      <c r="AB533" s="13">
        <v>408</v>
      </c>
      <c r="AC533" s="13">
        <v>2052</v>
      </c>
      <c r="AD533" s="13">
        <v>2064</v>
      </c>
    </row>
    <row r="534" spans="1:30" ht="15.75" thickBot="1" x14ac:dyDescent="0.3">
      <c r="A534" s="9" t="s">
        <v>1082</v>
      </c>
      <c r="B534" s="9" t="s">
        <v>1248</v>
      </c>
      <c r="C534" s="45" t="str">
        <f t="shared" si="8"/>
        <v>DETE10766CE</v>
      </c>
      <c r="D534" s="10" t="s">
        <v>1276</v>
      </c>
      <c r="E534" s="10" t="s">
        <v>1277</v>
      </c>
      <c r="F534" s="9" t="s">
        <v>261</v>
      </c>
      <c r="G534" s="9" t="s">
        <v>924</v>
      </c>
      <c r="H534" s="12">
        <v>550</v>
      </c>
      <c r="I534" s="12">
        <v>4127</v>
      </c>
      <c r="J534" s="13">
        <v>0</v>
      </c>
      <c r="K534" s="13">
        <v>0</v>
      </c>
      <c r="L534" s="13">
        <v>0</v>
      </c>
      <c r="M534" s="13">
        <v>0</v>
      </c>
      <c r="N534" s="13">
        <v>914</v>
      </c>
      <c r="O534" s="13">
        <v>1376</v>
      </c>
      <c r="P534" s="13">
        <v>1543</v>
      </c>
      <c r="Q534" s="13">
        <v>717</v>
      </c>
      <c r="R534" s="13">
        <v>1011</v>
      </c>
      <c r="S534" s="13">
        <v>1491</v>
      </c>
      <c r="T534" s="13">
        <v>1574</v>
      </c>
      <c r="U534" s="13">
        <v>1498</v>
      </c>
      <c r="V534" s="13">
        <v>1286</v>
      </c>
      <c r="W534" s="13">
        <v>2074</v>
      </c>
      <c r="X534" s="13">
        <v>1984</v>
      </c>
      <c r="Y534" s="13">
        <v>1997</v>
      </c>
      <c r="Z534" s="13">
        <v>2457</v>
      </c>
      <c r="AA534" s="13">
        <v>0</v>
      </c>
      <c r="AB534" s="13">
        <v>416</v>
      </c>
      <c r="AC534" s="13">
        <v>2080</v>
      </c>
      <c r="AD534" s="13">
        <v>2048</v>
      </c>
    </row>
    <row r="535" spans="1:30" ht="15.75" thickBot="1" x14ac:dyDescent="0.3">
      <c r="A535" s="9" t="s">
        <v>1082</v>
      </c>
      <c r="B535" s="9" t="s">
        <v>1248</v>
      </c>
      <c r="C535" s="45" t="str">
        <f t="shared" si="8"/>
        <v>DETE279D58AA</v>
      </c>
      <c r="D535" s="10" t="s">
        <v>1278</v>
      </c>
      <c r="E535" s="10" t="s">
        <v>1279</v>
      </c>
      <c r="F535" s="9" t="s">
        <v>261</v>
      </c>
      <c r="G535" s="9" t="s">
        <v>924</v>
      </c>
      <c r="H535" s="12">
        <v>450</v>
      </c>
      <c r="I535" s="12">
        <v>6210</v>
      </c>
      <c r="J535" s="13">
        <v>0</v>
      </c>
      <c r="K535" s="13">
        <v>0</v>
      </c>
      <c r="L535" s="13">
        <v>0</v>
      </c>
      <c r="M535" s="13">
        <v>0</v>
      </c>
      <c r="N535" s="13">
        <v>0</v>
      </c>
      <c r="O535" s="13">
        <v>0</v>
      </c>
      <c r="P535" s="13">
        <v>29</v>
      </c>
      <c r="Q535" s="13">
        <v>1160</v>
      </c>
      <c r="R535" s="13">
        <v>1520</v>
      </c>
      <c r="S535" s="13">
        <v>1680</v>
      </c>
      <c r="T535" s="13">
        <v>1450</v>
      </c>
      <c r="U535" s="13">
        <v>1340</v>
      </c>
      <c r="V535" s="13">
        <v>2220</v>
      </c>
      <c r="W535" s="13">
        <v>2050</v>
      </c>
      <c r="X535" s="13">
        <v>2040</v>
      </c>
      <c r="Y535" s="13">
        <v>1720</v>
      </c>
      <c r="Z535" s="13">
        <v>0</v>
      </c>
      <c r="AA535" s="13">
        <v>920</v>
      </c>
      <c r="AB535" s="13">
        <v>2070</v>
      </c>
      <c r="AC535" s="13">
        <v>2020</v>
      </c>
      <c r="AD535" s="13">
        <v>1980</v>
      </c>
    </row>
    <row r="536" spans="1:30" ht="15.75" thickBot="1" x14ac:dyDescent="0.3">
      <c r="A536" s="9" t="s">
        <v>1082</v>
      </c>
      <c r="B536" s="9" t="s">
        <v>1248</v>
      </c>
      <c r="C536" s="45" t="str">
        <f t="shared" si="8"/>
        <v>DETE279D59AA</v>
      </c>
      <c r="D536" s="10" t="s">
        <v>1280</v>
      </c>
      <c r="E536" s="10" t="s">
        <v>1279</v>
      </c>
      <c r="F536" s="9" t="s">
        <v>261</v>
      </c>
      <c r="G536" s="9" t="s">
        <v>924</v>
      </c>
      <c r="H536" s="12">
        <v>450</v>
      </c>
      <c r="I536" s="12">
        <v>6043</v>
      </c>
      <c r="J536" s="13">
        <v>0</v>
      </c>
      <c r="K536" s="13">
        <v>0</v>
      </c>
      <c r="L536" s="13">
        <v>0</v>
      </c>
      <c r="M536" s="13">
        <v>0</v>
      </c>
      <c r="N536" s="13">
        <v>0</v>
      </c>
      <c r="O536" s="13">
        <v>0</v>
      </c>
      <c r="P536" s="13">
        <v>29</v>
      </c>
      <c r="Q536" s="13">
        <v>1160</v>
      </c>
      <c r="R536" s="13">
        <v>1520</v>
      </c>
      <c r="S536" s="13">
        <v>1680</v>
      </c>
      <c r="T536" s="13">
        <v>1450</v>
      </c>
      <c r="U536" s="13">
        <v>1340</v>
      </c>
      <c r="V536" s="13">
        <v>2220</v>
      </c>
      <c r="W536" s="13">
        <v>2050</v>
      </c>
      <c r="X536" s="13">
        <v>2040</v>
      </c>
      <c r="Y536" s="13">
        <v>1720</v>
      </c>
      <c r="Z536" s="13">
        <v>0</v>
      </c>
      <c r="AA536" s="13">
        <v>920</v>
      </c>
      <c r="AB536" s="13">
        <v>2070</v>
      </c>
      <c r="AC536" s="13">
        <v>2020</v>
      </c>
      <c r="AD536" s="13">
        <v>1980</v>
      </c>
    </row>
    <row r="537" spans="1:30" ht="15.75" thickBot="1" x14ac:dyDescent="0.3">
      <c r="A537" s="9" t="s">
        <v>1082</v>
      </c>
      <c r="B537" s="9" t="s">
        <v>1248</v>
      </c>
      <c r="C537" s="45" t="str">
        <f t="shared" si="8"/>
        <v>DETE28562B</v>
      </c>
      <c r="D537" s="10" t="s">
        <v>1281</v>
      </c>
      <c r="E537" s="10" t="s">
        <v>1282</v>
      </c>
      <c r="F537" s="9" t="s">
        <v>261</v>
      </c>
      <c r="G537" s="9" t="s">
        <v>924</v>
      </c>
      <c r="H537" s="12">
        <v>450</v>
      </c>
      <c r="I537" s="12">
        <v>3964</v>
      </c>
      <c r="J537" s="13">
        <v>0</v>
      </c>
      <c r="K537" s="13">
        <v>0</v>
      </c>
      <c r="L537" s="13">
        <v>1731</v>
      </c>
      <c r="M537" s="13">
        <v>1050</v>
      </c>
      <c r="N537" s="13">
        <v>1210</v>
      </c>
      <c r="O537" s="13">
        <v>1340</v>
      </c>
      <c r="P537" s="13">
        <v>980</v>
      </c>
      <c r="Q537" s="13">
        <v>1160</v>
      </c>
      <c r="R537" s="13">
        <v>1520</v>
      </c>
      <c r="S537" s="13">
        <v>1680</v>
      </c>
      <c r="T537" s="13">
        <v>1450</v>
      </c>
      <c r="U537" s="13">
        <v>1340</v>
      </c>
      <c r="V537" s="13">
        <v>2220</v>
      </c>
      <c r="W537" s="13">
        <v>2050</v>
      </c>
      <c r="X537" s="13">
        <v>2040</v>
      </c>
      <c r="Y537" s="13">
        <v>1720</v>
      </c>
      <c r="Z537" s="13">
        <v>0</v>
      </c>
      <c r="AA537" s="13">
        <v>920</v>
      </c>
      <c r="AB537" s="13">
        <v>2070</v>
      </c>
      <c r="AC537" s="13">
        <v>2020</v>
      </c>
      <c r="AD537" s="13">
        <v>1980</v>
      </c>
    </row>
    <row r="538" spans="1:30" ht="15.75" thickBot="1" x14ac:dyDescent="0.3">
      <c r="A538" s="9" t="s">
        <v>1082</v>
      </c>
      <c r="B538" s="9" t="s">
        <v>1248</v>
      </c>
      <c r="C538" s="45" t="str">
        <f t="shared" si="8"/>
        <v>DETE28563B</v>
      </c>
      <c r="D538" s="10" t="s">
        <v>1283</v>
      </c>
      <c r="E538" s="10" t="s">
        <v>1284</v>
      </c>
      <c r="F538" s="9" t="s">
        <v>261</v>
      </c>
      <c r="G538" s="9" t="s">
        <v>924</v>
      </c>
      <c r="H538" s="12">
        <v>450</v>
      </c>
      <c r="I538" s="12">
        <v>1906</v>
      </c>
      <c r="J538" s="13">
        <v>0</v>
      </c>
      <c r="K538" s="13">
        <v>0</v>
      </c>
      <c r="L538" s="13">
        <v>1731</v>
      </c>
      <c r="M538" s="13">
        <v>1050</v>
      </c>
      <c r="N538" s="13">
        <v>1210</v>
      </c>
      <c r="O538" s="13">
        <v>1340</v>
      </c>
      <c r="P538" s="13">
        <v>980</v>
      </c>
      <c r="Q538" s="13">
        <v>1160</v>
      </c>
      <c r="R538" s="13">
        <v>1520</v>
      </c>
      <c r="S538" s="13">
        <v>1680</v>
      </c>
      <c r="T538" s="13">
        <v>1450</v>
      </c>
      <c r="U538" s="13">
        <v>1340</v>
      </c>
      <c r="V538" s="13">
        <v>2220</v>
      </c>
      <c r="W538" s="13">
        <v>2050</v>
      </c>
      <c r="X538" s="13">
        <v>2040</v>
      </c>
      <c r="Y538" s="13">
        <v>1720</v>
      </c>
      <c r="Z538" s="13">
        <v>0</v>
      </c>
      <c r="AA538" s="13">
        <v>920</v>
      </c>
      <c r="AB538" s="13">
        <v>2070</v>
      </c>
      <c r="AC538" s="13">
        <v>2020</v>
      </c>
      <c r="AD538" s="13">
        <v>1980</v>
      </c>
    </row>
    <row r="539" spans="1:30" ht="15.75" thickBot="1" x14ac:dyDescent="0.3">
      <c r="A539" s="9" t="s">
        <v>1082</v>
      </c>
      <c r="B539" s="9" t="s">
        <v>1248</v>
      </c>
      <c r="C539" s="45" t="str">
        <f t="shared" si="8"/>
        <v>DETE403B48AB</v>
      </c>
      <c r="D539" s="10" t="s">
        <v>1285</v>
      </c>
      <c r="E539" s="10" t="s">
        <v>1286</v>
      </c>
      <c r="F539" s="9" t="s">
        <v>261</v>
      </c>
      <c r="G539" s="9" t="s">
        <v>924</v>
      </c>
      <c r="H539" s="12">
        <v>550</v>
      </c>
      <c r="I539" s="12">
        <v>2829</v>
      </c>
      <c r="J539" s="13">
        <v>0</v>
      </c>
      <c r="K539" s="13">
        <v>0</v>
      </c>
      <c r="L539" s="13">
        <v>0</v>
      </c>
      <c r="M539" s="13">
        <v>405</v>
      </c>
      <c r="N539" s="13">
        <v>1277</v>
      </c>
      <c r="O539" s="13">
        <v>1378</v>
      </c>
      <c r="P539" s="13">
        <v>1386</v>
      </c>
      <c r="Q539" s="13">
        <v>890</v>
      </c>
      <c r="R539" s="13">
        <v>1033</v>
      </c>
      <c r="S539" s="13">
        <v>1496</v>
      </c>
      <c r="T539" s="13">
        <v>1587</v>
      </c>
      <c r="U539" s="13">
        <v>1462</v>
      </c>
      <c r="V539" s="13">
        <v>1285</v>
      </c>
      <c r="W539" s="13">
        <v>2066</v>
      </c>
      <c r="X539" s="13">
        <v>2025</v>
      </c>
      <c r="Y539" s="13">
        <v>1991</v>
      </c>
      <c r="Z539" s="13">
        <v>2452</v>
      </c>
      <c r="AA539" s="13">
        <v>0</v>
      </c>
      <c r="AB539" s="13">
        <v>412</v>
      </c>
      <c r="AC539" s="13">
        <v>2066</v>
      </c>
      <c r="AD539" s="13">
        <v>2067</v>
      </c>
    </row>
    <row r="540" spans="1:30" ht="15.75" thickBot="1" x14ac:dyDescent="0.3">
      <c r="A540" s="9" t="s">
        <v>1082</v>
      </c>
      <c r="B540" s="9" t="s">
        <v>1248</v>
      </c>
      <c r="C540" s="45" t="str">
        <f t="shared" si="8"/>
        <v>DETE41022B</v>
      </c>
      <c r="D540" s="10" t="s">
        <v>1287</v>
      </c>
      <c r="E540" s="10" t="s">
        <v>1288</v>
      </c>
      <c r="F540" s="9" t="s">
        <v>261</v>
      </c>
      <c r="G540" s="9" t="s">
        <v>924</v>
      </c>
      <c r="H540" s="12">
        <v>450</v>
      </c>
      <c r="I540" s="12">
        <v>6926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335</v>
      </c>
      <c r="Q540" s="13">
        <v>1160</v>
      </c>
      <c r="R540" s="13">
        <v>1520</v>
      </c>
      <c r="S540" s="13">
        <v>1680</v>
      </c>
      <c r="T540" s="13">
        <v>1450</v>
      </c>
      <c r="U540" s="13">
        <v>1340</v>
      </c>
      <c r="V540" s="13">
        <v>2220</v>
      </c>
      <c r="W540" s="13">
        <v>2050</v>
      </c>
      <c r="X540" s="13">
        <v>2040</v>
      </c>
      <c r="Y540" s="13">
        <v>1720</v>
      </c>
      <c r="Z540" s="13">
        <v>0</v>
      </c>
      <c r="AA540" s="13">
        <v>920</v>
      </c>
      <c r="AB540" s="13">
        <v>2070</v>
      </c>
      <c r="AC540" s="13">
        <v>2020</v>
      </c>
      <c r="AD540" s="13">
        <v>1980</v>
      </c>
    </row>
    <row r="541" spans="1:30" ht="15.75" thickBot="1" x14ac:dyDescent="0.3">
      <c r="A541" s="9" t="s">
        <v>1082</v>
      </c>
      <c r="B541" s="9" t="s">
        <v>1248</v>
      </c>
      <c r="C541" s="45" t="str">
        <f t="shared" si="8"/>
        <v>DETE41023B</v>
      </c>
      <c r="D541" s="10" t="s">
        <v>1289</v>
      </c>
      <c r="E541" s="10" t="s">
        <v>1290</v>
      </c>
      <c r="F541" s="9" t="s">
        <v>261</v>
      </c>
      <c r="G541" s="9" t="s">
        <v>924</v>
      </c>
      <c r="H541" s="12">
        <v>450</v>
      </c>
      <c r="I541" s="12">
        <v>6364</v>
      </c>
      <c r="J541" s="13">
        <v>0</v>
      </c>
      <c r="K541" s="13">
        <v>0</v>
      </c>
      <c r="L541" s="13">
        <v>0</v>
      </c>
      <c r="M541" s="13">
        <v>0</v>
      </c>
      <c r="N541" s="13">
        <v>0</v>
      </c>
      <c r="O541" s="13">
        <v>0</v>
      </c>
      <c r="P541" s="13">
        <v>335</v>
      </c>
      <c r="Q541" s="13">
        <v>1160</v>
      </c>
      <c r="R541" s="13">
        <v>1520</v>
      </c>
      <c r="S541" s="13">
        <v>1680</v>
      </c>
      <c r="T541" s="13">
        <v>1450</v>
      </c>
      <c r="U541" s="13">
        <v>1340</v>
      </c>
      <c r="V541" s="13">
        <v>2220</v>
      </c>
      <c r="W541" s="13">
        <v>2050</v>
      </c>
      <c r="X541" s="13">
        <v>2040</v>
      </c>
      <c r="Y541" s="13">
        <v>1720</v>
      </c>
      <c r="Z541" s="13">
        <v>0</v>
      </c>
      <c r="AA541" s="13">
        <v>920</v>
      </c>
      <c r="AB541" s="13">
        <v>2070</v>
      </c>
      <c r="AC541" s="13">
        <v>2020</v>
      </c>
      <c r="AD541" s="13">
        <v>1980</v>
      </c>
    </row>
    <row r="542" spans="1:30" ht="15.75" thickBot="1" x14ac:dyDescent="0.3">
      <c r="A542" s="9" t="s">
        <v>1082</v>
      </c>
      <c r="B542" s="9" t="s">
        <v>1248</v>
      </c>
      <c r="C542" s="45" t="str">
        <f t="shared" si="8"/>
        <v>DETE41040B</v>
      </c>
      <c r="D542" s="10" t="s">
        <v>1291</v>
      </c>
      <c r="E542" s="10" t="s">
        <v>1288</v>
      </c>
      <c r="F542" s="9" t="s">
        <v>261</v>
      </c>
      <c r="G542" s="9" t="s">
        <v>924</v>
      </c>
      <c r="H542" s="12">
        <v>450</v>
      </c>
      <c r="I542" s="12">
        <v>3280</v>
      </c>
      <c r="J542" s="13">
        <v>0</v>
      </c>
      <c r="K542" s="13">
        <v>0</v>
      </c>
      <c r="L542" s="13">
        <v>1362</v>
      </c>
      <c r="M542" s="13">
        <v>1050</v>
      </c>
      <c r="N542" s="13">
        <v>1210</v>
      </c>
      <c r="O542" s="13">
        <v>1340</v>
      </c>
      <c r="P542" s="13">
        <v>980</v>
      </c>
      <c r="Q542" s="13">
        <v>1160</v>
      </c>
      <c r="R542" s="13">
        <v>1520</v>
      </c>
      <c r="S542" s="13">
        <v>1680</v>
      </c>
      <c r="T542" s="13">
        <v>1450</v>
      </c>
      <c r="U542" s="13">
        <v>1340</v>
      </c>
      <c r="V542" s="13">
        <v>2220</v>
      </c>
      <c r="W542" s="13">
        <v>2050</v>
      </c>
      <c r="X542" s="13">
        <v>2040</v>
      </c>
      <c r="Y542" s="13">
        <v>1720</v>
      </c>
      <c r="Z542" s="13">
        <v>0</v>
      </c>
      <c r="AA542" s="13">
        <v>920</v>
      </c>
      <c r="AB542" s="13">
        <v>2070</v>
      </c>
      <c r="AC542" s="13">
        <v>2020</v>
      </c>
      <c r="AD542" s="13">
        <v>1980</v>
      </c>
    </row>
    <row r="543" spans="1:30" ht="15.75" thickBot="1" x14ac:dyDescent="0.3">
      <c r="A543" s="9" t="s">
        <v>1082</v>
      </c>
      <c r="B543" s="9" t="s">
        <v>1248</v>
      </c>
      <c r="C543" s="45" t="str">
        <f t="shared" si="8"/>
        <v>DETE41041B</v>
      </c>
      <c r="D543" s="10" t="s">
        <v>1292</v>
      </c>
      <c r="E543" s="10" t="s">
        <v>1290</v>
      </c>
      <c r="F543" s="9" t="s">
        <v>261</v>
      </c>
      <c r="G543" s="9" t="s">
        <v>924</v>
      </c>
      <c r="H543" s="12">
        <v>450</v>
      </c>
      <c r="I543" s="12">
        <v>2275</v>
      </c>
      <c r="J543" s="13">
        <v>0</v>
      </c>
      <c r="K543" s="13">
        <v>0</v>
      </c>
      <c r="L543" s="13">
        <v>1362</v>
      </c>
      <c r="M543" s="13">
        <v>1050</v>
      </c>
      <c r="N543" s="13">
        <v>1210</v>
      </c>
      <c r="O543" s="13">
        <v>1340</v>
      </c>
      <c r="P543" s="13">
        <v>980</v>
      </c>
      <c r="Q543" s="13">
        <v>1160</v>
      </c>
      <c r="R543" s="13">
        <v>1520</v>
      </c>
      <c r="S543" s="13">
        <v>1680</v>
      </c>
      <c r="T543" s="13">
        <v>1450</v>
      </c>
      <c r="U543" s="13">
        <v>1340</v>
      </c>
      <c r="V543" s="13">
        <v>2220</v>
      </c>
      <c r="W543" s="13">
        <v>2050</v>
      </c>
      <c r="X543" s="13">
        <v>2040</v>
      </c>
      <c r="Y543" s="13">
        <v>1720</v>
      </c>
      <c r="Z543" s="13">
        <v>0</v>
      </c>
      <c r="AA543" s="13">
        <v>920</v>
      </c>
      <c r="AB543" s="13">
        <v>2070</v>
      </c>
      <c r="AC543" s="13">
        <v>2020</v>
      </c>
      <c r="AD543" s="13">
        <v>1980</v>
      </c>
    </row>
    <row r="544" spans="1:30" ht="15.75" thickBot="1" x14ac:dyDescent="0.3">
      <c r="A544" s="9" t="s">
        <v>1082</v>
      </c>
      <c r="B544" s="9" t="s">
        <v>1248</v>
      </c>
      <c r="C544" s="45" t="str">
        <f t="shared" si="8"/>
        <v>DETE41058A</v>
      </c>
      <c r="D544" s="10" t="s">
        <v>1293</v>
      </c>
      <c r="E544" s="10" t="s">
        <v>1294</v>
      </c>
      <c r="F544" s="9" t="s">
        <v>261</v>
      </c>
      <c r="G544" s="9" t="s">
        <v>924</v>
      </c>
      <c r="H544" s="12">
        <v>450</v>
      </c>
      <c r="I544" s="8"/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22</v>
      </c>
      <c r="T544" s="13">
        <v>88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</row>
    <row r="545" spans="1:30" ht="15.75" thickBot="1" x14ac:dyDescent="0.3">
      <c r="A545" s="9" t="s">
        <v>1082</v>
      </c>
      <c r="B545" s="9" t="s">
        <v>1248</v>
      </c>
      <c r="C545" s="45" t="str">
        <f t="shared" si="8"/>
        <v>DETE41058AB</v>
      </c>
      <c r="D545" s="10" t="s">
        <v>1295</v>
      </c>
      <c r="E545" s="10" t="s">
        <v>1294</v>
      </c>
      <c r="F545" s="9" t="s">
        <v>261</v>
      </c>
      <c r="G545" s="9" t="s">
        <v>924</v>
      </c>
      <c r="H545" s="12">
        <v>450</v>
      </c>
      <c r="I545" s="12">
        <v>2503</v>
      </c>
      <c r="J545" s="13">
        <v>0</v>
      </c>
      <c r="K545" s="13">
        <v>0</v>
      </c>
      <c r="L545" s="13">
        <v>348</v>
      </c>
      <c r="M545" s="13">
        <v>988</v>
      </c>
      <c r="N545" s="13">
        <v>1144</v>
      </c>
      <c r="O545" s="13">
        <v>1364</v>
      </c>
      <c r="P545" s="13">
        <v>1432</v>
      </c>
      <c r="Q545" s="13">
        <v>988</v>
      </c>
      <c r="R545" s="13">
        <v>1048</v>
      </c>
      <c r="S545" s="13">
        <v>1500</v>
      </c>
      <c r="T545" s="13">
        <v>1580</v>
      </c>
      <c r="U545" s="13">
        <v>1484</v>
      </c>
      <c r="V545" s="13">
        <v>1292</v>
      </c>
      <c r="W545" s="13">
        <v>2064</v>
      </c>
      <c r="X545" s="13">
        <v>2004</v>
      </c>
      <c r="Y545" s="13">
        <v>1980</v>
      </c>
      <c r="Z545" s="13">
        <v>2480</v>
      </c>
      <c r="AA545" s="13">
        <v>0</v>
      </c>
      <c r="AB545" s="13">
        <v>408</v>
      </c>
      <c r="AC545" s="13">
        <v>2056</v>
      </c>
      <c r="AD545" s="13">
        <v>2076</v>
      </c>
    </row>
    <row r="546" spans="1:30" ht="15.75" thickBot="1" x14ac:dyDescent="0.3">
      <c r="A546" s="9" t="s">
        <v>1082</v>
      </c>
      <c r="B546" s="9" t="s">
        <v>1248</v>
      </c>
      <c r="C546" s="45" t="str">
        <f t="shared" si="8"/>
        <v>DETE41059A</v>
      </c>
      <c r="D546" s="10" t="s">
        <v>1296</v>
      </c>
      <c r="E546" s="10" t="s">
        <v>1294</v>
      </c>
      <c r="F546" s="9" t="s">
        <v>261</v>
      </c>
      <c r="G546" s="9" t="s">
        <v>924</v>
      </c>
      <c r="H546" s="12">
        <v>450</v>
      </c>
      <c r="I546" s="8"/>
      <c r="J546" s="13">
        <v>0</v>
      </c>
      <c r="K546" s="13">
        <v>0</v>
      </c>
      <c r="L546" s="13">
        <v>0</v>
      </c>
      <c r="M546" s="13">
        <v>0</v>
      </c>
      <c r="N546" s="13">
        <v>0</v>
      </c>
      <c r="O546" s="13">
        <v>0</v>
      </c>
      <c r="P546" s="13">
        <v>0</v>
      </c>
      <c r="Q546" s="13">
        <v>0</v>
      </c>
      <c r="R546" s="13">
        <v>0</v>
      </c>
      <c r="S546" s="13">
        <v>22</v>
      </c>
      <c r="T546" s="13">
        <v>88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</row>
    <row r="547" spans="1:30" ht="15.75" thickBot="1" x14ac:dyDescent="0.3">
      <c r="A547" s="9" t="s">
        <v>1082</v>
      </c>
      <c r="B547" s="9" t="s">
        <v>1248</v>
      </c>
      <c r="C547" s="45" t="str">
        <f t="shared" si="8"/>
        <v>DETE41059AB</v>
      </c>
      <c r="D547" s="10" t="s">
        <v>1297</v>
      </c>
      <c r="E547" s="10" t="s">
        <v>1294</v>
      </c>
      <c r="F547" s="9" t="s">
        <v>261</v>
      </c>
      <c r="G547" s="9" t="s">
        <v>924</v>
      </c>
      <c r="H547" s="12">
        <v>450</v>
      </c>
      <c r="I547" s="12">
        <v>3171</v>
      </c>
      <c r="J547" s="13">
        <v>0</v>
      </c>
      <c r="K547" s="13">
        <v>0</v>
      </c>
      <c r="L547" s="13">
        <v>348</v>
      </c>
      <c r="M547" s="13">
        <v>988</v>
      </c>
      <c r="N547" s="13">
        <v>1144</v>
      </c>
      <c r="O547" s="13">
        <v>1364</v>
      </c>
      <c r="P547" s="13">
        <v>1432</v>
      </c>
      <c r="Q547" s="13">
        <v>988</v>
      </c>
      <c r="R547" s="13">
        <v>1048</v>
      </c>
      <c r="S547" s="13">
        <v>1500</v>
      </c>
      <c r="T547" s="13">
        <v>1580</v>
      </c>
      <c r="U547" s="13">
        <v>1484</v>
      </c>
      <c r="V547" s="13">
        <v>1292</v>
      </c>
      <c r="W547" s="13">
        <v>2064</v>
      </c>
      <c r="X547" s="13">
        <v>2004</v>
      </c>
      <c r="Y547" s="13">
        <v>1980</v>
      </c>
      <c r="Z547" s="13">
        <v>2480</v>
      </c>
      <c r="AA547" s="13">
        <v>0</v>
      </c>
      <c r="AB547" s="13">
        <v>408</v>
      </c>
      <c r="AC547" s="13">
        <v>2056</v>
      </c>
      <c r="AD547" s="13">
        <v>2076</v>
      </c>
    </row>
    <row r="548" spans="1:30" ht="15.75" thickBot="1" x14ac:dyDescent="0.3">
      <c r="A548" s="9" t="s">
        <v>1082</v>
      </c>
      <c r="B548" s="9" t="s">
        <v>1248</v>
      </c>
      <c r="C548" s="45" t="str">
        <f t="shared" si="8"/>
        <v>DETE502P34A</v>
      </c>
      <c r="D548" s="10" t="s">
        <v>1298</v>
      </c>
      <c r="E548" s="10" t="s">
        <v>1299</v>
      </c>
      <c r="F548" s="9" t="s">
        <v>261</v>
      </c>
      <c r="G548" s="9" t="s">
        <v>924</v>
      </c>
      <c r="H548" s="12">
        <v>650</v>
      </c>
      <c r="I548" s="12">
        <v>71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58</v>
      </c>
      <c r="S548" s="13">
        <v>240</v>
      </c>
      <c r="T548" s="13">
        <v>240</v>
      </c>
      <c r="U548" s="13">
        <v>120</v>
      </c>
      <c r="V548" s="13">
        <v>300</v>
      </c>
      <c r="W548" s="13">
        <v>300</v>
      </c>
      <c r="X548" s="13">
        <v>300</v>
      </c>
      <c r="Y548" s="13">
        <v>360</v>
      </c>
      <c r="Z548" s="13">
        <v>0</v>
      </c>
      <c r="AA548" s="13">
        <v>60</v>
      </c>
      <c r="AB548" s="13">
        <v>300</v>
      </c>
      <c r="AC548" s="13">
        <v>300</v>
      </c>
      <c r="AD548" s="13">
        <v>300</v>
      </c>
    </row>
    <row r="549" spans="1:30" ht="15.75" thickBot="1" x14ac:dyDescent="0.3">
      <c r="A549" s="9" t="s">
        <v>1082</v>
      </c>
      <c r="B549" s="9" t="s">
        <v>1248</v>
      </c>
      <c r="C549" s="45" t="str">
        <f t="shared" si="8"/>
        <v>DETS109A26OS</v>
      </c>
      <c r="D549" s="10" t="s">
        <v>1300</v>
      </c>
      <c r="E549" s="10" t="s">
        <v>1301</v>
      </c>
      <c r="F549" s="9" t="s">
        <v>364</v>
      </c>
      <c r="G549" s="9" t="s">
        <v>924</v>
      </c>
      <c r="H549" s="12">
        <v>450</v>
      </c>
      <c r="I549" s="12">
        <v>2973</v>
      </c>
      <c r="J549" s="13">
        <v>4961</v>
      </c>
      <c r="K549" s="13">
        <v>1914</v>
      </c>
      <c r="L549" s="13">
        <v>1386</v>
      </c>
      <c r="M549" s="13">
        <v>2244</v>
      </c>
      <c r="N549" s="13">
        <v>2376</v>
      </c>
      <c r="O549" s="13">
        <v>4158</v>
      </c>
      <c r="P549" s="13">
        <v>0</v>
      </c>
      <c r="Q549" s="13">
        <v>1914</v>
      </c>
      <c r="R549" s="13">
        <v>2244</v>
      </c>
      <c r="S549" s="13">
        <v>1716</v>
      </c>
      <c r="T549" s="13">
        <v>2706</v>
      </c>
      <c r="U549" s="13">
        <v>528</v>
      </c>
      <c r="V549" s="13">
        <v>330</v>
      </c>
      <c r="W549" s="13">
        <v>1650</v>
      </c>
      <c r="X549" s="13">
        <v>2112</v>
      </c>
      <c r="Y549" s="13">
        <v>1848</v>
      </c>
      <c r="Z549" s="13">
        <v>3432</v>
      </c>
      <c r="AA549" s="13">
        <v>132</v>
      </c>
      <c r="AB549" s="13">
        <v>1716</v>
      </c>
      <c r="AC549" s="13">
        <v>2046</v>
      </c>
      <c r="AD549" s="13">
        <v>1980</v>
      </c>
    </row>
    <row r="550" spans="1:30" ht="15.75" thickBot="1" x14ac:dyDescent="0.3">
      <c r="A550" s="9" t="s">
        <v>1082</v>
      </c>
      <c r="B550" s="9" t="s">
        <v>1248</v>
      </c>
      <c r="C550" s="45" t="str">
        <f t="shared" si="8"/>
        <v>DETS67110</v>
      </c>
      <c r="D550" s="10" t="s">
        <v>1302</v>
      </c>
      <c r="E550" s="10" t="s">
        <v>1303</v>
      </c>
      <c r="F550" s="9" t="s">
        <v>364</v>
      </c>
      <c r="G550" s="9" t="s">
        <v>924</v>
      </c>
      <c r="H550" s="12">
        <v>450</v>
      </c>
      <c r="I550" s="12">
        <v>5536</v>
      </c>
      <c r="J550" s="13">
        <v>0</v>
      </c>
      <c r="K550" s="13">
        <v>0</v>
      </c>
      <c r="L550" s="13">
        <v>2724</v>
      </c>
      <c r="M550" s="13">
        <v>3462</v>
      </c>
      <c r="N550" s="13">
        <v>3085</v>
      </c>
      <c r="O550" s="13">
        <v>3611</v>
      </c>
      <c r="P550" s="13">
        <v>4252</v>
      </c>
      <c r="Q550" s="13">
        <v>3200</v>
      </c>
      <c r="R550" s="13">
        <v>3463</v>
      </c>
      <c r="S550" s="13">
        <v>4554</v>
      </c>
      <c r="T550" s="13">
        <v>4742</v>
      </c>
      <c r="U550" s="13">
        <v>4363</v>
      </c>
      <c r="V550" s="13">
        <v>2632</v>
      </c>
      <c r="W550" s="13">
        <v>4215</v>
      </c>
      <c r="X550" s="13">
        <v>4252</v>
      </c>
      <c r="Y550" s="13">
        <v>3651</v>
      </c>
      <c r="Z550" s="13">
        <v>4364</v>
      </c>
      <c r="AA550" s="13">
        <v>75</v>
      </c>
      <c r="AB550" s="13">
        <v>1128</v>
      </c>
      <c r="AC550" s="13">
        <v>4102</v>
      </c>
      <c r="AD550" s="13">
        <v>3912</v>
      </c>
    </row>
    <row r="551" spans="1:30" ht="15.75" thickBot="1" x14ac:dyDescent="0.3">
      <c r="A551" s="9" t="s">
        <v>1082</v>
      </c>
      <c r="B551" s="9" t="s">
        <v>1248</v>
      </c>
      <c r="C551" s="45" t="str">
        <f t="shared" si="8"/>
        <v>DETS67111</v>
      </c>
      <c r="D551" s="10" t="s">
        <v>1304</v>
      </c>
      <c r="E551" s="10" t="s">
        <v>1305</v>
      </c>
      <c r="F551" s="9" t="s">
        <v>364</v>
      </c>
      <c r="G551" s="9" t="s">
        <v>924</v>
      </c>
      <c r="H551" s="12">
        <v>450</v>
      </c>
      <c r="I551" s="12">
        <v>4263</v>
      </c>
      <c r="J551" s="13">
        <v>0</v>
      </c>
      <c r="K551" s="13">
        <v>0</v>
      </c>
      <c r="L551" s="13">
        <v>2724</v>
      </c>
      <c r="M551" s="13">
        <v>3462</v>
      </c>
      <c r="N551" s="13">
        <v>3085</v>
      </c>
      <c r="O551" s="13">
        <v>3611</v>
      </c>
      <c r="P551" s="13">
        <v>4252</v>
      </c>
      <c r="Q551" s="13">
        <v>3200</v>
      </c>
      <c r="R551" s="13">
        <v>3463</v>
      </c>
      <c r="S551" s="13">
        <v>4554</v>
      </c>
      <c r="T551" s="13">
        <v>4742</v>
      </c>
      <c r="U551" s="13">
        <v>4363</v>
      </c>
      <c r="V551" s="13">
        <v>2632</v>
      </c>
      <c r="W551" s="13">
        <v>4215</v>
      </c>
      <c r="X551" s="13">
        <v>4252</v>
      </c>
      <c r="Y551" s="13">
        <v>3651</v>
      </c>
      <c r="Z551" s="13">
        <v>4364</v>
      </c>
      <c r="AA551" s="13">
        <v>75</v>
      </c>
      <c r="AB551" s="13">
        <v>1128</v>
      </c>
      <c r="AC551" s="13">
        <v>4102</v>
      </c>
      <c r="AD551" s="13">
        <v>3912</v>
      </c>
    </row>
    <row r="552" spans="1:30" ht="15.75" thickBot="1" x14ac:dyDescent="0.3">
      <c r="A552" s="9" t="s">
        <v>1082</v>
      </c>
      <c r="B552" s="9" t="s">
        <v>1248</v>
      </c>
      <c r="C552" s="45" t="str">
        <f t="shared" si="8"/>
        <v>DETX67110</v>
      </c>
      <c r="D552" s="10" t="s">
        <v>1306</v>
      </c>
      <c r="E552" s="10" t="s">
        <v>1303</v>
      </c>
      <c r="F552" s="9" t="s">
        <v>364</v>
      </c>
      <c r="G552" s="9" t="s">
        <v>924</v>
      </c>
      <c r="H552" s="12">
        <v>450</v>
      </c>
      <c r="I552" s="12">
        <v>1552</v>
      </c>
      <c r="J552" s="13">
        <v>0</v>
      </c>
      <c r="K552" s="13">
        <v>0</v>
      </c>
      <c r="L552" s="13">
        <v>0</v>
      </c>
      <c r="M552" s="13">
        <v>0</v>
      </c>
      <c r="N552" s="13">
        <v>0</v>
      </c>
      <c r="O552" s="13">
        <v>0</v>
      </c>
      <c r="P552" s="13">
        <v>0</v>
      </c>
      <c r="Q552" s="13">
        <v>20</v>
      </c>
      <c r="R552" s="13">
        <v>108</v>
      </c>
      <c r="S552" s="13">
        <v>180</v>
      </c>
      <c r="T552" s="13">
        <v>180</v>
      </c>
      <c r="U552" s="13">
        <v>162</v>
      </c>
      <c r="V552" s="13">
        <v>108</v>
      </c>
      <c r="W552" s="13">
        <v>180</v>
      </c>
      <c r="X552" s="13">
        <v>162</v>
      </c>
      <c r="Y552" s="13">
        <v>126</v>
      </c>
      <c r="Z552" s="13">
        <v>216</v>
      </c>
      <c r="AA552" s="13">
        <v>0</v>
      </c>
      <c r="AB552" s="13">
        <v>36</v>
      </c>
      <c r="AC552" s="13">
        <v>162</v>
      </c>
      <c r="AD552" s="13">
        <v>108</v>
      </c>
    </row>
    <row r="553" spans="1:30" ht="15.75" thickBot="1" x14ac:dyDescent="0.3">
      <c r="A553" s="9" t="s">
        <v>1082</v>
      </c>
      <c r="B553" s="9" t="s">
        <v>1248</v>
      </c>
      <c r="C553" s="45" t="str">
        <f t="shared" si="8"/>
        <v>DETX67111</v>
      </c>
      <c r="D553" s="10" t="s">
        <v>1307</v>
      </c>
      <c r="E553" s="10" t="s">
        <v>1308</v>
      </c>
      <c r="F553" s="9" t="s">
        <v>364</v>
      </c>
      <c r="G553" s="9" t="s">
        <v>924</v>
      </c>
      <c r="H553" s="12">
        <v>450</v>
      </c>
      <c r="I553" s="12">
        <v>59</v>
      </c>
      <c r="J553" s="13">
        <v>0</v>
      </c>
      <c r="K553" s="13">
        <v>0</v>
      </c>
      <c r="L553" s="13">
        <v>0</v>
      </c>
      <c r="M553" s="13">
        <v>0</v>
      </c>
      <c r="N553" s="13">
        <v>0</v>
      </c>
      <c r="O553" s="13">
        <v>0</v>
      </c>
      <c r="P553" s="13">
        <v>0</v>
      </c>
      <c r="Q553" s="13">
        <v>20</v>
      </c>
      <c r="R553" s="13">
        <v>108</v>
      </c>
      <c r="S553" s="13">
        <v>180</v>
      </c>
      <c r="T553" s="13">
        <v>180</v>
      </c>
      <c r="U553" s="13">
        <v>162</v>
      </c>
      <c r="V553" s="13">
        <v>108</v>
      </c>
      <c r="W553" s="13">
        <v>180</v>
      </c>
      <c r="X553" s="13">
        <v>162</v>
      </c>
      <c r="Y553" s="13">
        <v>126</v>
      </c>
      <c r="Z553" s="13">
        <v>216</v>
      </c>
      <c r="AA553" s="13">
        <v>0</v>
      </c>
      <c r="AB553" s="13">
        <v>36</v>
      </c>
      <c r="AC553" s="13">
        <v>162</v>
      </c>
      <c r="AD553" s="13">
        <v>108</v>
      </c>
    </row>
    <row r="554" spans="1:30" ht="15.75" thickBot="1" x14ac:dyDescent="0.3">
      <c r="A554" s="9" t="s">
        <v>1082</v>
      </c>
      <c r="B554" s="9" t="s">
        <v>1248</v>
      </c>
      <c r="C554" s="45" t="str">
        <f t="shared" si="8"/>
        <v>N1WB E03410 AA</v>
      </c>
      <c r="D554" s="10" t="s">
        <v>1309</v>
      </c>
      <c r="E554" s="10" t="s">
        <v>1310</v>
      </c>
      <c r="F554" s="9" t="s">
        <v>261</v>
      </c>
      <c r="G554" s="9" t="s">
        <v>924</v>
      </c>
      <c r="H554" s="12">
        <v>550</v>
      </c>
      <c r="I554" s="12">
        <v>3195</v>
      </c>
      <c r="J554" s="13">
        <v>0</v>
      </c>
      <c r="K554" s="13">
        <v>0</v>
      </c>
      <c r="L554" s="13">
        <v>31</v>
      </c>
      <c r="M554" s="13">
        <v>1008</v>
      </c>
      <c r="N554" s="13">
        <v>1075</v>
      </c>
      <c r="O554" s="13">
        <v>1344</v>
      </c>
      <c r="P554" s="13">
        <v>1277</v>
      </c>
      <c r="Q554" s="13">
        <v>1008</v>
      </c>
      <c r="R554" s="13">
        <v>1142</v>
      </c>
      <c r="S554" s="13">
        <v>1613</v>
      </c>
      <c r="T554" s="13">
        <v>1411</v>
      </c>
      <c r="U554" s="13">
        <v>1546</v>
      </c>
      <c r="V554" s="13">
        <v>1210</v>
      </c>
      <c r="W554" s="13">
        <v>2083</v>
      </c>
      <c r="X554" s="13">
        <v>2217</v>
      </c>
      <c r="Y554" s="13">
        <v>1949</v>
      </c>
      <c r="Z554" s="13">
        <v>2419</v>
      </c>
      <c r="AA554" s="13">
        <v>0</v>
      </c>
      <c r="AB554" s="13">
        <v>404</v>
      </c>
      <c r="AC554" s="13">
        <v>2016</v>
      </c>
      <c r="AD554" s="13">
        <v>2016</v>
      </c>
    </row>
    <row r="555" spans="1:30" ht="15.75" thickBot="1" x14ac:dyDescent="0.3">
      <c r="A555" s="9" t="s">
        <v>1082</v>
      </c>
      <c r="B555" s="9" t="s">
        <v>1248</v>
      </c>
      <c r="C555" s="45" t="str">
        <f t="shared" si="8"/>
        <v>N1WB E22868 CB</v>
      </c>
      <c r="D555" s="10" t="s">
        <v>1311</v>
      </c>
      <c r="E555" s="10" t="s">
        <v>1312</v>
      </c>
      <c r="F555" s="9" t="s">
        <v>261</v>
      </c>
      <c r="G555" s="9" t="s">
        <v>924</v>
      </c>
      <c r="H555" s="12">
        <v>450</v>
      </c>
      <c r="I555" s="12">
        <v>3690</v>
      </c>
      <c r="J555" s="13">
        <v>0</v>
      </c>
      <c r="K555" s="13">
        <v>0</v>
      </c>
      <c r="L555" s="13">
        <v>630</v>
      </c>
      <c r="M555" s="13">
        <v>1440</v>
      </c>
      <c r="N555" s="13">
        <v>720</v>
      </c>
      <c r="O555" s="13">
        <v>1440</v>
      </c>
      <c r="P555" s="13">
        <v>1080</v>
      </c>
      <c r="Q555" s="13">
        <v>1080</v>
      </c>
      <c r="R555" s="13">
        <v>1440</v>
      </c>
      <c r="S555" s="13">
        <v>1800</v>
      </c>
      <c r="T555" s="13">
        <v>1440</v>
      </c>
      <c r="U555" s="13">
        <v>1080</v>
      </c>
      <c r="V555" s="13">
        <v>2160</v>
      </c>
      <c r="W555" s="13">
        <v>2160</v>
      </c>
      <c r="X555" s="13">
        <v>1800</v>
      </c>
      <c r="Y555" s="13">
        <v>2520</v>
      </c>
      <c r="Z555" s="13">
        <v>0</v>
      </c>
      <c r="AA555" s="13">
        <v>360</v>
      </c>
      <c r="AB555" s="13">
        <v>2160</v>
      </c>
      <c r="AC555" s="13">
        <v>2160</v>
      </c>
      <c r="AD555" s="13">
        <v>1800</v>
      </c>
    </row>
    <row r="556" spans="1:30" ht="15.75" thickBot="1" x14ac:dyDescent="0.3">
      <c r="A556" s="9" t="s">
        <v>1082</v>
      </c>
      <c r="B556" s="9" t="s">
        <v>1248</v>
      </c>
      <c r="C556" s="45" t="str">
        <f t="shared" si="8"/>
        <v>N1WB E22869 CB</v>
      </c>
      <c r="D556" s="10" t="s">
        <v>1313</v>
      </c>
      <c r="E556" s="10" t="s">
        <v>1312</v>
      </c>
      <c r="F556" s="9" t="s">
        <v>261</v>
      </c>
      <c r="G556" s="9" t="s">
        <v>924</v>
      </c>
      <c r="H556" s="12">
        <v>450</v>
      </c>
      <c r="I556" s="12">
        <v>5555</v>
      </c>
      <c r="J556" s="13">
        <v>0</v>
      </c>
      <c r="K556" s="13">
        <v>0</v>
      </c>
      <c r="L556" s="13">
        <v>630</v>
      </c>
      <c r="M556" s="13">
        <v>1440</v>
      </c>
      <c r="N556" s="13">
        <v>720</v>
      </c>
      <c r="O556" s="13">
        <v>1440</v>
      </c>
      <c r="P556" s="13">
        <v>1080</v>
      </c>
      <c r="Q556" s="13">
        <v>1080</v>
      </c>
      <c r="R556" s="13">
        <v>1440</v>
      </c>
      <c r="S556" s="13">
        <v>1800</v>
      </c>
      <c r="T556" s="13">
        <v>1440</v>
      </c>
      <c r="U556" s="13">
        <v>1080</v>
      </c>
      <c r="V556" s="13">
        <v>2160</v>
      </c>
      <c r="W556" s="13">
        <v>2160</v>
      </c>
      <c r="X556" s="13">
        <v>1800</v>
      </c>
      <c r="Y556" s="13">
        <v>2520</v>
      </c>
      <c r="Z556" s="13">
        <v>0</v>
      </c>
      <c r="AA556" s="13">
        <v>360</v>
      </c>
      <c r="AB556" s="13">
        <v>2160</v>
      </c>
      <c r="AC556" s="13">
        <v>2160</v>
      </c>
      <c r="AD556" s="13">
        <v>1800</v>
      </c>
    </row>
    <row r="557" spans="1:30" ht="15.75" thickBot="1" x14ac:dyDescent="0.3">
      <c r="A557" s="9" t="s">
        <v>1082</v>
      </c>
      <c r="B557" s="9" t="s">
        <v>1248</v>
      </c>
      <c r="C557" s="45" t="str">
        <f t="shared" si="8"/>
        <v>N1WB E268A04 CB</v>
      </c>
      <c r="D557" s="10" t="s">
        <v>1314</v>
      </c>
      <c r="E557" s="10" t="s">
        <v>1315</v>
      </c>
      <c r="F557" s="9" t="s">
        <v>261</v>
      </c>
      <c r="G557" s="9" t="s">
        <v>924</v>
      </c>
      <c r="H557" s="12">
        <v>450</v>
      </c>
      <c r="I557" s="12">
        <v>1202</v>
      </c>
      <c r="J557" s="13">
        <v>0</v>
      </c>
      <c r="K557" s="13">
        <v>0</v>
      </c>
      <c r="L557" s="13">
        <v>2398</v>
      </c>
      <c r="M557" s="13">
        <v>1200</v>
      </c>
      <c r="N557" s="13">
        <v>900</v>
      </c>
      <c r="O557" s="13">
        <v>1500</v>
      </c>
      <c r="P557" s="13">
        <v>1200</v>
      </c>
      <c r="Q557" s="13">
        <v>900</v>
      </c>
      <c r="R557" s="13">
        <v>1500</v>
      </c>
      <c r="S557" s="13">
        <v>1500</v>
      </c>
      <c r="T557" s="13">
        <v>1800</v>
      </c>
      <c r="U557" s="13">
        <v>900</v>
      </c>
      <c r="V557" s="13">
        <v>2100</v>
      </c>
      <c r="W557" s="13">
        <v>2400</v>
      </c>
      <c r="X557" s="13">
        <v>1200</v>
      </c>
      <c r="Y557" s="13">
        <v>3300</v>
      </c>
      <c r="Z557" s="13">
        <v>0</v>
      </c>
      <c r="AA557" s="13">
        <v>0</v>
      </c>
      <c r="AB557" s="13">
        <v>2100</v>
      </c>
      <c r="AC557" s="13">
        <v>2100</v>
      </c>
      <c r="AD557" s="13">
        <v>1800</v>
      </c>
    </row>
    <row r="558" spans="1:30" ht="15.75" thickBot="1" x14ac:dyDescent="0.3">
      <c r="A558" s="9" t="s">
        <v>1082</v>
      </c>
      <c r="B558" s="9" t="s">
        <v>1248</v>
      </c>
      <c r="C558" s="45" t="str">
        <f t="shared" si="8"/>
        <v>N1WB E268A05 CB</v>
      </c>
      <c r="D558" s="10" t="s">
        <v>1316</v>
      </c>
      <c r="E558" s="10" t="s">
        <v>1315</v>
      </c>
      <c r="F558" s="9" t="s">
        <v>261</v>
      </c>
      <c r="G558" s="9" t="s">
        <v>924</v>
      </c>
      <c r="H558" s="12">
        <v>450</v>
      </c>
      <c r="I558" s="12">
        <v>1760</v>
      </c>
      <c r="J558" s="13">
        <v>0</v>
      </c>
      <c r="K558" s="13">
        <v>0</v>
      </c>
      <c r="L558" s="13">
        <v>2398</v>
      </c>
      <c r="M558" s="13">
        <v>1200</v>
      </c>
      <c r="N558" s="13">
        <v>900</v>
      </c>
      <c r="O558" s="13">
        <v>1500</v>
      </c>
      <c r="P558" s="13">
        <v>1200</v>
      </c>
      <c r="Q558" s="13">
        <v>900</v>
      </c>
      <c r="R558" s="13">
        <v>1500</v>
      </c>
      <c r="S558" s="13">
        <v>1500</v>
      </c>
      <c r="T558" s="13">
        <v>1800</v>
      </c>
      <c r="U558" s="13">
        <v>900</v>
      </c>
      <c r="V558" s="13">
        <v>2100</v>
      </c>
      <c r="W558" s="13">
        <v>2400</v>
      </c>
      <c r="X558" s="13">
        <v>1200</v>
      </c>
      <c r="Y558" s="13">
        <v>3300</v>
      </c>
      <c r="Z558" s="13">
        <v>0</v>
      </c>
      <c r="AA558" s="13">
        <v>0</v>
      </c>
      <c r="AB558" s="13">
        <v>2100</v>
      </c>
      <c r="AC558" s="13">
        <v>2100</v>
      </c>
      <c r="AD558" s="13">
        <v>1800</v>
      </c>
    </row>
    <row r="559" spans="1:30" ht="15.75" thickBot="1" x14ac:dyDescent="0.3">
      <c r="A559" s="9" t="s">
        <v>1082</v>
      </c>
      <c r="B559" s="9" t="s">
        <v>1248</v>
      </c>
      <c r="C559" s="45" t="str">
        <f t="shared" si="8"/>
        <v>PC30188E</v>
      </c>
      <c r="D559" s="10" t="s">
        <v>1317</v>
      </c>
      <c r="E559" s="10" t="s">
        <v>1318</v>
      </c>
      <c r="F559" s="9" t="s">
        <v>1117</v>
      </c>
      <c r="G559" s="9" t="s">
        <v>924</v>
      </c>
      <c r="H559" s="12">
        <v>440</v>
      </c>
      <c r="I559" s="12">
        <v>8060</v>
      </c>
      <c r="J559" s="13">
        <v>0</v>
      </c>
      <c r="K559" s="13">
        <v>0</v>
      </c>
      <c r="L559" s="13">
        <v>598</v>
      </c>
      <c r="M559" s="13">
        <v>2142</v>
      </c>
      <c r="N559" s="13">
        <v>2400</v>
      </c>
      <c r="O559" s="13">
        <v>2800</v>
      </c>
      <c r="P559" s="13">
        <v>2800</v>
      </c>
      <c r="Q559" s="13">
        <v>2800</v>
      </c>
      <c r="R559" s="13">
        <v>2658</v>
      </c>
      <c r="S559" s="13">
        <v>2542</v>
      </c>
      <c r="T559" s="13">
        <v>2800</v>
      </c>
      <c r="U559" s="13">
        <v>1858</v>
      </c>
      <c r="V559" s="13">
        <v>2542</v>
      </c>
      <c r="W559" s="13">
        <v>2258</v>
      </c>
      <c r="X559" s="13">
        <v>2000</v>
      </c>
      <c r="Y559" s="13">
        <v>3342</v>
      </c>
      <c r="Z559" s="13">
        <v>2000</v>
      </c>
      <c r="AA559" s="13">
        <v>0</v>
      </c>
      <c r="AB559" s="13">
        <v>2400</v>
      </c>
      <c r="AC559" s="13">
        <v>2258</v>
      </c>
      <c r="AD559" s="13">
        <v>2942</v>
      </c>
    </row>
    <row r="560" spans="1:30" ht="15.75" thickBot="1" x14ac:dyDescent="0.3">
      <c r="A560" s="9" t="s">
        <v>1082</v>
      </c>
      <c r="B560" s="9" t="s">
        <v>1248</v>
      </c>
      <c r="C560" s="45" t="str">
        <f t="shared" si="8"/>
        <v>PC30189E</v>
      </c>
      <c r="D560" s="10" t="s">
        <v>1319</v>
      </c>
      <c r="E560" s="10" t="s">
        <v>1320</v>
      </c>
      <c r="F560" s="9" t="s">
        <v>1117</v>
      </c>
      <c r="G560" s="9" t="s">
        <v>924</v>
      </c>
      <c r="H560" s="12">
        <v>440</v>
      </c>
      <c r="I560" s="12">
        <v>8202</v>
      </c>
      <c r="J560" s="13">
        <v>0</v>
      </c>
      <c r="K560" s="13">
        <v>0</v>
      </c>
      <c r="L560" s="13">
        <v>598</v>
      </c>
      <c r="M560" s="13">
        <v>2142</v>
      </c>
      <c r="N560" s="13">
        <v>2400</v>
      </c>
      <c r="O560" s="13">
        <v>2800</v>
      </c>
      <c r="P560" s="13">
        <v>2800</v>
      </c>
      <c r="Q560" s="13">
        <v>2800</v>
      </c>
      <c r="R560" s="13">
        <v>2658</v>
      </c>
      <c r="S560" s="13">
        <v>2542</v>
      </c>
      <c r="T560" s="13">
        <v>2800</v>
      </c>
      <c r="U560" s="13">
        <v>1858</v>
      </c>
      <c r="V560" s="13">
        <v>2542</v>
      </c>
      <c r="W560" s="13">
        <v>2258</v>
      </c>
      <c r="X560" s="13">
        <v>2000</v>
      </c>
      <c r="Y560" s="13">
        <v>3342</v>
      </c>
      <c r="Z560" s="13">
        <v>2000</v>
      </c>
      <c r="AA560" s="13">
        <v>0</v>
      </c>
      <c r="AB560" s="13">
        <v>2400</v>
      </c>
      <c r="AC560" s="13">
        <v>2258</v>
      </c>
      <c r="AD560" s="13">
        <v>2942</v>
      </c>
    </row>
    <row r="561" spans="1:30" ht="15.75" thickBot="1" x14ac:dyDescent="0.3">
      <c r="A561" s="9" t="s">
        <v>1082</v>
      </c>
      <c r="B561" s="9" t="s">
        <v>1248</v>
      </c>
      <c r="C561" s="45" t="str">
        <f t="shared" si="8"/>
        <v>PC30466B</v>
      </c>
      <c r="D561" s="10" t="s">
        <v>1321</v>
      </c>
      <c r="E561" s="10" t="s">
        <v>1322</v>
      </c>
      <c r="F561" s="9" t="s">
        <v>1117</v>
      </c>
      <c r="G561" s="9" t="s">
        <v>924</v>
      </c>
      <c r="H561" s="12">
        <v>550</v>
      </c>
      <c r="I561" s="12">
        <v>7019</v>
      </c>
      <c r="J561" s="13">
        <v>0</v>
      </c>
      <c r="K561" s="13">
        <v>0</v>
      </c>
      <c r="L561" s="13">
        <v>2206</v>
      </c>
      <c r="M561" s="13">
        <v>2400</v>
      </c>
      <c r="N561" s="13">
        <v>2400</v>
      </c>
      <c r="O561" s="13">
        <v>2700</v>
      </c>
      <c r="P561" s="13">
        <v>3000</v>
      </c>
      <c r="Q561" s="13">
        <v>2700</v>
      </c>
      <c r="R561" s="13">
        <v>2400</v>
      </c>
      <c r="S561" s="13">
        <v>2700</v>
      </c>
      <c r="T561" s="13">
        <v>3000</v>
      </c>
      <c r="U561" s="13">
        <v>1800</v>
      </c>
      <c r="V561" s="13">
        <v>2400</v>
      </c>
      <c r="W561" s="13">
        <v>2700</v>
      </c>
      <c r="X561" s="13">
        <v>1800</v>
      </c>
      <c r="Y561" s="13">
        <v>3600</v>
      </c>
      <c r="Z561" s="13">
        <v>1800</v>
      </c>
      <c r="AA561" s="13">
        <v>0</v>
      </c>
      <c r="AB561" s="13">
        <v>2700</v>
      </c>
      <c r="AC561" s="13">
        <v>2100</v>
      </c>
      <c r="AD561" s="13">
        <v>2700</v>
      </c>
    </row>
    <row r="562" spans="1:30" ht="15.75" thickBot="1" x14ac:dyDescent="0.3">
      <c r="A562" s="9" t="s">
        <v>1082</v>
      </c>
      <c r="B562" s="9" t="s">
        <v>1248</v>
      </c>
      <c r="C562" s="45" t="str">
        <f t="shared" si="8"/>
        <v>PC30467B</v>
      </c>
      <c r="D562" s="10" t="s">
        <v>1323</v>
      </c>
      <c r="E562" s="10" t="s">
        <v>1324</v>
      </c>
      <c r="F562" s="9" t="s">
        <v>1117</v>
      </c>
      <c r="G562" s="9" t="s">
        <v>924</v>
      </c>
      <c r="H562" s="12">
        <v>550</v>
      </c>
      <c r="I562" s="12">
        <v>6494</v>
      </c>
      <c r="J562" s="13">
        <v>0</v>
      </c>
      <c r="K562" s="13">
        <v>0</v>
      </c>
      <c r="L562" s="13">
        <v>2206</v>
      </c>
      <c r="M562" s="13">
        <v>2400</v>
      </c>
      <c r="N562" s="13">
        <v>2400</v>
      </c>
      <c r="O562" s="13">
        <v>2700</v>
      </c>
      <c r="P562" s="13">
        <v>3000</v>
      </c>
      <c r="Q562" s="13">
        <v>2700</v>
      </c>
      <c r="R562" s="13">
        <v>2400</v>
      </c>
      <c r="S562" s="13">
        <v>2700</v>
      </c>
      <c r="T562" s="13">
        <v>3000</v>
      </c>
      <c r="U562" s="13">
        <v>1800</v>
      </c>
      <c r="V562" s="13">
        <v>2400</v>
      </c>
      <c r="W562" s="13">
        <v>2700</v>
      </c>
      <c r="X562" s="13">
        <v>1800</v>
      </c>
      <c r="Y562" s="13">
        <v>3600</v>
      </c>
      <c r="Z562" s="13">
        <v>1800</v>
      </c>
      <c r="AA562" s="13">
        <v>0</v>
      </c>
      <c r="AB562" s="13">
        <v>2700</v>
      </c>
      <c r="AC562" s="13">
        <v>2100</v>
      </c>
      <c r="AD562" s="13">
        <v>2700</v>
      </c>
    </row>
    <row r="563" spans="1:30" ht="15.75" thickBot="1" x14ac:dyDescent="0.3">
      <c r="A563" s="9" t="s">
        <v>1082</v>
      </c>
      <c r="B563" s="9" t="s">
        <v>1248</v>
      </c>
      <c r="C563" s="45" t="str">
        <f t="shared" si="8"/>
        <v>PUR58101B50 B</v>
      </c>
      <c r="D563" s="10" t="s">
        <v>1325</v>
      </c>
      <c r="E563" s="10" t="s">
        <v>1326</v>
      </c>
      <c r="F563" s="9" t="s">
        <v>364</v>
      </c>
      <c r="G563" s="9" t="s">
        <v>924</v>
      </c>
      <c r="H563" s="11">
        <v>780.91110000000003</v>
      </c>
      <c r="I563" s="12">
        <v>9868</v>
      </c>
      <c r="J563" s="13">
        <v>0</v>
      </c>
      <c r="K563" s="13">
        <v>0</v>
      </c>
      <c r="L563" s="13">
        <v>0</v>
      </c>
      <c r="M563" s="13">
        <v>132</v>
      </c>
      <c r="N563" s="13">
        <v>3200</v>
      </c>
      <c r="O563" s="13">
        <v>3200</v>
      </c>
      <c r="P563" s="13">
        <v>3200</v>
      </c>
      <c r="Q563" s="13">
        <v>4800</v>
      </c>
      <c r="R563" s="13">
        <v>3200</v>
      </c>
      <c r="S563" s="13">
        <v>3200</v>
      </c>
      <c r="T563" s="13">
        <v>6400</v>
      </c>
      <c r="U563" s="13">
        <v>0</v>
      </c>
      <c r="V563" s="13">
        <v>3200</v>
      </c>
      <c r="W563" s="13">
        <v>4800</v>
      </c>
      <c r="X563" s="13">
        <v>3200</v>
      </c>
      <c r="Y563" s="13">
        <v>0</v>
      </c>
      <c r="Z563" s="13">
        <v>1600</v>
      </c>
      <c r="AA563" s="13">
        <v>3200</v>
      </c>
      <c r="AB563" s="13">
        <v>3200</v>
      </c>
      <c r="AC563" s="13">
        <v>3200</v>
      </c>
      <c r="AD563" s="13">
        <v>3200</v>
      </c>
    </row>
    <row r="564" spans="1:30" ht="15.75" thickBot="1" x14ac:dyDescent="0.3">
      <c r="A564" s="9" t="s">
        <v>1082</v>
      </c>
      <c r="B564" s="9" t="s">
        <v>1248</v>
      </c>
      <c r="C564" s="45" t="str">
        <f t="shared" si="8"/>
        <v>PUR58101B51 B</v>
      </c>
      <c r="D564" s="10" t="s">
        <v>1327</v>
      </c>
      <c r="E564" s="10" t="s">
        <v>1328</v>
      </c>
      <c r="F564" s="9" t="s">
        <v>364</v>
      </c>
      <c r="G564" s="9" t="s">
        <v>924</v>
      </c>
      <c r="H564" s="11">
        <v>780.91110000000003</v>
      </c>
      <c r="I564" s="12">
        <v>16318</v>
      </c>
      <c r="J564" s="13">
        <v>0</v>
      </c>
      <c r="K564" s="13">
        <v>0</v>
      </c>
      <c r="L564" s="13">
        <v>0</v>
      </c>
      <c r="M564" s="13">
        <v>132</v>
      </c>
      <c r="N564" s="13">
        <v>3200</v>
      </c>
      <c r="O564" s="13">
        <v>3200</v>
      </c>
      <c r="P564" s="13">
        <v>3200</v>
      </c>
      <c r="Q564" s="13">
        <v>4800</v>
      </c>
      <c r="R564" s="13">
        <v>3200</v>
      </c>
      <c r="S564" s="13">
        <v>3200</v>
      </c>
      <c r="T564" s="13">
        <v>6400</v>
      </c>
      <c r="U564" s="13">
        <v>0</v>
      </c>
      <c r="V564" s="13">
        <v>3200</v>
      </c>
      <c r="W564" s="13">
        <v>4800</v>
      </c>
      <c r="X564" s="13">
        <v>3200</v>
      </c>
      <c r="Y564" s="13">
        <v>0</v>
      </c>
      <c r="Z564" s="13">
        <v>1600</v>
      </c>
      <c r="AA564" s="13">
        <v>3200</v>
      </c>
      <c r="AB564" s="13">
        <v>3200</v>
      </c>
      <c r="AC564" s="13">
        <v>3200</v>
      </c>
      <c r="AD564" s="13">
        <v>3200</v>
      </c>
    </row>
    <row r="565" spans="1:30" ht="15.75" thickBot="1" x14ac:dyDescent="0.3">
      <c r="A565" s="9" t="s">
        <v>1082</v>
      </c>
      <c r="B565" s="9" t="s">
        <v>1248</v>
      </c>
      <c r="C565" s="45" t="str">
        <f t="shared" si="8"/>
        <v>PUR5810780 A</v>
      </c>
      <c r="D565" s="10" t="s">
        <v>1329</v>
      </c>
      <c r="E565" s="10" t="s">
        <v>1330</v>
      </c>
      <c r="F565" s="9" t="s">
        <v>364</v>
      </c>
      <c r="G565" s="9" t="s">
        <v>924</v>
      </c>
      <c r="H565" s="12">
        <v>550</v>
      </c>
      <c r="I565" s="12">
        <v>14743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3257</v>
      </c>
      <c r="P565" s="13">
        <v>3900</v>
      </c>
      <c r="Q565" s="13">
        <v>3900</v>
      </c>
      <c r="R565" s="13">
        <v>4200</v>
      </c>
      <c r="S565" s="13">
        <v>3000</v>
      </c>
      <c r="T565" s="13">
        <v>6900</v>
      </c>
      <c r="U565" s="13">
        <v>0</v>
      </c>
      <c r="V565" s="13">
        <v>3000</v>
      </c>
      <c r="W565" s="13">
        <v>5100</v>
      </c>
      <c r="X565" s="13">
        <v>2100</v>
      </c>
      <c r="Y565" s="13">
        <v>0</v>
      </c>
      <c r="Z565" s="13">
        <v>2100</v>
      </c>
      <c r="AA565" s="13">
        <v>3600</v>
      </c>
      <c r="AB565" s="13">
        <v>3000</v>
      </c>
      <c r="AC565" s="13">
        <v>3600</v>
      </c>
      <c r="AD565" s="13">
        <v>3000</v>
      </c>
    </row>
    <row r="566" spans="1:30" ht="15.75" thickBot="1" x14ac:dyDescent="0.3">
      <c r="A566" s="9" t="s">
        <v>1082</v>
      </c>
      <c r="B566" s="9" t="s">
        <v>1248</v>
      </c>
      <c r="C566" s="45" t="str">
        <f t="shared" si="8"/>
        <v>PUR58107A96 A</v>
      </c>
      <c r="D566" s="10" t="s">
        <v>1331</v>
      </c>
      <c r="E566" s="10" t="s">
        <v>1332</v>
      </c>
      <c r="F566" s="9" t="s">
        <v>364</v>
      </c>
      <c r="G566" s="9" t="s">
        <v>924</v>
      </c>
      <c r="H566" s="12">
        <v>550</v>
      </c>
      <c r="I566" s="12">
        <v>6731</v>
      </c>
      <c r="J566" s="13">
        <v>0</v>
      </c>
      <c r="K566" s="13">
        <v>0</v>
      </c>
      <c r="L566" s="13">
        <v>980</v>
      </c>
      <c r="M566" s="13">
        <v>3661</v>
      </c>
      <c r="N566" s="13">
        <v>4096</v>
      </c>
      <c r="O566" s="13">
        <v>5074</v>
      </c>
      <c r="P566" s="13">
        <v>6929</v>
      </c>
      <c r="Q566" s="13">
        <v>1994</v>
      </c>
      <c r="R566" s="13">
        <v>3961</v>
      </c>
      <c r="S566" s="13">
        <v>5620</v>
      </c>
      <c r="T566" s="13">
        <v>5708</v>
      </c>
      <c r="U566" s="13">
        <v>5274</v>
      </c>
      <c r="V566" s="13">
        <v>3808</v>
      </c>
      <c r="W566" s="13">
        <v>5734</v>
      </c>
      <c r="X566" s="13">
        <v>5556</v>
      </c>
      <c r="Y566" s="13">
        <v>5627</v>
      </c>
      <c r="Z566" s="13">
        <v>6641</v>
      </c>
      <c r="AA566" s="13">
        <v>0</v>
      </c>
      <c r="AB566" s="13">
        <v>1133</v>
      </c>
      <c r="AC566" s="13">
        <v>5683</v>
      </c>
      <c r="AD566" s="13">
        <v>5652</v>
      </c>
    </row>
    <row r="567" spans="1:30" ht="15.75" thickBot="1" x14ac:dyDescent="0.3">
      <c r="A567" s="9" t="s">
        <v>1082</v>
      </c>
      <c r="B567" s="9" t="s">
        <v>1248</v>
      </c>
      <c r="C567" s="45" t="str">
        <f t="shared" si="8"/>
        <v>PUR58107A97 A</v>
      </c>
      <c r="D567" s="10" t="s">
        <v>1333</v>
      </c>
      <c r="E567" s="10" t="s">
        <v>1334</v>
      </c>
      <c r="F567" s="9" t="s">
        <v>364</v>
      </c>
      <c r="G567" s="9" t="s">
        <v>924</v>
      </c>
      <c r="H567" s="12">
        <v>550</v>
      </c>
      <c r="I567" s="12">
        <v>13547</v>
      </c>
      <c r="J567" s="13">
        <v>0</v>
      </c>
      <c r="K567" s="13">
        <v>0</v>
      </c>
      <c r="L567" s="13">
        <v>980</v>
      </c>
      <c r="M567" s="13">
        <v>3661</v>
      </c>
      <c r="N567" s="13">
        <v>4096</v>
      </c>
      <c r="O567" s="13">
        <v>5074</v>
      </c>
      <c r="P567" s="13">
        <v>6929</v>
      </c>
      <c r="Q567" s="13">
        <v>1994</v>
      </c>
      <c r="R567" s="13">
        <v>3961</v>
      </c>
      <c r="S567" s="13">
        <v>5620</v>
      </c>
      <c r="T567" s="13">
        <v>5708</v>
      </c>
      <c r="U567" s="13">
        <v>5274</v>
      </c>
      <c r="V567" s="13">
        <v>3808</v>
      </c>
      <c r="W567" s="13">
        <v>5734</v>
      </c>
      <c r="X567" s="13">
        <v>5556</v>
      </c>
      <c r="Y567" s="13">
        <v>5627</v>
      </c>
      <c r="Z567" s="13">
        <v>6641</v>
      </c>
      <c r="AA567" s="13">
        <v>0</v>
      </c>
      <c r="AB567" s="13">
        <v>1133</v>
      </c>
      <c r="AC567" s="13">
        <v>5683</v>
      </c>
      <c r="AD567" s="13">
        <v>5652</v>
      </c>
    </row>
    <row r="568" spans="1:30" ht="15.75" thickBot="1" x14ac:dyDescent="0.3">
      <c r="A568" s="9" t="s">
        <v>1082</v>
      </c>
      <c r="B568" s="9" t="s">
        <v>1248</v>
      </c>
      <c r="C568" s="45" t="str">
        <f t="shared" si="8"/>
        <v>PUR58112A56 A</v>
      </c>
      <c r="D568" s="10" t="s">
        <v>1335</v>
      </c>
      <c r="E568" s="10" t="s">
        <v>1336</v>
      </c>
      <c r="F568" s="9" t="s">
        <v>364</v>
      </c>
      <c r="G568" s="9" t="s">
        <v>924</v>
      </c>
      <c r="H568" s="12">
        <v>550</v>
      </c>
      <c r="I568" s="12">
        <v>7774</v>
      </c>
      <c r="J568" s="13">
        <v>0</v>
      </c>
      <c r="K568" s="13">
        <v>0</v>
      </c>
      <c r="L568" s="13">
        <v>1426</v>
      </c>
      <c r="M568" s="13">
        <v>4000</v>
      </c>
      <c r="N568" s="13">
        <v>2000</v>
      </c>
      <c r="O568" s="13">
        <v>4000</v>
      </c>
      <c r="P568" s="13">
        <v>4000</v>
      </c>
      <c r="Q568" s="13">
        <v>4000</v>
      </c>
      <c r="R568" s="13">
        <v>4000</v>
      </c>
      <c r="S568" s="13">
        <v>2000</v>
      </c>
      <c r="T568" s="13">
        <v>8000</v>
      </c>
      <c r="U568" s="13">
        <v>0</v>
      </c>
      <c r="V568" s="13">
        <v>2000</v>
      </c>
      <c r="W568" s="13">
        <v>6000</v>
      </c>
      <c r="X568" s="13">
        <v>2000</v>
      </c>
      <c r="Y568" s="13">
        <v>0</v>
      </c>
      <c r="Z568" s="13">
        <v>2000</v>
      </c>
      <c r="AA568" s="13">
        <v>4000</v>
      </c>
      <c r="AB568" s="13">
        <v>2000</v>
      </c>
      <c r="AC568" s="13">
        <v>4000</v>
      </c>
      <c r="AD568" s="13">
        <v>2000</v>
      </c>
    </row>
    <row r="569" spans="1:30" ht="15.75" thickBot="1" x14ac:dyDescent="0.3">
      <c r="A569" s="9" t="s">
        <v>1082</v>
      </c>
      <c r="B569" s="9" t="s">
        <v>1248</v>
      </c>
      <c r="C569" s="45" t="str">
        <f t="shared" si="8"/>
        <v>PUR58112A57 A</v>
      </c>
      <c r="D569" s="10" t="s">
        <v>1337</v>
      </c>
      <c r="E569" s="10" t="s">
        <v>1338</v>
      </c>
      <c r="F569" s="9" t="s">
        <v>364</v>
      </c>
      <c r="G569" s="9" t="s">
        <v>924</v>
      </c>
      <c r="H569" s="12">
        <v>550</v>
      </c>
      <c r="I569" s="12">
        <v>9696</v>
      </c>
      <c r="J569" s="13">
        <v>0</v>
      </c>
      <c r="K569" s="13">
        <v>0</v>
      </c>
      <c r="L569" s="13">
        <v>1426</v>
      </c>
      <c r="M569" s="13">
        <v>4000</v>
      </c>
      <c r="N569" s="13">
        <v>2000</v>
      </c>
      <c r="O569" s="13">
        <v>4000</v>
      </c>
      <c r="P569" s="13">
        <v>4000</v>
      </c>
      <c r="Q569" s="13">
        <v>4000</v>
      </c>
      <c r="R569" s="13">
        <v>4000</v>
      </c>
      <c r="S569" s="13">
        <v>2000</v>
      </c>
      <c r="T569" s="13">
        <v>8000</v>
      </c>
      <c r="U569" s="13">
        <v>0</v>
      </c>
      <c r="V569" s="13">
        <v>2000</v>
      </c>
      <c r="W569" s="13">
        <v>6000</v>
      </c>
      <c r="X569" s="13">
        <v>2000</v>
      </c>
      <c r="Y569" s="13">
        <v>0</v>
      </c>
      <c r="Z569" s="13">
        <v>2000</v>
      </c>
      <c r="AA569" s="13">
        <v>4000</v>
      </c>
      <c r="AB569" s="13">
        <v>2000</v>
      </c>
      <c r="AC569" s="13">
        <v>4000</v>
      </c>
      <c r="AD569" s="13">
        <v>2000</v>
      </c>
    </row>
    <row r="570" spans="1:30" ht="15.75" thickBot="1" x14ac:dyDescent="0.3">
      <c r="A570" s="9" t="s">
        <v>1082</v>
      </c>
      <c r="B570" s="9" t="s">
        <v>1248</v>
      </c>
      <c r="C570" s="45" t="str">
        <f t="shared" si="8"/>
        <v>R68371878-9AA</v>
      </c>
      <c r="D570" s="10" t="s">
        <v>1339</v>
      </c>
      <c r="E570" s="10" t="s">
        <v>1340</v>
      </c>
      <c r="F570" s="9" t="s">
        <v>394</v>
      </c>
      <c r="G570" s="9" t="s">
        <v>924</v>
      </c>
      <c r="H570" s="12">
        <v>999999</v>
      </c>
      <c r="I570" s="8"/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88184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88184</v>
      </c>
      <c r="W570" s="13">
        <v>0</v>
      </c>
      <c r="X570" s="13">
        <v>0</v>
      </c>
      <c r="Y570" s="13">
        <v>0</v>
      </c>
      <c r="Z570" s="13">
        <v>0</v>
      </c>
      <c r="AA570" s="13">
        <v>88184</v>
      </c>
      <c r="AB570" s="13">
        <v>0</v>
      </c>
      <c r="AC570" s="13">
        <v>0</v>
      </c>
      <c r="AD570" s="13">
        <v>0</v>
      </c>
    </row>
    <row r="571" spans="1:30" ht="15.75" thickBot="1" x14ac:dyDescent="0.3">
      <c r="A571" s="9" t="s">
        <v>1082</v>
      </c>
      <c r="B571" s="9" t="s">
        <v>1341</v>
      </c>
      <c r="C571" s="45" t="str">
        <f t="shared" si="8"/>
        <v>C0240202</v>
      </c>
      <c r="D571" s="10" t="s">
        <v>1342</v>
      </c>
      <c r="E571" s="10" t="s">
        <v>1343</v>
      </c>
      <c r="F571" s="9" t="s">
        <v>404</v>
      </c>
      <c r="G571" s="9" t="s">
        <v>924</v>
      </c>
      <c r="H571" s="12">
        <v>450</v>
      </c>
      <c r="I571" s="12">
        <v>32374</v>
      </c>
      <c r="J571" s="13">
        <v>0</v>
      </c>
      <c r="K571" s="13">
        <v>18677</v>
      </c>
      <c r="L571" s="13">
        <v>12250</v>
      </c>
      <c r="M571" s="13">
        <v>15750</v>
      </c>
      <c r="N571" s="13">
        <v>14000</v>
      </c>
      <c r="O571" s="13">
        <v>15750</v>
      </c>
      <c r="P571" s="13">
        <v>10500</v>
      </c>
      <c r="Q571" s="13">
        <v>15750</v>
      </c>
      <c r="R571" s="13">
        <v>14000</v>
      </c>
      <c r="S571" s="13">
        <v>12250</v>
      </c>
      <c r="T571" s="13">
        <v>15750</v>
      </c>
      <c r="U571" s="13">
        <v>15750</v>
      </c>
      <c r="V571" s="13">
        <v>12250</v>
      </c>
      <c r="W571" s="13">
        <v>12250</v>
      </c>
      <c r="X571" s="13">
        <v>14000</v>
      </c>
      <c r="Y571" s="13">
        <v>14000</v>
      </c>
      <c r="Z571" s="13">
        <v>15750</v>
      </c>
      <c r="AA571" s="13">
        <v>14000</v>
      </c>
      <c r="AB571" s="13">
        <v>15750</v>
      </c>
      <c r="AC571" s="13">
        <v>24500</v>
      </c>
      <c r="AD571" s="13">
        <v>0</v>
      </c>
    </row>
    <row r="572" spans="1:30" ht="15.75" thickBot="1" x14ac:dyDescent="0.3">
      <c r="A572" s="9" t="s">
        <v>1082</v>
      </c>
      <c r="B572" s="9" t="s">
        <v>1341</v>
      </c>
      <c r="C572" s="45" t="str">
        <f t="shared" si="8"/>
        <v>C0240302</v>
      </c>
      <c r="D572" s="10" t="s">
        <v>1344</v>
      </c>
      <c r="E572" s="10" t="s">
        <v>1345</v>
      </c>
      <c r="F572" s="9" t="s">
        <v>404</v>
      </c>
      <c r="G572" s="9" t="s">
        <v>924</v>
      </c>
      <c r="H572" s="12">
        <v>450</v>
      </c>
      <c r="I572" s="12">
        <v>11073</v>
      </c>
      <c r="J572" s="13">
        <v>0</v>
      </c>
      <c r="K572" s="13">
        <v>18677</v>
      </c>
      <c r="L572" s="13">
        <v>12250</v>
      </c>
      <c r="M572" s="13">
        <v>15750</v>
      </c>
      <c r="N572" s="13">
        <v>14000</v>
      </c>
      <c r="O572" s="13">
        <v>15750</v>
      </c>
      <c r="P572" s="13">
        <v>10500</v>
      </c>
      <c r="Q572" s="13">
        <v>15750</v>
      </c>
      <c r="R572" s="13">
        <v>14000</v>
      </c>
      <c r="S572" s="13">
        <v>12250</v>
      </c>
      <c r="T572" s="13">
        <v>15750</v>
      </c>
      <c r="U572" s="13">
        <v>15750</v>
      </c>
      <c r="V572" s="13">
        <v>12250</v>
      </c>
      <c r="W572" s="13">
        <v>12250</v>
      </c>
      <c r="X572" s="13">
        <v>14000</v>
      </c>
      <c r="Y572" s="13">
        <v>14000</v>
      </c>
      <c r="Z572" s="13">
        <v>15750</v>
      </c>
      <c r="AA572" s="13">
        <v>14000</v>
      </c>
      <c r="AB572" s="13">
        <v>15750</v>
      </c>
      <c r="AC572" s="13">
        <v>24500</v>
      </c>
      <c r="AD572" s="13">
        <v>0</v>
      </c>
    </row>
    <row r="573" spans="1:30" ht="15.75" thickBot="1" x14ac:dyDescent="0.3">
      <c r="A573" s="9" t="s">
        <v>1082</v>
      </c>
      <c r="B573" s="9" t="s">
        <v>1341</v>
      </c>
      <c r="C573" s="45" t="str">
        <f t="shared" si="8"/>
        <v>C0240801</v>
      </c>
      <c r="D573" s="10" t="s">
        <v>1346</v>
      </c>
      <c r="E573" s="10" t="s">
        <v>1347</v>
      </c>
      <c r="F573" s="9" t="s">
        <v>404</v>
      </c>
      <c r="G573" s="9" t="s">
        <v>924</v>
      </c>
      <c r="H573" s="12">
        <v>450</v>
      </c>
      <c r="I573" s="12">
        <v>4895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367</v>
      </c>
      <c r="Q573" s="13">
        <v>0</v>
      </c>
      <c r="R573" s="13">
        <v>0</v>
      </c>
      <c r="S573" s="13">
        <v>0</v>
      </c>
      <c r="T573" s="13">
        <v>1750</v>
      </c>
      <c r="U573" s="13">
        <v>0</v>
      </c>
      <c r="V573" s="13">
        <v>0</v>
      </c>
      <c r="W573" s="13">
        <v>0</v>
      </c>
      <c r="X573" s="13">
        <v>0</v>
      </c>
      <c r="Y573" s="13">
        <v>1750</v>
      </c>
      <c r="Z573" s="13">
        <v>0</v>
      </c>
      <c r="AA573" s="13">
        <v>0</v>
      </c>
      <c r="AB573" s="13">
        <v>1750</v>
      </c>
      <c r="AC573" s="13">
        <v>0</v>
      </c>
      <c r="AD573" s="13">
        <v>0</v>
      </c>
    </row>
    <row r="574" spans="1:30" ht="15.75" thickBot="1" x14ac:dyDescent="0.3">
      <c r="A574" s="9" t="s">
        <v>1082</v>
      </c>
      <c r="B574" s="9" t="s">
        <v>1341</v>
      </c>
      <c r="C574" s="45" t="str">
        <f t="shared" si="8"/>
        <v>C0240901</v>
      </c>
      <c r="D574" s="10" t="s">
        <v>1348</v>
      </c>
      <c r="E574" s="10" t="s">
        <v>1349</v>
      </c>
      <c r="F574" s="9" t="s">
        <v>404</v>
      </c>
      <c r="G574" s="9" t="s">
        <v>924</v>
      </c>
      <c r="H574" s="12">
        <v>450</v>
      </c>
      <c r="I574" s="12">
        <v>5468</v>
      </c>
      <c r="J574" s="13">
        <v>0</v>
      </c>
      <c r="K574" s="13">
        <v>0</v>
      </c>
      <c r="L574" s="13">
        <v>0</v>
      </c>
      <c r="M574" s="13">
        <v>0</v>
      </c>
      <c r="N574" s="13">
        <v>0</v>
      </c>
      <c r="O574" s="13">
        <v>0</v>
      </c>
      <c r="P574" s="13">
        <v>367</v>
      </c>
      <c r="Q574" s="13">
        <v>0</v>
      </c>
      <c r="R574" s="13">
        <v>0</v>
      </c>
      <c r="S574" s="13">
        <v>0</v>
      </c>
      <c r="T574" s="13">
        <v>1750</v>
      </c>
      <c r="U574" s="13">
        <v>0</v>
      </c>
      <c r="V574" s="13">
        <v>0</v>
      </c>
      <c r="W574" s="13">
        <v>0</v>
      </c>
      <c r="X574" s="13">
        <v>0</v>
      </c>
      <c r="Y574" s="13">
        <v>1750</v>
      </c>
      <c r="Z574" s="13">
        <v>0</v>
      </c>
      <c r="AA574" s="13">
        <v>0</v>
      </c>
      <c r="AB574" s="13">
        <v>1750</v>
      </c>
      <c r="AC574" s="13">
        <v>0</v>
      </c>
      <c r="AD574" s="13">
        <v>0</v>
      </c>
    </row>
    <row r="575" spans="1:30" ht="15.75" thickBot="1" x14ac:dyDescent="0.3">
      <c r="A575" s="9" t="s">
        <v>1082</v>
      </c>
      <c r="B575" s="9" t="s">
        <v>1341</v>
      </c>
      <c r="C575" s="45" t="str">
        <f t="shared" si="8"/>
        <v>DET2141041A</v>
      </c>
      <c r="D575" s="10" t="s">
        <v>1350</v>
      </c>
      <c r="E575" s="10" t="s">
        <v>1351</v>
      </c>
      <c r="F575" s="9" t="s">
        <v>494</v>
      </c>
      <c r="G575" s="9" t="s">
        <v>924</v>
      </c>
      <c r="H575" s="12">
        <v>550</v>
      </c>
      <c r="I575" s="8"/>
      <c r="J575" s="13">
        <v>0</v>
      </c>
      <c r="K575" s="13">
        <v>0</v>
      </c>
      <c r="L575" s="13">
        <v>30</v>
      </c>
      <c r="M575" s="13">
        <v>0</v>
      </c>
      <c r="N575" s="13">
        <v>0</v>
      </c>
      <c r="O575" s="13">
        <v>0</v>
      </c>
      <c r="P575" s="13">
        <v>0</v>
      </c>
      <c r="Q575" s="13">
        <v>0</v>
      </c>
      <c r="R575" s="13">
        <v>0</v>
      </c>
      <c r="S575" s="13">
        <v>0</v>
      </c>
      <c r="T575" s="13">
        <v>0</v>
      </c>
      <c r="U575" s="13">
        <v>0</v>
      </c>
      <c r="V575" s="13">
        <v>0</v>
      </c>
      <c r="W575" s="13">
        <v>0</v>
      </c>
      <c r="X575" s="13">
        <v>0</v>
      </c>
      <c r="Y575" s="13">
        <v>0</v>
      </c>
      <c r="Z575" s="13">
        <v>0</v>
      </c>
      <c r="AA575" s="13">
        <v>0</v>
      </c>
      <c r="AB575" s="13">
        <v>0</v>
      </c>
      <c r="AC575" s="13">
        <v>0</v>
      </c>
      <c r="AD575" s="13">
        <v>0</v>
      </c>
    </row>
    <row r="576" spans="1:30" ht="15.75" thickBot="1" x14ac:dyDescent="0.3">
      <c r="A576" s="9" t="s">
        <v>1082</v>
      </c>
      <c r="B576" s="9" t="s">
        <v>1341</v>
      </c>
      <c r="C576" s="45" t="str">
        <f t="shared" si="8"/>
        <v>DET2610130A</v>
      </c>
      <c r="D576" s="10" t="s">
        <v>1352</v>
      </c>
      <c r="E576" s="10" t="s">
        <v>1353</v>
      </c>
      <c r="F576" s="9" t="s">
        <v>494</v>
      </c>
      <c r="G576" s="9" t="s">
        <v>924</v>
      </c>
      <c r="H576" s="12">
        <v>450</v>
      </c>
      <c r="I576" s="12">
        <v>1002</v>
      </c>
      <c r="J576" s="13">
        <v>0</v>
      </c>
      <c r="K576" s="13">
        <v>265</v>
      </c>
      <c r="L576" s="13">
        <v>1364</v>
      </c>
      <c r="M576" s="13">
        <v>1075</v>
      </c>
      <c r="N576" s="13">
        <v>1171</v>
      </c>
      <c r="O576" s="13">
        <v>1488</v>
      </c>
      <c r="P576" s="13">
        <v>1968</v>
      </c>
      <c r="Q576" s="13">
        <v>221</v>
      </c>
      <c r="R576" s="13">
        <v>1027</v>
      </c>
      <c r="S576" s="13">
        <v>1507</v>
      </c>
      <c r="T576" s="13">
        <v>1584</v>
      </c>
      <c r="U576" s="13">
        <v>1488</v>
      </c>
      <c r="V576" s="13">
        <v>1296</v>
      </c>
      <c r="W576" s="13">
        <v>2064</v>
      </c>
      <c r="X576" s="13">
        <v>1987</v>
      </c>
      <c r="Y576" s="13">
        <v>1968</v>
      </c>
      <c r="Z576" s="13">
        <v>2496</v>
      </c>
      <c r="AA576" s="13">
        <v>0</v>
      </c>
      <c r="AB576" s="13">
        <v>413</v>
      </c>
      <c r="AC576" s="13">
        <v>2064</v>
      </c>
      <c r="AD576" s="13">
        <v>2035</v>
      </c>
    </row>
    <row r="577" spans="1:30" ht="15.75" thickBot="1" x14ac:dyDescent="0.3">
      <c r="A577" s="9" t="s">
        <v>1082</v>
      </c>
      <c r="B577" s="9" t="s">
        <v>1341</v>
      </c>
      <c r="C577" s="45" t="str">
        <f t="shared" si="8"/>
        <v>DET2610131A</v>
      </c>
      <c r="D577" s="10" t="s">
        <v>1354</v>
      </c>
      <c r="E577" s="10" t="s">
        <v>1355</v>
      </c>
      <c r="F577" s="9" t="s">
        <v>494</v>
      </c>
      <c r="G577" s="9" t="s">
        <v>924</v>
      </c>
      <c r="H577" s="12">
        <v>450</v>
      </c>
      <c r="I577" s="12">
        <v>2296</v>
      </c>
      <c r="J577" s="13">
        <v>0</v>
      </c>
      <c r="K577" s="13">
        <v>0</v>
      </c>
      <c r="L577" s="13">
        <v>517</v>
      </c>
      <c r="M577" s="13">
        <v>999</v>
      </c>
      <c r="N577" s="13">
        <v>1190</v>
      </c>
      <c r="O577" s="13">
        <v>1565</v>
      </c>
      <c r="P577" s="13">
        <v>1958</v>
      </c>
      <c r="Q577" s="13">
        <v>173</v>
      </c>
      <c r="R577" s="13">
        <v>989</v>
      </c>
      <c r="S577" s="13">
        <v>1507</v>
      </c>
      <c r="T577" s="13">
        <v>1584</v>
      </c>
      <c r="U577" s="13">
        <v>1488</v>
      </c>
      <c r="V577" s="13">
        <v>1300</v>
      </c>
      <c r="W577" s="13">
        <v>2064</v>
      </c>
      <c r="X577" s="13">
        <v>1997</v>
      </c>
      <c r="Y577" s="13">
        <v>1997</v>
      </c>
      <c r="Z577" s="13">
        <v>2457</v>
      </c>
      <c r="AA577" s="13">
        <v>0</v>
      </c>
      <c r="AB577" s="13">
        <v>413</v>
      </c>
      <c r="AC577" s="13">
        <v>2074</v>
      </c>
      <c r="AD577" s="13">
        <v>2073</v>
      </c>
    </row>
    <row r="578" spans="1:30" ht="15.75" thickBot="1" x14ac:dyDescent="0.3">
      <c r="A578" s="9" t="s">
        <v>1082</v>
      </c>
      <c r="B578" s="9" t="s">
        <v>1341</v>
      </c>
      <c r="C578" s="45" t="str">
        <f t="shared" si="8"/>
        <v>DET26104A98MB</v>
      </c>
      <c r="D578" s="10" t="s">
        <v>1356</v>
      </c>
      <c r="E578" s="10" t="s">
        <v>1357</v>
      </c>
      <c r="F578" s="9" t="s">
        <v>494</v>
      </c>
      <c r="G578" s="9" t="s">
        <v>924</v>
      </c>
      <c r="H578" s="12">
        <v>550</v>
      </c>
      <c r="I578" s="12">
        <v>1768</v>
      </c>
      <c r="J578" s="13">
        <v>0</v>
      </c>
      <c r="K578" s="13">
        <v>0</v>
      </c>
      <c r="L578" s="13">
        <v>1063</v>
      </c>
      <c r="M578" s="13">
        <v>1040</v>
      </c>
      <c r="N578" s="13">
        <v>1103</v>
      </c>
      <c r="O578" s="13">
        <v>1383</v>
      </c>
      <c r="P578" s="13">
        <v>1414</v>
      </c>
      <c r="Q578" s="13">
        <v>1020</v>
      </c>
      <c r="R578" s="13">
        <v>1040</v>
      </c>
      <c r="S578" s="13">
        <v>1487</v>
      </c>
      <c r="T578" s="13">
        <v>1601</v>
      </c>
      <c r="U578" s="13">
        <v>1467</v>
      </c>
      <c r="V578" s="13">
        <v>1289</v>
      </c>
      <c r="W578" s="13">
        <v>2080</v>
      </c>
      <c r="X578" s="13">
        <v>2008</v>
      </c>
      <c r="Y578" s="13">
        <v>1986</v>
      </c>
      <c r="Z578" s="13">
        <v>2454</v>
      </c>
      <c r="AA578" s="13">
        <v>0</v>
      </c>
      <c r="AB578" s="13">
        <v>406</v>
      </c>
      <c r="AC578" s="13">
        <v>2049</v>
      </c>
      <c r="AD578" s="13">
        <v>2090</v>
      </c>
    </row>
    <row r="579" spans="1:30" ht="15.75" thickBot="1" x14ac:dyDescent="0.3">
      <c r="A579" s="9" t="s">
        <v>1082</v>
      </c>
      <c r="B579" s="9" t="s">
        <v>1341</v>
      </c>
      <c r="C579" s="45" t="str">
        <f t="shared" si="8"/>
        <v>DET26104A99MB</v>
      </c>
      <c r="D579" s="10" t="s">
        <v>1358</v>
      </c>
      <c r="E579" s="10" t="s">
        <v>1357</v>
      </c>
      <c r="F579" s="9" t="s">
        <v>261</v>
      </c>
      <c r="G579" s="9" t="s">
        <v>924</v>
      </c>
      <c r="H579" s="12">
        <v>550</v>
      </c>
      <c r="I579" s="12">
        <v>3455</v>
      </c>
      <c r="J579" s="13">
        <v>0</v>
      </c>
      <c r="K579" s="13">
        <v>0</v>
      </c>
      <c r="L579" s="13">
        <v>0</v>
      </c>
      <c r="M579" s="13">
        <v>202</v>
      </c>
      <c r="N579" s="13">
        <v>1113</v>
      </c>
      <c r="O579" s="13">
        <v>1446</v>
      </c>
      <c r="P579" s="13">
        <v>1477</v>
      </c>
      <c r="Q579" s="13">
        <v>925</v>
      </c>
      <c r="R579" s="13">
        <v>1010</v>
      </c>
      <c r="S579" s="13">
        <v>1518</v>
      </c>
      <c r="T579" s="13">
        <v>1571</v>
      </c>
      <c r="U579" s="13">
        <v>1508</v>
      </c>
      <c r="V579" s="13">
        <v>1289</v>
      </c>
      <c r="W579" s="13">
        <v>2070</v>
      </c>
      <c r="X579" s="13">
        <v>1966</v>
      </c>
      <c r="Y579" s="13">
        <v>1996</v>
      </c>
      <c r="Z579" s="13">
        <v>2496</v>
      </c>
      <c r="AA579" s="13">
        <v>0</v>
      </c>
      <c r="AB579" s="13">
        <v>406</v>
      </c>
      <c r="AC579" s="13">
        <v>2049</v>
      </c>
      <c r="AD579" s="13">
        <v>2090</v>
      </c>
    </row>
    <row r="580" spans="1:30" ht="15.75" thickBot="1" x14ac:dyDescent="0.3">
      <c r="A580" s="9" t="s">
        <v>1082</v>
      </c>
      <c r="B580" s="9" t="s">
        <v>1341</v>
      </c>
      <c r="C580" s="45" t="str">
        <f t="shared" si="8"/>
        <v>DET2611218A</v>
      </c>
      <c r="D580" s="10" t="s">
        <v>1359</v>
      </c>
      <c r="E580" s="10" t="s">
        <v>1360</v>
      </c>
      <c r="F580" s="9" t="s">
        <v>494</v>
      </c>
      <c r="G580" s="9" t="s">
        <v>924</v>
      </c>
      <c r="H580" s="12">
        <v>450</v>
      </c>
      <c r="I580" s="12">
        <v>4663</v>
      </c>
      <c r="J580" s="13">
        <v>0</v>
      </c>
      <c r="K580" s="13">
        <v>0</v>
      </c>
      <c r="L580" s="13">
        <v>0</v>
      </c>
      <c r="M580" s="13">
        <v>0</v>
      </c>
      <c r="N580" s="13">
        <v>402</v>
      </c>
      <c r="O580" s="13">
        <v>1518</v>
      </c>
      <c r="P580" s="13">
        <v>1895</v>
      </c>
      <c r="Q580" s="13">
        <v>371</v>
      </c>
      <c r="R580" s="13">
        <v>1043</v>
      </c>
      <c r="S580" s="13">
        <v>1516</v>
      </c>
      <c r="T580" s="13">
        <v>1663</v>
      </c>
      <c r="U580" s="13">
        <v>1485</v>
      </c>
      <c r="V580" s="13">
        <v>1285</v>
      </c>
      <c r="W580" s="13">
        <v>2068</v>
      </c>
      <c r="X580" s="13">
        <v>1998</v>
      </c>
      <c r="Y580" s="13">
        <v>1991</v>
      </c>
      <c r="Z580" s="13">
        <v>2472</v>
      </c>
      <c r="AA580" s="13">
        <v>0</v>
      </c>
      <c r="AB580" s="13">
        <v>412</v>
      </c>
      <c r="AC580" s="13">
        <v>2063</v>
      </c>
      <c r="AD580" s="13">
        <v>2055</v>
      </c>
    </row>
    <row r="581" spans="1:30" ht="15.75" thickBot="1" x14ac:dyDescent="0.3">
      <c r="A581" s="9" t="s">
        <v>1082</v>
      </c>
      <c r="B581" s="9" t="s">
        <v>1341</v>
      </c>
      <c r="C581" s="45" t="str">
        <f t="shared" si="8"/>
        <v>DET26613E42A</v>
      </c>
      <c r="D581" s="10" t="s">
        <v>1361</v>
      </c>
      <c r="E581" s="10" t="s">
        <v>1362</v>
      </c>
      <c r="F581" s="9" t="s">
        <v>494</v>
      </c>
      <c r="G581" s="9" t="s">
        <v>924</v>
      </c>
      <c r="H581" s="12">
        <v>550</v>
      </c>
      <c r="I581" s="12">
        <v>1287</v>
      </c>
      <c r="J581" s="13">
        <v>0</v>
      </c>
      <c r="K581" s="13">
        <v>258</v>
      </c>
      <c r="L581" s="13">
        <v>1391</v>
      </c>
      <c r="M581" s="13">
        <v>1021</v>
      </c>
      <c r="N581" s="13">
        <v>1108</v>
      </c>
      <c r="O581" s="13">
        <v>1518</v>
      </c>
      <c r="P581" s="13">
        <v>1895</v>
      </c>
      <c r="Q581" s="13">
        <v>371</v>
      </c>
      <c r="R581" s="13">
        <v>1043</v>
      </c>
      <c r="S581" s="13">
        <v>1516</v>
      </c>
      <c r="T581" s="13">
        <v>1663</v>
      </c>
      <c r="U581" s="13">
        <v>1485</v>
      </c>
      <c r="V581" s="13">
        <v>1285</v>
      </c>
      <c r="W581" s="13">
        <v>2068</v>
      </c>
      <c r="X581" s="13">
        <v>1998</v>
      </c>
      <c r="Y581" s="13">
        <v>1991</v>
      </c>
      <c r="Z581" s="13">
        <v>2472</v>
      </c>
      <c r="AA581" s="13">
        <v>0</v>
      </c>
      <c r="AB581" s="13">
        <v>412</v>
      </c>
      <c r="AC581" s="13">
        <v>2063</v>
      </c>
      <c r="AD581" s="13">
        <v>2055</v>
      </c>
    </row>
    <row r="582" spans="1:30" ht="15.75" thickBot="1" x14ac:dyDescent="0.3">
      <c r="A582" s="9" t="s">
        <v>1082</v>
      </c>
      <c r="B582" s="9" t="s">
        <v>1341</v>
      </c>
      <c r="C582" s="45" t="str">
        <f t="shared" ref="C582:C645" si="9">TRIM(D582)</f>
        <v>DET26613E43A</v>
      </c>
      <c r="D582" s="10" t="s">
        <v>1363</v>
      </c>
      <c r="E582" s="10" t="s">
        <v>1362</v>
      </c>
      <c r="F582" s="9" t="s">
        <v>494</v>
      </c>
      <c r="G582" s="9" t="s">
        <v>924</v>
      </c>
      <c r="H582" s="12">
        <v>550</v>
      </c>
      <c r="I582" s="12">
        <v>1476</v>
      </c>
      <c r="J582" s="13">
        <v>0</v>
      </c>
      <c r="K582" s="13">
        <v>258</v>
      </c>
      <c r="L582" s="13">
        <v>1391</v>
      </c>
      <c r="M582" s="13">
        <v>1021</v>
      </c>
      <c r="N582" s="13">
        <v>1108</v>
      </c>
      <c r="O582" s="13">
        <v>1518</v>
      </c>
      <c r="P582" s="13">
        <v>1895</v>
      </c>
      <c r="Q582" s="13">
        <v>371</v>
      </c>
      <c r="R582" s="13">
        <v>1043</v>
      </c>
      <c r="S582" s="13">
        <v>1516</v>
      </c>
      <c r="T582" s="13">
        <v>1663</v>
      </c>
      <c r="U582" s="13">
        <v>1485</v>
      </c>
      <c r="V582" s="13">
        <v>1285</v>
      </c>
      <c r="W582" s="13">
        <v>2068</v>
      </c>
      <c r="X582" s="13">
        <v>1998</v>
      </c>
      <c r="Y582" s="13">
        <v>1991</v>
      </c>
      <c r="Z582" s="13">
        <v>2472</v>
      </c>
      <c r="AA582" s="13">
        <v>0</v>
      </c>
      <c r="AB582" s="13">
        <v>412</v>
      </c>
      <c r="AC582" s="13">
        <v>2063</v>
      </c>
      <c r="AD582" s="13">
        <v>2055</v>
      </c>
    </row>
    <row r="583" spans="1:30" ht="15.75" thickBot="1" x14ac:dyDescent="0.3">
      <c r="A583" s="9" t="s">
        <v>1082</v>
      </c>
      <c r="B583" s="9" t="s">
        <v>1341</v>
      </c>
      <c r="C583" s="45" t="str">
        <f t="shared" si="9"/>
        <v>DET58111K36</v>
      </c>
      <c r="D583" s="10" t="s">
        <v>1364</v>
      </c>
      <c r="E583" s="10" t="s">
        <v>1365</v>
      </c>
      <c r="F583" s="9" t="s">
        <v>364</v>
      </c>
      <c r="G583" s="9" t="s">
        <v>924</v>
      </c>
      <c r="H583" s="12">
        <v>550</v>
      </c>
      <c r="I583" s="12">
        <v>4202</v>
      </c>
      <c r="J583" s="13">
        <v>0</v>
      </c>
      <c r="K583" s="13">
        <v>0</v>
      </c>
      <c r="L583" s="13">
        <v>5088</v>
      </c>
      <c r="M583" s="13">
        <v>3662</v>
      </c>
      <c r="N583" s="13">
        <v>4049</v>
      </c>
      <c r="O583" s="13">
        <v>4939</v>
      </c>
      <c r="P583" s="13">
        <v>5225</v>
      </c>
      <c r="Q583" s="13">
        <v>3881</v>
      </c>
      <c r="R583" s="13">
        <v>3998</v>
      </c>
      <c r="S583" s="13">
        <v>5578</v>
      </c>
      <c r="T583" s="13">
        <v>5720</v>
      </c>
      <c r="U583" s="13">
        <v>5275</v>
      </c>
      <c r="V583" s="13">
        <v>3831</v>
      </c>
      <c r="W583" s="13">
        <v>5720</v>
      </c>
      <c r="X583" s="13">
        <v>5553</v>
      </c>
      <c r="Y583" s="13">
        <v>5871</v>
      </c>
      <c r="Z583" s="13">
        <v>6410</v>
      </c>
      <c r="AA583" s="13">
        <v>0</v>
      </c>
      <c r="AB583" s="13">
        <v>1126</v>
      </c>
      <c r="AC583" s="13">
        <v>5653</v>
      </c>
      <c r="AD583" s="13">
        <v>5653</v>
      </c>
    </row>
    <row r="584" spans="1:30" ht="15.75" thickBot="1" x14ac:dyDescent="0.3">
      <c r="A584" s="9" t="s">
        <v>1082</v>
      </c>
      <c r="B584" s="9" t="s">
        <v>1341</v>
      </c>
      <c r="C584" s="45" t="str">
        <f t="shared" si="9"/>
        <v>DETE41212A</v>
      </c>
      <c r="D584" s="10" t="s">
        <v>1366</v>
      </c>
      <c r="E584" s="10" t="s">
        <v>1367</v>
      </c>
      <c r="F584" s="9" t="s">
        <v>261</v>
      </c>
      <c r="G584" s="9" t="s">
        <v>924</v>
      </c>
      <c r="H584" s="12">
        <v>550</v>
      </c>
      <c r="I584" s="12">
        <v>4921</v>
      </c>
      <c r="J584" s="13">
        <v>0</v>
      </c>
      <c r="K584" s="13">
        <v>0</v>
      </c>
      <c r="L584" s="13">
        <v>0</v>
      </c>
      <c r="M584" s="13">
        <v>344</v>
      </c>
      <c r="N584" s="13">
        <v>1192</v>
      </c>
      <c r="O584" s="13">
        <v>1488</v>
      </c>
      <c r="P584" s="13">
        <v>1796</v>
      </c>
      <c r="Q584" s="13">
        <v>448</v>
      </c>
      <c r="R584" s="13">
        <v>1004</v>
      </c>
      <c r="S584" s="13">
        <v>1512</v>
      </c>
      <c r="T584" s="13">
        <v>1568</v>
      </c>
      <c r="U584" s="13">
        <v>1496</v>
      </c>
      <c r="V584" s="13">
        <v>1276</v>
      </c>
      <c r="W584" s="13">
        <v>2064</v>
      </c>
      <c r="X584" s="13">
        <v>2008</v>
      </c>
      <c r="Y584" s="13">
        <v>1992</v>
      </c>
      <c r="Z584" s="13">
        <v>2464</v>
      </c>
      <c r="AA584" s="13">
        <v>0</v>
      </c>
      <c r="AB584" s="13">
        <v>412</v>
      </c>
      <c r="AC584" s="13">
        <v>2068</v>
      </c>
      <c r="AD584" s="13">
        <v>2064</v>
      </c>
    </row>
    <row r="585" spans="1:30" ht="15.75" thickBot="1" x14ac:dyDescent="0.3">
      <c r="A585" s="9" t="s">
        <v>1082</v>
      </c>
      <c r="B585" s="9" t="s">
        <v>1341</v>
      </c>
      <c r="C585" s="45" t="str">
        <f t="shared" si="9"/>
        <v>DETE41212AA</v>
      </c>
      <c r="D585" s="10" t="s">
        <v>1368</v>
      </c>
      <c r="E585" s="10" t="s">
        <v>1367</v>
      </c>
      <c r="F585" s="9" t="s">
        <v>261</v>
      </c>
      <c r="G585" s="9" t="s">
        <v>924</v>
      </c>
      <c r="H585" s="12">
        <v>550</v>
      </c>
      <c r="I585" s="8"/>
      <c r="J585" s="13">
        <v>0</v>
      </c>
      <c r="K585" s="13">
        <v>0</v>
      </c>
      <c r="L585" s="13">
        <v>0</v>
      </c>
      <c r="M585" s="13">
        <v>0</v>
      </c>
      <c r="N585" s="13">
        <v>0</v>
      </c>
      <c r="O585" s="13">
        <v>0</v>
      </c>
      <c r="P585" s="13">
        <v>0</v>
      </c>
      <c r="Q585" s="13">
        <v>0</v>
      </c>
      <c r="R585" s="13">
        <v>0</v>
      </c>
      <c r="S585" s="13">
        <v>22</v>
      </c>
      <c r="T585" s="13">
        <v>88</v>
      </c>
      <c r="U585" s="13">
        <v>0</v>
      </c>
      <c r="V585" s="13">
        <v>0</v>
      </c>
      <c r="W585" s="13">
        <v>0</v>
      </c>
      <c r="X585" s="13">
        <v>0</v>
      </c>
      <c r="Y585" s="13">
        <v>0</v>
      </c>
      <c r="Z585" s="13">
        <v>0</v>
      </c>
      <c r="AA585" s="13">
        <v>0</v>
      </c>
      <c r="AB585" s="13">
        <v>0</v>
      </c>
      <c r="AC585" s="13">
        <v>0</v>
      </c>
      <c r="AD585" s="13">
        <v>0</v>
      </c>
    </row>
    <row r="586" spans="1:30" ht="15.75" thickBot="1" x14ac:dyDescent="0.3">
      <c r="A586" s="9" t="s">
        <v>1082</v>
      </c>
      <c r="B586" s="9" t="s">
        <v>1341</v>
      </c>
      <c r="C586" s="45" t="str">
        <f t="shared" si="9"/>
        <v>DETE41213A</v>
      </c>
      <c r="D586" s="10" t="s">
        <v>1369</v>
      </c>
      <c r="E586" s="10" t="s">
        <v>1367</v>
      </c>
      <c r="F586" s="9" t="s">
        <v>261</v>
      </c>
      <c r="G586" s="9" t="s">
        <v>924</v>
      </c>
      <c r="H586" s="12">
        <v>550</v>
      </c>
      <c r="I586" s="12">
        <v>1650</v>
      </c>
      <c r="J586" s="13">
        <v>0</v>
      </c>
      <c r="K586" s="13">
        <v>0</v>
      </c>
      <c r="L586" s="13">
        <v>0</v>
      </c>
      <c r="M586" s="13">
        <v>344</v>
      </c>
      <c r="N586" s="13">
        <v>1192</v>
      </c>
      <c r="O586" s="13">
        <v>1488</v>
      </c>
      <c r="P586" s="13">
        <v>1796</v>
      </c>
      <c r="Q586" s="13">
        <v>448</v>
      </c>
      <c r="R586" s="13">
        <v>1004</v>
      </c>
      <c r="S586" s="13">
        <v>1512</v>
      </c>
      <c r="T586" s="13">
        <v>1568</v>
      </c>
      <c r="U586" s="13">
        <v>1496</v>
      </c>
      <c r="V586" s="13">
        <v>1276</v>
      </c>
      <c r="W586" s="13">
        <v>2064</v>
      </c>
      <c r="X586" s="13">
        <v>2008</v>
      </c>
      <c r="Y586" s="13">
        <v>1992</v>
      </c>
      <c r="Z586" s="13">
        <v>2464</v>
      </c>
      <c r="AA586" s="13">
        <v>0</v>
      </c>
      <c r="AB586" s="13">
        <v>412</v>
      </c>
      <c r="AC586" s="13">
        <v>2068</v>
      </c>
      <c r="AD586" s="13">
        <v>2064</v>
      </c>
    </row>
    <row r="587" spans="1:30" ht="15.75" thickBot="1" x14ac:dyDescent="0.3">
      <c r="A587" s="9" t="s">
        <v>1082</v>
      </c>
      <c r="B587" s="9" t="s">
        <v>1341</v>
      </c>
      <c r="C587" s="45" t="str">
        <f t="shared" si="9"/>
        <v>DETE41213AA</v>
      </c>
      <c r="D587" s="10" t="s">
        <v>1370</v>
      </c>
      <c r="E587" s="10" t="s">
        <v>1367</v>
      </c>
      <c r="F587" s="9" t="s">
        <v>261</v>
      </c>
      <c r="G587" s="9" t="s">
        <v>924</v>
      </c>
      <c r="H587" s="12">
        <v>550</v>
      </c>
      <c r="I587" s="8"/>
      <c r="J587" s="13">
        <v>0</v>
      </c>
      <c r="K587" s="13">
        <v>0</v>
      </c>
      <c r="L587" s="13">
        <v>0</v>
      </c>
      <c r="M587" s="13">
        <v>0</v>
      </c>
      <c r="N587" s="13">
        <v>0</v>
      </c>
      <c r="O587" s="13">
        <v>0</v>
      </c>
      <c r="P587" s="13">
        <v>0</v>
      </c>
      <c r="Q587" s="13">
        <v>0</v>
      </c>
      <c r="R587" s="13">
        <v>0</v>
      </c>
      <c r="S587" s="13">
        <v>22</v>
      </c>
      <c r="T587" s="13">
        <v>88</v>
      </c>
      <c r="U587" s="13">
        <v>0</v>
      </c>
      <c r="V587" s="13">
        <v>0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</row>
    <row r="588" spans="1:30" ht="15.75" thickBot="1" x14ac:dyDescent="0.3">
      <c r="A588" s="9" t="s">
        <v>1082</v>
      </c>
      <c r="B588" s="9" t="s">
        <v>1341</v>
      </c>
      <c r="C588" s="45" t="str">
        <f t="shared" si="9"/>
        <v>DETE513D20A</v>
      </c>
      <c r="D588" s="10" t="s">
        <v>1371</v>
      </c>
      <c r="E588" s="10" t="s">
        <v>1372</v>
      </c>
      <c r="F588" s="9" t="s">
        <v>261</v>
      </c>
      <c r="G588" s="9" t="s">
        <v>924</v>
      </c>
      <c r="H588" s="12">
        <v>1500</v>
      </c>
      <c r="I588" s="12">
        <v>3404</v>
      </c>
      <c r="J588" s="13">
        <v>0</v>
      </c>
      <c r="K588" s="13">
        <v>0</v>
      </c>
      <c r="L588" s="13">
        <v>0</v>
      </c>
      <c r="M588" s="13">
        <v>0</v>
      </c>
      <c r="N588" s="13">
        <v>595</v>
      </c>
      <c r="O588" s="13">
        <v>1320</v>
      </c>
      <c r="P588" s="13">
        <v>1000</v>
      </c>
      <c r="Q588" s="13">
        <v>1000</v>
      </c>
      <c r="R588" s="13">
        <v>1080</v>
      </c>
      <c r="S588" s="13">
        <v>1440</v>
      </c>
      <c r="T588" s="13">
        <v>1600</v>
      </c>
      <c r="U588" s="13">
        <v>1480</v>
      </c>
      <c r="V588" s="13">
        <v>1240</v>
      </c>
      <c r="W588" s="13">
        <v>2160</v>
      </c>
      <c r="X588" s="13">
        <v>1960</v>
      </c>
      <c r="Y588" s="13">
        <v>2040</v>
      </c>
      <c r="Z588" s="13">
        <v>2400</v>
      </c>
      <c r="AA588" s="13">
        <v>0</v>
      </c>
      <c r="AB588" s="13">
        <v>400</v>
      </c>
      <c r="AC588" s="13">
        <v>2040</v>
      </c>
      <c r="AD588" s="13">
        <v>2160</v>
      </c>
    </row>
    <row r="589" spans="1:30" ht="15.75" thickBot="1" x14ac:dyDescent="0.3">
      <c r="A589" s="9" t="s">
        <v>1082</v>
      </c>
      <c r="B589" s="9" t="s">
        <v>1341</v>
      </c>
      <c r="C589" s="45" t="str">
        <f t="shared" si="9"/>
        <v>DETE513D21A</v>
      </c>
      <c r="D589" s="10" t="s">
        <v>1373</v>
      </c>
      <c r="E589" s="10" t="s">
        <v>1374</v>
      </c>
      <c r="F589" s="9" t="s">
        <v>261</v>
      </c>
      <c r="G589" s="9" t="s">
        <v>924</v>
      </c>
      <c r="H589" s="12">
        <v>1500</v>
      </c>
      <c r="I589" s="12">
        <v>1279</v>
      </c>
      <c r="J589" s="13">
        <v>0</v>
      </c>
      <c r="K589" s="13">
        <v>0</v>
      </c>
      <c r="L589" s="13">
        <v>0</v>
      </c>
      <c r="M589" s="13">
        <v>604</v>
      </c>
      <c r="N589" s="13">
        <v>1200</v>
      </c>
      <c r="O589" s="13">
        <v>1480</v>
      </c>
      <c r="P589" s="13">
        <v>2080</v>
      </c>
      <c r="Q589" s="13">
        <v>200</v>
      </c>
      <c r="R589" s="13">
        <v>1080</v>
      </c>
      <c r="S589" s="13">
        <v>1440</v>
      </c>
      <c r="T589" s="13">
        <v>1600</v>
      </c>
      <c r="U589" s="13">
        <v>1480</v>
      </c>
      <c r="V589" s="13">
        <v>1240</v>
      </c>
      <c r="W589" s="13">
        <v>2160</v>
      </c>
      <c r="X589" s="13">
        <v>1960</v>
      </c>
      <c r="Y589" s="13">
        <v>2040</v>
      </c>
      <c r="Z589" s="13">
        <v>2400</v>
      </c>
      <c r="AA589" s="13">
        <v>0</v>
      </c>
      <c r="AB589" s="13">
        <v>400</v>
      </c>
      <c r="AC589" s="13">
        <v>2040</v>
      </c>
      <c r="AD589" s="13">
        <v>2120</v>
      </c>
    </row>
    <row r="590" spans="1:30" ht="15.75" thickBot="1" x14ac:dyDescent="0.3">
      <c r="A590" s="9" t="s">
        <v>1082</v>
      </c>
      <c r="B590" s="9" t="s">
        <v>1341</v>
      </c>
      <c r="C590" s="45" t="str">
        <f t="shared" si="9"/>
        <v>PC02220</v>
      </c>
      <c r="D590" s="10" t="s">
        <v>1375</v>
      </c>
      <c r="E590" s="10" t="s">
        <v>1376</v>
      </c>
      <c r="F590" s="9" t="s">
        <v>364</v>
      </c>
      <c r="G590" s="9" t="s">
        <v>924</v>
      </c>
      <c r="H590" s="12">
        <v>450</v>
      </c>
      <c r="I590" s="12">
        <v>2727</v>
      </c>
      <c r="J590" s="13">
        <v>0</v>
      </c>
      <c r="K590" s="13">
        <v>4033</v>
      </c>
      <c r="L590" s="13">
        <v>3380</v>
      </c>
      <c r="M590" s="13">
        <v>3380</v>
      </c>
      <c r="N590" s="13">
        <v>3380</v>
      </c>
      <c r="O590" s="13">
        <v>2600</v>
      </c>
      <c r="P590" s="13">
        <v>4160</v>
      </c>
      <c r="Q590" s="13">
        <v>4680</v>
      </c>
      <c r="R590" s="13">
        <v>3640</v>
      </c>
      <c r="S590" s="13">
        <v>2080</v>
      </c>
      <c r="T590" s="13">
        <v>3900</v>
      </c>
      <c r="U590" s="13">
        <v>3640</v>
      </c>
      <c r="V590" s="13">
        <v>3120</v>
      </c>
      <c r="W590" s="13">
        <v>2600</v>
      </c>
      <c r="X590" s="13">
        <v>2600</v>
      </c>
      <c r="Y590" s="13">
        <v>0</v>
      </c>
      <c r="Z590" s="13">
        <v>3640</v>
      </c>
      <c r="AA590" s="13">
        <v>3640</v>
      </c>
      <c r="AB590" s="13">
        <v>3380</v>
      </c>
      <c r="AC590" s="13">
        <v>3640</v>
      </c>
      <c r="AD590" s="13">
        <v>2080</v>
      </c>
    </row>
    <row r="591" spans="1:30" ht="15.75" thickBot="1" x14ac:dyDescent="0.3">
      <c r="A591" s="9" t="s">
        <v>1082</v>
      </c>
      <c r="B591" s="9" t="s">
        <v>1341</v>
      </c>
      <c r="C591" s="45" t="str">
        <f t="shared" si="9"/>
        <v>PC02221</v>
      </c>
      <c r="D591" s="10" t="s">
        <v>1377</v>
      </c>
      <c r="E591" s="10" t="s">
        <v>1378</v>
      </c>
      <c r="F591" s="9" t="s">
        <v>364</v>
      </c>
      <c r="G591" s="9" t="s">
        <v>924</v>
      </c>
      <c r="H591" s="12">
        <v>450</v>
      </c>
      <c r="I591" s="12">
        <v>4479</v>
      </c>
      <c r="J591" s="13">
        <v>0</v>
      </c>
      <c r="K591" s="13">
        <v>4033</v>
      </c>
      <c r="L591" s="13">
        <v>3380</v>
      </c>
      <c r="M591" s="13">
        <v>3380</v>
      </c>
      <c r="N591" s="13">
        <v>3380</v>
      </c>
      <c r="O591" s="13">
        <v>2600</v>
      </c>
      <c r="P591" s="13">
        <v>4160</v>
      </c>
      <c r="Q591" s="13">
        <v>4680</v>
      </c>
      <c r="R591" s="13">
        <v>3640</v>
      </c>
      <c r="S591" s="13">
        <v>2080</v>
      </c>
      <c r="T591" s="13">
        <v>3900</v>
      </c>
      <c r="U591" s="13">
        <v>3640</v>
      </c>
      <c r="V591" s="13">
        <v>3120</v>
      </c>
      <c r="W591" s="13">
        <v>2600</v>
      </c>
      <c r="X591" s="13">
        <v>2600</v>
      </c>
      <c r="Y591" s="13">
        <v>0</v>
      </c>
      <c r="Z591" s="13">
        <v>3640</v>
      </c>
      <c r="AA591" s="13">
        <v>3640</v>
      </c>
      <c r="AB591" s="13">
        <v>3380</v>
      </c>
      <c r="AC591" s="13">
        <v>3640</v>
      </c>
      <c r="AD591" s="13">
        <v>2080</v>
      </c>
    </row>
    <row r="592" spans="1:30" ht="15.75" thickBot="1" x14ac:dyDescent="0.3">
      <c r="A592" s="9" t="s">
        <v>1082</v>
      </c>
      <c r="B592" s="9" t="s">
        <v>1341</v>
      </c>
      <c r="C592" s="45" t="str">
        <f t="shared" si="9"/>
        <v>PUR61103B44 A</v>
      </c>
      <c r="D592" s="10" t="s">
        <v>1379</v>
      </c>
      <c r="E592" s="10" t="s">
        <v>1380</v>
      </c>
      <c r="F592" s="9" t="s">
        <v>364</v>
      </c>
      <c r="G592" s="9" t="s">
        <v>924</v>
      </c>
      <c r="H592" s="12">
        <v>550</v>
      </c>
      <c r="I592" s="12">
        <v>1181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139</v>
      </c>
      <c r="S592" s="13">
        <v>0</v>
      </c>
      <c r="T592" s="13">
        <v>0</v>
      </c>
      <c r="U592" s="13">
        <v>0</v>
      </c>
      <c r="V592" s="13">
        <v>0</v>
      </c>
      <c r="W592" s="13">
        <v>720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720</v>
      </c>
      <c r="AD592" s="13">
        <v>0</v>
      </c>
    </row>
    <row r="593" spans="1:30" ht="15.75" thickBot="1" x14ac:dyDescent="0.3">
      <c r="A593" s="9" t="s">
        <v>1082</v>
      </c>
      <c r="B593" s="9" t="s">
        <v>1381</v>
      </c>
      <c r="C593" s="45" t="str">
        <f t="shared" si="9"/>
        <v>DPCBEI82073G00R</v>
      </c>
      <c r="D593" s="10" t="s">
        <v>1382</v>
      </c>
      <c r="E593" s="10" t="s">
        <v>1383</v>
      </c>
      <c r="F593" s="9" t="s">
        <v>404</v>
      </c>
      <c r="G593" s="9" t="s">
        <v>924</v>
      </c>
      <c r="H593" s="12">
        <v>360</v>
      </c>
      <c r="I593" s="12">
        <v>4754</v>
      </c>
      <c r="J593" s="13">
        <v>0</v>
      </c>
      <c r="K593" s="13">
        <v>12166</v>
      </c>
      <c r="L593" s="13">
        <v>11880</v>
      </c>
      <c r="M593" s="13">
        <v>3960</v>
      </c>
      <c r="N593" s="13">
        <v>7920</v>
      </c>
      <c r="O593" s="13">
        <v>11880</v>
      </c>
      <c r="P593" s="13">
        <v>7920</v>
      </c>
      <c r="Q593" s="13">
        <v>7920</v>
      </c>
      <c r="R593" s="13">
        <v>7920</v>
      </c>
      <c r="S593" s="13">
        <v>7920</v>
      </c>
      <c r="T593" s="13">
        <v>11880</v>
      </c>
      <c r="U593" s="13">
        <v>7920</v>
      </c>
      <c r="V593" s="13">
        <v>7920</v>
      </c>
      <c r="W593" s="13">
        <v>7920</v>
      </c>
      <c r="X593" s="13">
        <v>7920</v>
      </c>
      <c r="Y593" s="13">
        <v>7920</v>
      </c>
      <c r="Z593" s="13">
        <v>3960</v>
      </c>
      <c r="AA593" s="13">
        <v>7920</v>
      </c>
      <c r="AB593" s="13">
        <v>11880</v>
      </c>
      <c r="AC593" s="13">
        <v>7920</v>
      </c>
      <c r="AD593" s="13">
        <v>7920</v>
      </c>
    </row>
    <row r="594" spans="1:30" ht="15.75" thickBot="1" x14ac:dyDescent="0.3">
      <c r="A594" s="9" t="s">
        <v>1082</v>
      </c>
      <c r="B594" s="9" t="s">
        <v>1381</v>
      </c>
      <c r="C594" s="45" t="str">
        <f t="shared" si="9"/>
        <v>DPCBEI82076G00L</v>
      </c>
      <c r="D594" s="10" t="s">
        <v>1384</v>
      </c>
      <c r="E594" s="10" t="s">
        <v>1385</v>
      </c>
      <c r="F594" s="9" t="s">
        <v>404</v>
      </c>
      <c r="G594" s="9" t="s">
        <v>924</v>
      </c>
      <c r="H594" s="12">
        <v>360</v>
      </c>
      <c r="I594" s="12">
        <v>4089</v>
      </c>
      <c r="J594" s="13">
        <v>0</v>
      </c>
      <c r="K594" s="13">
        <v>12166</v>
      </c>
      <c r="L594" s="13">
        <v>11880</v>
      </c>
      <c r="M594" s="13">
        <v>3960</v>
      </c>
      <c r="N594" s="13">
        <v>7920</v>
      </c>
      <c r="O594" s="13">
        <v>11880</v>
      </c>
      <c r="P594" s="13">
        <v>7920</v>
      </c>
      <c r="Q594" s="13">
        <v>7920</v>
      </c>
      <c r="R594" s="13">
        <v>7920</v>
      </c>
      <c r="S594" s="13">
        <v>7920</v>
      </c>
      <c r="T594" s="13">
        <v>11880</v>
      </c>
      <c r="U594" s="13">
        <v>7920</v>
      </c>
      <c r="V594" s="13">
        <v>7920</v>
      </c>
      <c r="W594" s="13">
        <v>7920</v>
      </c>
      <c r="X594" s="13">
        <v>7920</v>
      </c>
      <c r="Y594" s="13">
        <v>7920</v>
      </c>
      <c r="Z594" s="13">
        <v>3960</v>
      </c>
      <c r="AA594" s="13">
        <v>7920</v>
      </c>
      <c r="AB594" s="13">
        <v>11880</v>
      </c>
      <c r="AC594" s="13">
        <v>7920</v>
      </c>
      <c r="AD594" s="13">
        <v>7920</v>
      </c>
    </row>
    <row r="595" spans="1:30" ht="15.75" thickBot="1" x14ac:dyDescent="0.3">
      <c r="A595" s="9" t="s">
        <v>1082</v>
      </c>
      <c r="B595" s="9" t="s">
        <v>1381</v>
      </c>
      <c r="C595" s="45" t="str">
        <f t="shared" si="9"/>
        <v>ST17210352AA</v>
      </c>
      <c r="D595" s="10" t="s">
        <v>1386</v>
      </c>
      <c r="E595" s="10" t="s">
        <v>1387</v>
      </c>
      <c r="F595" s="9" t="s">
        <v>892</v>
      </c>
      <c r="G595" s="9" t="s">
        <v>924</v>
      </c>
      <c r="H595" s="12">
        <v>550</v>
      </c>
      <c r="I595" s="12">
        <v>5023</v>
      </c>
      <c r="J595" s="13">
        <v>0</v>
      </c>
      <c r="K595" s="13">
        <v>0</v>
      </c>
      <c r="L595" s="13">
        <v>0</v>
      </c>
      <c r="M595" s="13">
        <v>0</v>
      </c>
      <c r="N595" s="13">
        <v>0</v>
      </c>
      <c r="O595" s="13">
        <v>0</v>
      </c>
      <c r="P595" s="13">
        <v>297</v>
      </c>
      <c r="Q595" s="13">
        <v>980</v>
      </c>
      <c r="R595" s="13">
        <v>980</v>
      </c>
      <c r="S595" s="13">
        <v>1680</v>
      </c>
      <c r="T595" s="13">
        <v>840</v>
      </c>
      <c r="U595" s="13">
        <v>980</v>
      </c>
      <c r="V595" s="13">
        <v>700</v>
      </c>
      <c r="W595" s="13">
        <v>700</v>
      </c>
      <c r="X595" s="13">
        <v>840</v>
      </c>
      <c r="Y595" s="13">
        <v>840</v>
      </c>
      <c r="Z595" s="13">
        <v>980</v>
      </c>
      <c r="AA595" s="13">
        <v>0</v>
      </c>
      <c r="AB595" s="13">
        <v>980</v>
      </c>
      <c r="AC595" s="13">
        <v>840</v>
      </c>
      <c r="AD595" s="13">
        <v>980</v>
      </c>
    </row>
    <row r="596" spans="1:30" ht="15.75" thickBot="1" x14ac:dyDescent="0.3">
      <c r="A596" s="9" t="s">
        <v>1082</v>
      </c>
      <c r="B596" s="9" t="s">
        <v>1388</v>
      </c>
      <c r="C596" s="45" t="str">
        <f t="shared" si="9"/>
        <v>DET10723DPIA02</v>
      </c>
      <c r="D596" s="10" t="s">
        <v>1389</v>
      </c>
      <c r="E596" s="10" t="s">
        <v>1390</v>
      </c>
      <c r="F596" s="9" t="s">
        <v>261</v>
      </c>
      <c r="G596" s="9" t="s">
        <v>924</v>
      </c>
      <c r="H596" s="12">
        <v>1500</v>
      </c>
      <c r="I596" s="12">
        <v>11697</v>
      </c>
      <c r="J596" s="13">
        <v>0</v>
      </c>
      <c r="K596" s="13">
        <v>0</v>
      </c>
      <c r="L596" s="13">
        <v>0</v>
      </c>
      <c r="M596" s="13">
        <v>0</v>
      </c>
      <c r="N596" s="13">
        <v>0</v>
      </c>
      <c r="O596" s="13">
        <v>0</v>
      </c>
      <c r="P596" s="13">
        <v>0</v>
      </c>
      <c r="Q596" s="13">
        <v>1130</v>
      </c>
      <c r="R596" s="13">
        <v>1680</v>
      </c>
      <c r="S596" s="13">
        <v>2784</v>
      </c>
      <c r="T596" s="13">
        <v>0</v>
      </c>
      <c r="U596" s="13">
        <v>288</v>
      </c>
      <c r="V596" s="13">
        <v>2112</v>
      </c>
      <c r="W596" s="13">
        <v>2112</v>
      </c>
      <c r="X596" s="13">
        <v>1872</v>
      </c>
      <c r="Y596" s="13">
        <v>1920</v>
      </c>
      <c r="Z596" s="13">
        <v>1440</v>
      </c>
      <c r="AA596" s="13">
        <v>2016</v>
      </c>
      <c r="AB596" s="13">
        <v>2064</v>
      </c>
      <c r="AC596" s="13">
        <v>2064</v>
      </c>
      <c r="AD596" s="13">
        <v>1776</v>
      </c>
    </row>
    <row r="597" spans="1:30" ht="15.75" thickBot="1" x14ac:dyDescent="0.3">
      <c r="A597" s="9" t="s">
        <v>1082</v>
      </c>
      <c r="B597" s="9" t="s">
        <v>1388</v>
      </c>
      <c r="C597" s="45" t="str">
        <f t="shared" si="9"/>
        <v>DET16152B</v>
      </c>
      <c r="D597" s="10" t="s">
        <v>1391</v>
      </c>
      <c r="E597" s="10" t="s">
        <v>1392</v>
      </c>
      <c r="F597" s="9" t="s">
        <v>261</v>
      </c>
      <c r="G597" s="9" t="s">
        <v>924</v>
      </c>
      <c r="H597" s="12">
        <v>1500</v>
      </c>
      <c r="I597" s="12">
        <v>13866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1931</v>
      </c>
      <c r="X597" s="13">
        <v>1960</v>
      </c>
      <c r="Y597" s="13">
        <v>2040</v>
      </c>
      <c r="Z597" s="13">
        <v>2400</v>
      </c>
      <c r="AA597" s="13">
        <v>0</v>
      </c>
      <c r="AB597" s="13">
        <v>400</v>
      </c>
      <c r="AC597" s="13">
        <v>2040</v>
      </c>
      <c r="AD597" s="13">
        <v>2120</v>
      </c>
    </row>
    <row r="598" spans="1:30" ht="15.75" thickBot="1" x14ac:dyDescent="0.3">
      <c r="A598" s="9" t="s">
        <v>1082</v>
      </c>
      <c r="B598" s="9" t="s">
        <v>1388</v>
      </c>
      <c r="C598" s="45" t="str">
        <f t="shared" si="9"/>
        <v>DET16153B</v>
      </c>
      <c r="D598" s="10" t="s">
        <v>1393</v>
      </c>
      <c r="E598" s="10" t="s">
        <v>1394</v>
      </c>
      <c r="F598" s="9" t="s">
        <v>261</v>
      </c>
      <c r="G598" s="9" t="s">
        <v>924</v>
      </c>
      <c r="H598" s="12">
        <v>1500</v>
      </c>
      <c r="I598" s="12">
        <v>16136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1931</v>
      </c>
      <c r="X598" s="13">
        <v>1960</v>
      </c>
      <c r="Y598" s="13">
        <v>2040</v>
      </c>
      <c r="Z598" s="13">
        <v>2400</v>
      </c>
      <c r="AA598" s="13">
        <v>0</v>
      </c>
      <c r="AB598" s="13">
        <v>400</v>
      </c>
      <c r="AC598" s="13">
        <v>2040</v>
      </c>
      <c r="AD598" s="13">
        <v>2120</v>
      </c>
    </row>
    <row r="599" spans="1:30" ht="15.75" thickBot="1" x14ac:dyDescent="0.3">
      <c r="A599" s="9" t="s">
        <v>1082</v>
      </c>
      <c r="B599" s="9" t="s">
        <v>1388</v>
      </c>
      <c r="C599" s="45" t="str">
        <f t="shared" si="9"/>
        <v>DET16D600A</v>
      </c>
      <c r="D599" s="10" t="s">
        <v>1395</v>
      </c>
      <c r="E599" s="10" t="s">
        <v>1396</v>
      </c>
      <c r="F599" s="9" t="s">
        <v>494</v>
      </c>
      <c r="G599" s="9" t="s">
        <v>924</v>
      </c>
      <c r="H599" s="12">
        <v>1500</v>
      </c>
      <c r="I599" s="8"/>
      <c r="J599" s="13">
        <v>0</v>
      </c>
      <c r="K599" s="13">
        <v>0</v>
      </c>
      <c r="L599" s="13">
        <v>0</v>
      </c>
      <c r="M599" s="13">
        <v>0</v>
      </c>
      <c r="N599" s="13">
        <v>0</v>
      </c>
      <c r="O599" s="13">
        <v>0</v>
      </c>
      <c r="P599" s="13">
        <v>0</v>
      </c>
      <c r="Q599" s="13">
        <v>0</v>
      </c>
      <c r="R599" s="13">
        <v>0</v>
      </c>
      <c r="S599" s="13">
        <v>4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1</v>
      </c>
      <c r="AA599" s="13">
        <v>0</v>
      </c>
      <c r="AB599" s="13">
        <v>0</v>
      </c>
      <c r="AC599" s="13">
        <v>0</v>
      </c>
      <c r="AD599" s="13">
        <v>0</v>
      </c>
    </row>
    <row r="600" spans="1:30" ht="15.75" thickBot="1" x14ac:dyDescent="0.3">
      <c r="A600" s="9" t="s">
        <v>1082</v>
      </c>
      <c r="B600" s="9" t="s">
        <v>1388</v>
      </c>
      <c r="C600" s="45" t="str">
        <f t="shared" si="9"/>
        <v>DET16D601A</v>
      </c>
      <c r="D600" s="10" t="s">
        <v>1397</v>
      </c>
      <c r="E600" s="10" t="s">
        <v>1398</v>
      </c>
      <c r="F600" s="9" t="s">
        <v>494</v>
      </c>
      <c r="G600" s="9" t="s">
        <v>924</v>
      </c>
      <c r="H600" s="12">
        <v>1500</v>
      </c>
      <c r="I600" s="8"/>
      <c r="J600" s="13">
        <v>0</v>
      </c>
      <c r="K600" s="13">
        <v>0</v>
      </c>
      <c r="L600" s="13">
        <v>0</v>
      </c>
      <c r="M600" s="13">
        <v>0</v>
      </c>
      <c r="N600" s="13">
        <v>0</v>
      </c>
      <c r="O600" s="13">
        <v>0</v>
      </c>
      <c r="P600" s="13">
        <v>0</v>
      </c>
      <c r="Q600" s="13">
        <v>0</v>
      </c>
      <c r="R600" s="13">
        <v>0</v>
      </c>
      <c r="S600" s="13">
        <v>4</v>
      </c>
      <c r="T600" s="13">
        <v>0</v>
      </c>
      <c r="U600" s="13">
        <v>0</v>
      </c>
      <c r="V600" s="13">
        <v>0</v>
      </c>
      <c r="W600" s="13">
        <v>0</v>
      </c>
      <c r="X600" s="13">
        <v>0</v>
      </c>
      <c r="Y600" s="13">
        <v>0</v>
      </c>
      <c r="Z600" s="13">
        <v>1</v>
      </c>
      <c r="AA600" s="13">
        <v>0</v>
      </c>
      <c r="AB600" s="13">
        <v>0</v>
      </c>
      <c r="AC600" s="13">
        <v>0</v>
      </c>
      <c r="AD600" s="13">
        <v>0</v>
      </c>
    </row>
    <row r="601" spans="1:30" ht="15.75" thickBot="1" x14ac:dyDescent="0.3">
      <c r="A601" s="9" t="s">
        <v>1082</v>
      </c>
      <c r="B601" s="9" t="s">
        <v>1388</v>
      </c>
      <c r="C601" s="45" t="str">
        <f t="shared" si="9"/>
        <v>DET17A040A</v>
      </c>
      <c r="D601" s="10" t="s">
        <v>1399</v>
      </c>
      <c r="E601" s="10" t="s">
        <v>1400</v>
      </c>
      <c r="F601" s="9" t="s">
        <v>261</v>
      </c>
      <c r="G601" s="9" t="s">
        <v>924</v>
      </c>
      <c r="H601" s="12">
        <v>1500</v>
      </c>
      <c r="I601" s="12">
        <v>345</v>
      </c>
      <c r="J601" s="13">
        <v>0</v>
      </c>
      <c r="K601" s="13">
        <v>0</v>
      </c>
      <c r="L601" s="13">
        <v>0</v>
      </c>
      <c r="M601" s="13">
        <v>0</v>
      </c>
      <c r="N601" s="13">
        <v>795</v>
      </c>
      <c r="O601" s="13">
        <v>1518</v>
      </c>
      <c r="P601" s="13">
        <v>1895</v>
      </c>
      <c r="Q601" s="13">
        <v>371</v>
      </c>
      <c r="R601" s="13">
        <v>1043</v>
      </c>
      <c r="S601" s="13">
        <v>1516</v>
      </c>
      <c r="T601" s="13">
        <v>1663</v>
      </c>
      <c r="U601" s="13">
        <v>1485</v>
      </c>
      <c r="V601" s="13">
        <v>1285</v>
      </c>
      <c r="W601" s="13">
        <v>2068</v>
      </c>
      <c r="X601" s="13">
        <v>1998</v>
      </c>
      <c r="Y601" s="13">
        <v>1991</v>
      </c>
      <c r="Z601" s="13">
        <v>2472</v>
      </c>
      <c r="AA601" s="13">
        <v>0</v>
      </c>
      <c r="AB601" s="13">
        <v>412</v>
      </c>
      <c r="AC601" s="13">
        <v>2063</v>
      </c>
      <c r="AD601" s="13">
        <v>2055</v>
      </c>
    </row>
    <row r="602" spans="1:30" ht="15.75" thickBot="1" x14ac:dyDescent="0.3">
      <c r="A602" s="9" t="s">
        <v>1082</v>
      </c>
      <c r="B602" s="9" t="s">
        <v>1388</v>
      </c>
      <c r="C602" s="45" t="str">
        <f t="shared" si="9"/>
        <v>DET21022A06MB</v>
      </c>
      <c r="D602" s="10" t="s">
        <v>1401</v>
      </c>
      <c r="E602" s="10" t="s">
        <v>1402</v>
      </c>
      <c r="F602" s="9" t="s">
        <v>261</v>
      </c>
      <c r="G602" s="9" t="s">
        <v>924</v>
      </c>
      <c r="H602" s="12">
        <v>3000</v>
      </c>
      <c r="I602" s="12">
        <v>8014</v>
      </c>
      <c r="J602" s="13">
        <v>0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112</v>
      </c>
      <c r="Q602" s="13">
        <v>1200</v>
      </c>
      <c r="R602" s="13">
        <v>1530</v>
      </c>
      <c r="S602" s="13">
        <v>1710</v>
      </c>
      <c r="T602" s="13">
        <v>1380</v>
      </c>
      <c r="U602" s="13">
        <v>1440</v>
      </c>
      <c r="V602" s="13">
        <v>2220</v>
      </c>
      <c r="W602" s="13">
        <v>2010</v>
      </c>
      <c r="X602" s="13">
        <v>2130</v>
      </c>
      <c r="Y602" s="13">
        <v>1470</v>
      </c>
      <c r="Z602" s="13">
        <v>0</v>
      </c>
      <c r="AA602" s="13">
        <v>1080</v>
      </c>
      <c r="AB602" s="13">
        <v>2100</v>
      </c>
      <c r="AC602" s="13">
        <v>1980</v>
      </c>
      <c r="AD602" s="13">
        <v>2010</v>
      </c>
    </row>
    <row r="603" spans="1:30" ht="15.75" thickBot="1" x14ac:dyDescent="0.3">
      <c r="A603" s="9" t="s">
        <v>1082</v>
      </c>
      <c r="B603" s="9" t="s">
        <v>1388</v>
      </c>
      <c r="C603" s="45" t="str">
        <f t="shared" si="9"/>
        <v>DET21023A40MB</v>
      </c>
      <c r="D603" s="10" t="s">
        <v>1403</v>
      </c>
      <c r="E603" s="10" t="s">
        <v>1404</v>
      </c>
      <c r="F603" s="9" t="s">
        <v>261</v>
      </c>
      <c r="G603" s="9" t="s">
        <v>924</v>
      </c>
      <c r="H603" s="12">
        <v>1500</v>
      </c>
      <c r="I603" s="12">
        <v>9160</v>
      </c>
      <c r="J603" s="13">
        <v>0</v>
      </c>
      <c r="K603" s="13">
        <v>0</v>
      </c>
      <c r="L603" s="13">
        <v>0</v>
      </c>
      <c r="M603" s="13">
        <v>0</v>
      </c>
      <c r="N603" s="13">
        <v>0</v>
      </c>
      <c r="O603" s="13">
        <v>0</v>
      </c>
      <c r="P603" s="13">
        <v>0</v>
      </c>
      <c r="Q603" s="13">
        <v>166</v>
      </c>
      <c r="R603" s="13">
        <v>1530</v>
      </c>
      <c r="S603" s="13">
        <v>1710</v>
      </c>
      <c r="T603" s="13">
        <v>1380</v>
      </c>
      <c r="U603" s="13">
        <v>1440</v>
      </c>
      <c r="V603" s="13">
        <v>2220</v>
      </c>
      <c r="W603" s="13">
        <v>2010</v>
      </c>
      <c r="X603" s="13">
        <v>2130</v>
      </c>
      <c r="Y603" s="13">
        <v>1470</v>
      </c>
      <c r="Z603" s="13">
        <v>0</v>
      </c>
      <c r="AA603" s="13">
        <v>1080</v>
      </c>
      <c r="AB603" s="13">
        <v>2100</v>
      </c>
      <c r="AC603" s="13">
        <v>1980</v>
      </c>
      <c r="AD603" s="13">
        <v>2010</v>
      </c>
    </row>
    <row r="604" spans="1:30" ht="15.75" thickBot="1" x14ac:dyDescent="0.3">
      <c r="A604" s="9" t="s">
        <v>1082</v>
      </c>
      <c r="B604" s="9" t="s">
        <v>1388</v>
      </c>
      <c r="C604" s="45" t="str">
        <f t="shared" si="9"/>
        <v>DET21023A41A</v>
      </c>
      <c r="D604" s="10" t="s">
        <v>1405</v>
      </c>
      <c r="E604" s="10" t="s">
        <v>1406</v>
      </c>
      <c r="F604" s="9" t="s">
        <v>494</v>
      </c>
      <c r="G604" s="9" t="s">
        <v>924</v>
      </c>
      <c r="H604" s="12">
        <v>1500</v>
      </c>
      <c r="I604" s="12">
        <v>3645</v>
      </c>
      <c r="J604" s="13">
        <v>0</v>
      </c>
      <c r="K604" s="13">
        <v>0</v>
      </c>
      <c r="L604" s="13">
        <v>1070</v>
      </c>
      <c r="M604" s="13">
        <v>2220</v>
      </c>
      <c r="N604" s="13">
        <v>2220</v>
      </c>
      <c r="O604" s="13">
        <v>2580</v>
      </c>
      <c r="P604" s="13">
        <v>1920</v>
      </c>
      <c r="Q604" s="13">
        <v>2400</v>
      </c>
      <c r="R604" s="13">
        <v>3060</v>
      </c>
      <c r="S604" s="13">
        <v>3420</v>
      </c>
      <c r="T604" s="13">
        <v>2760</v>
      </c>
      <c r="U604" s="13">
        <v>2880</v>
      </c>
      <c r="V604" s="13">
        <v>4440</v>
      </c>
      <c r="W604" s="13">
        <v>4020</v>
      </c>
      <c r="X604" s="13">
        <v>4260</v>
      </c>
      <c r="Y604" s="13">
        <v>2940</v>
      </c>
      <c r="Z604" s="13">
        <v>0</v>
      </c>
      <c r="AA604" s="13">
        <v>2160</v>
      </c>
      <c r="AB604" s="13">
        <v>4200</v>
      </c>
      <c r="AC604" s="13">
        <v>3960</v>
      </c>
      <c r="AD604" s="13">
        <v>4020</v>
      </c>
    </row>
    <row r="605" spans="1:30" ht="15.75" thickBot="1" x14ac:dyDescent="0.3">
      <c r="A605" s="9" t="s">
        <v>1082</v>
      </c>
      <c r="B605" s="9" t="s">
        <v>1388</v>
      </c>
      <c r="C605" s="45" t="str">
        <f t="shared" si="9"/>
        <v>DET2102428A</v>
      </c>
      <c r="D605" s="10" t="s">
        <v>1407</v>
      </c>
      <c r="E605" s="10" t="s">
        <v>1408</v>
      </c>
      <c r="F605" s="9" t="s">
        <v>261</v>
      </c>
      <c r="G605" s="9" t="s">
        <v>924</v>
      </c>
      <c r="H605" s="12">
        <v>3000</v>
      </c>
      <c r="I605" s="12">
        <v>12932</v>
      </c>
      <c r="J605" s="13">
        <v>0</v>
      </c>
      <c r="K605" s="13">
        <v>0</v>
      </c>
      <c r="L605" s="13">
        <v>0</v>
      </c>
      <c r="M605" s="13">
        <v>0</v>
      </c>
      <c r="N605" s="13">
        <v>0</v>
      </c>
      <c r="O605" s="13">
        <v>0</v>
      </c>
      <c r="P605" s="13">
        <v>0</v>
      </c>
      <c r="Q605" s="13">
        <v>0</v>
      </c>
      <c r="R605" s="13">
        <v>0</v>
      </c>
      <c r="S605" s="13">
        <v>0</v>
      </c>
      <c r="T605" s="13">
        <v>1014</v>
      </c>
      <c r="U605" s="13">
        <v>1440</v>
      </c>
      <c r="V605" s="13">
        <v>2220</v>
      </c>
      <c r="W605" s="13">
        <v>2010</v>
      </c>
      <c r="X605" s="13">
        <v>2130</v>
      </c>
      <c r="Y605" s="13">
        <v>1470</v>
      </c>
      <c r="Z605" s="13">
        <v>0</v>
      </c>
      <c r="AA605" s="13">
        <v>1080</v>
      </c>
      <c r="AB605" s="13">
        <v>2100</v>
      </c>
      <c r="AC605" s="13">
        <v>1980</v>
      </c>
      <c r="AD605" s="13">
        <v>2010</v>
      </c>
    </row>
    <row r="606" spans="1:30" ht="15.75" thickBot="1" x14ac:dyDescent="0.3">
      <c r="A606" s="9" t="s">
        <v>1082</v>
      </c>
      <c r="B606" s="9" t="s">
        <v>1388</v>
      </c>
      <c r="C606" s="45" t="str">
        <f t="shared" si="9"/>
        <v>DET21024A68A</v>
      </c>
      <c r="D606" s="10" t="s">
        <v>1409</v>
      </c>
      <c r="E606" s="10" t="s">
        <v>1410</v>
      </c>
      <c r="F606" s="9" t="s">
        <v>261</v>
      </c>
      <c r="G606" s="9" t="s">
        <v>924</v>
      </c>
      <c r="H606" s="12">
        <v>1500</v>
      </c>
      <c r="I606" s="12">
        <v>1142</v>
      </c>
      <c r="J606" s="13">
        <v>0</v>
      </c>
      <c r="K606" s="13">
        <v>0</v>
      </c>
      <c r="L606" s="13">
        <v>0</v>
      </c>
      <c r="M606" s="13">
        <v>376</v>
      </c>
      <c r="N606" s="13">
        <v>1088</v>
      </c>
      <c r="O606" s="13">
        <v>1504</v>
      </c>
      <c r="P606" s="13">
        <v>1898</v>
      </c>
      <c r="Q606" s="13">
        <v>722</v>
      </c>
      <c r="R606" s="13">
        <v>1176</v>
      </c>
      <c r="S606" s="13">
        <v>996</v>
      </c>
      <c r="T606" s="13">
        <v>1617</v>
      </c>
      <c r="U606" s="13">
        <v>1478</v>
      </c>
      <c r="V606" s="13">
        <v>1197</v>
      </c>
      <c r="W606" s="13">
        <v>2201</v>
      </c>
      <c r="X606" s="13">
        <v>1798</v>
      </c>
      <c r="Y606" s="13">
        <v>1902</v>
      </c>
      <c r="Z606" s="13">
        <v>2503</v>
      </c>
      <c r="AA606" s="13">
        <v>0</v>
      </c>
      <c r="AB606" s="13">
        <v>467</v>
      </c>
      <c r="AC606" s="13">
        <v>2234</v>
      </c>
      <c r="AD606" s="13">
        <v>1865</v>
      </c>
    </row>
    <row r="607" spans="1:30" ht="15.75" thickBot="1" x14ac:dyDescent="0.3">
      <c r="A607" s="9" t="s">
        <v>1082</v>
      </c>
      <c r="B607" s="9" t="s">
        <v>1388</v>
      </c>
      <c r="C607" s="45" t="str">
        <f t="shared" si="9"/>
        <v>DET2102544A</v>
      </c>
      <c r="D607" s="10" t="s">
        <v>1411</v>
      </c>
      <c r="E607" s="10" t="s">
        <v>1412</v>
      </c>
      <c r="F607" s="9" t="s">
        <v>261</v>
      </c>
      <c r="G607" s="9" t="s">
        <v>924</v>
      </c>
      <c r="H607" s="12">
        <v>1500</v>
      </c>
      <c r="I607" s="12">
        <v>11577</v>
      </c>
      <c r="J607" s="13">
        <v>0</v>
      </c>
      <c r="K607" s="13">
        <v>0</v>
      </c>
      <c r="L607" s="13">
        <v>0</v>
      </c>
      <c r="M607" s="13">
        <v>0</v>
      </c>
      <c r="N607" s="13">
        <v>0</v>
      </c>
      <c r="O607" s="13">
        <v>0</v>
      </c>
      <c r="P607" s="13">
        <v>0</v>
      </c>
      <c r="Q607" s="13">
        <v>0</v>
      </c>
      <c r="R607" s="13">
        <v>0</v>
      </c>
      <c r="S607" s="13">
        <v>0</v>
      </c>
      <c r="T607" s="13">
        <v>0</v>
      </c>
      <c r="U607" s="13">
        <v>0</v>
      </c>
      <c r="V607" s="13">
        <v>0</v>
      </c>
      <c r="W607" s="13">
        <v>185</v>
      </c>
      <c r="X607" s="13">
        <v>1798</v>
      </c>
      <c r="Y607" s="13">
        <v>1902</v>
      </c>
      <c r="Z607" s="13">
        <v>2503</v>
      </c>
      <c r="AA607" s="13">
        <v>0</v>
      </c>
      <c r="AB607" s="13">
        <v>467</v>
      </c>
      <c r="AC607" s="13">
        <v>2234</v>
      </c>
      <c r="AD607" s="13">
        <v>1865</v>
      </c>
    </row>
    <row r="608" spans="1:30" ht="15.75" thickBot="1" x14ac:dyDescent="0.3">
      <c r="A608" s="9" t="s">
        <v>1082</v>
      </c>
      <c r="B608" s="9" t="s">
        <v>1388</v>
      </c>
      <c r="C608" s="45" t="str">
        <f t="shared" si="9"/>
        <v>DET21044C30MB</v>
      </c>
      <c r="D608" s="10" t="s">
        <v>1413</v>
      </c>
      <c r="E608" s="10" t="s">
        <v>1414</v>
      </c>
      <c r="F608" s="9" t="s">
        <v>261</v>
      </c>
      <c r="G608" s="9" t="s">
        <v>924</v>
      </c>
      <c r="H608" s="12">
        <v>1500</v>
      </c>
      <c r="I608" s="12">
        <v>3366</v>
      </c>
      <c r="J608" s="13">
        <v>0</v>
      </c>
      <c r="K608" s="13">
        <v>0</v>
      </c>
      <c r="L608" s="13">
        <v>290</v>
      </c>
      <c r="M608" s="13">
        <v>1110</v>
      </c>
      <c r="N608" s="13">
        <v>1110</v>
      </c>
      <c r="O608" s="13">
        <v>1290</v>
      </c>
      <c r="P608" s="13">
        <v>960</v>
      </c>
      <c r="Q608" s="13">
        <v>1200</v>
      </c>
      <c r="R608" s="13">
        <v>1530</v>
      </c>
      <c r="S608" s="13">
        <v>1710</v>
      </c>
      <c r="T608" s="13">
        <v>1380</v>
      </c>
      <c r="U608" s="13">
        <v>1440</v>
      </c>
      <c r="V608" s="13">
        <v>2220</v>
      </c>
      <c r="W608" s="13">
        <v>2010</v>
      </c>
      <c r="X608" s="13">
        <v>2130</v>
      </c>
      <c r="Y608" s="13">
        <v>1470</v>
      </c>
      <c r="Z608" s="13">
        <v>0</v>
      </c>
      <c r="AA608" s="13">
        <v>1080</v>
      </c>
      <c r="AB608" s="13">
        <v>2100</v>
      </c>
      <c r="AC608" s="13">
        <v>1980</v>
      </c>
      <c r="AD608" s="13">
        <v>2010</v>
      </c>
    </row>
    <row r="609" spans="1:30" ht="15.75" thickBot="1" x14ac:dyDescent="0.3">
      <c r="A609" s="9" t="s">
        <v>1082</v>
      </c>
      <c r="B609" s="9" t="s">
        <v>1388</v>
      </c>
      <c r="C609" s="45" t="str">
        <f t="shared" si="9"/>
        <v>DET21108A60BPIA01</v>
      </c>
      <c r="D609" s="10" t="s">
        <v>1415</v>
      </c>
      <c r="E609" s="10" t="s">
        <v>1416</v>
      </c>
      <c r="F609" s="9" t="s">
        <v>494</v>
      </c>
      <c r="G609" s="9" t="s">
        <v>924</v>
      </c>
      <c r="H609" s="12">
        <v>1500</v>
      </c>
      <c r="I609" s="12">
        <v>4628</v>
      </c>
      <c r="J609" s="13">
        <v>0</v>
      </c>
      <c r="K609" s="13">
        <v>0</v>
      </c>
      <c r="L609" s="13">
        <v>0</v>
      </c>
      <c r="M609" s="13">
        <v>0</v>
      </c>
      <c r="N609" s="13">
        <v>1538</v>
      </c>
      <c r="O609" s="13">
        <v>2728</v>
      </c>
      <c r="P609" s="13">
        <v>2838</v>
      </c>
      <c r="Q609" s="13">
        <v>1848</v>
      </c>
      <c r="R609" s="13">
        <v>2002</v>
      </c>
      <c r="S609" s="13">
        <v>2992</v>
      </c>
      <c r="T609" s="13">
        <v>3102</v>
      </c>
      <c r="U609" s="13">
        <v>2992</v>
      </c>
      <c r="V609" s="13">
        <v>2706</v>
      </c>
      <c r="W609" s="13">
        <v>4136</v>
      </c>
      <c r="X609" s="13">
        <v>3850</v>
      </c>
      <c r="Y609" s="13">
        <v>4510</v>
      </c>
      <c r="Z609" s="13">
        <v>4488</v>
      </c>
      <c r="AA609" s="13">
        <v>0</v>
      </c>
      <c r="AB609" s="13">
        <v>902</v>
      </c>
      <c r="AC609" s="13">
        <v>4114</v>
      </c>
      <c r="AD609" s="13">
        <v>4048</v>
      </c>
    </row>
    <row r="610" spans="1:30" ht="15.75" thickBot="1" x14ac:dyDescent="0.3">
      <c r="A610" s="9" t="s">
        <v>1082</v>
      </c>
      <c r="B610" s="9" t="s">
        <v>1388</v>
      </c>
      <c r="C610" s="45" t="str">
        <f t="shared" si="9"/>
        <v>DET21108A60BPIA03</v>
      </c>
      <c r="D610" s="10" t="s">
        <v>1417</v>
      </c>
      <c r="E610" s="10" t="s">
        <v>1418</v>
      </c>
      <c r="F610" s="9" t="s">
        <v>494</v>
      </c>
      <c r="G610" s="9" t="s">
        <v>924</v>
      </c>
      <c r="H610" s="12">
        <v>1500</v>
      </c>
      <c r="I610" s="12">
        <v>4877</v>
      </c>
      <c r="J610" s="13">
        <v>0</v>
      </c>
      <c r="K610" s="13">
        <v>0</v>
      </c>
      <c r="L610" s="13">
        <v>0</v>
      </c>
      <c r="M610" s="13">
        <v>0</v>
      </c>
      <c r="N610" s="13">
        <v>1538</v>
      </c>
      <c r="O610" s="13">
        <v>2728</v>
      </c>
      <c r="P610" s="13">
        <v>2838</v>
      </c>
      <c r="Q610" s="13">
        <v>1848</v>
      </c>
      <c r="R610" s="13">
        <v>2002</v>
      </c>
      <c r="S610" s="13">
        <v>2992</v>
      </c>
      <c r="T610" s="13">
        <v>3102</v>
      </c>
      <c r="U610" s="13">
        <v>2992</v>
      </c>
      <c r="V610" s="13">
        <v>2706</v>
      </c>
      <c r="W610" s="13">
        <v>4136</v>
      </c>
      <c r="X610" s="13">
        <v>3850</v>
      </c>
      <c r="Y610" s="13">
        <v>4510</v>
      </c>
      <c r="Z610" s="13">
        <v>4488</v>
      </c>
      <c r="AA610" s="13">
        <v>0</v>
      </c>
      <c r="AB610" s="13">
        <v>902</v>
      </c>
      <c r="AC610" s="13">
        <v>4114</v>
      </c>
      <c r="AD610" s="13">
        <v>4048</v>
      </c>
    </row>
    <row r="611" spans="1:30" ht="15.75" thickBot="1" x14ac:dyDescent="0.3">
      <c r="A611" s="9" t="s">
        <v>1082</v>
      </c>
      <c r="B611" s="9" t="s">
        <v>1388</v>
      </c>
      <c r="C611" s="45" t="str">
        <f t="shared" si="9"/>
        <v>DET2116386A</v>
      </c>
      <c r="D611" s="10" t="s">
        <v>1419</v>
      </c>
      <c r="E611" s="10" t="s">
        <v>1420</v>
      </c>
      <c r="F611" s="9" t="s">
        <v>494</v>
      </c>
      <c r="G611" s="9" t="s">
        <v>924</v>
      </c>
      <c r="H611" s="12">
        <v>3000</v>
      </c>
      <c r="I611" s="12">
        <v>24736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4368</v>
      </c>
      <c r="P611" s="13">
        <v>3920</v>
      </c>
      <c r="Q611" s="13">
        <v>4660</v>
      </c>
      <c r="R611" s="13">
        <v>6080</v>
      </c>
      <c r="S611" s="13">
        <v>6700</v>
      </c>
      <c r="T611" s="13">
        <v>5800</v>
      </c>
      <c r="U611" s="13">
        <v>5360</v>
      </c>
      <c r="V611" s="13">
        <v>8880</v>
      </c>
      <c r="W611" s="13">
        <v>8200</v>
      </c>
      <c r="X611" s="13">
        <v>8140</v>
      </c>
      <c r="Y611" s="13">
        <v>6880</v>
      </c>
      <c r="Z611" s="13">
        <v>0</v>
      </c>
      <c r="AA611" s="13">
        <v>3680</v>
      </c>
      <c r="AB611" s="13">
        <v>8280</v>
      </c>
      <c r="AC611" s="13">
        <v>8080</v>
      </c>
      <c r="AD611" s="13">
        <v>7920</v>
      </c>
    </row>
    <row r="612" spans="1:30" ht="15.75" thickBot="1" x14ac:dyDescent="0.3">
      <c r="A612" s="9" t="s">
        <v>1082</v>
      </c>
      <c r="B612" s="9" t="s">
        <v>1388</v>
      </c>
      <c r="C612" s="45" t="str">
        <f t="shared" si="9"/>
        <v>DET26103B60A</v>
      </c>
      <c r="D612" s="10" t="s">
        <v>1421</v>
      </c>
      <c r="E612" s="10" t="s">
        <v>1422</v>
      </c>
      <c r="F612" s="9" t="s">
        <v>494</v>
      </c>
      <c r="G612" s="9" t="s">
        <v>924</v>
      </c>
      <c r="H612" s="12">
        <v>3000</v>
      </c>
      <c r="I612" s="12">
        <v>14182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2930</v>
      </c>
      <c r="T612" s="13">
        <v>3150</v>
      </c>
      <c r="U612" s="13">
        <v>2970</v>
      </c>
      <c r="V612" s="13">
        <v>2570</v>
      </c>
      <c r="W612" s="13">
        <v>4136</v>
      </c>
      <c r="X612" s="13">
        <v>3996</v>
      </c>
      <c r="Y612" s="13">
        <v>3982</v>
      </c>
      <c r="Z612" s="13">
        <v>4944</v>
      </c>
      <c r="AA612" s="13">
        <v>0</v>
      </c>
      <c r="AB612" s="13">
        <v>824</v>
      </c>
      <c r="AC612" s="13">
        <v>4126</v>
      </c>
      <c r="AD612" s="13">
        <v>4110</v>
      </c>
    </row>
    <row r="613" spans="1:30" ht="15.75" thickBot="1" x14ac:dyDescent="0.3">
      <c r="A613" s="9" t="s">
        <v>1082</v>
      </c>
      <c r="B613" s="9" t="s">
        <v>1388</v>
      </c>
      <c r="C613" s="45" t="str">
        <f t="shared" si="9"/>
        <v>DET26103B60B</v>
      </c>
      <c r="D613" s="10" t="s">
        <v>1423</v>
      </c>
      <c r="E613" s="10" t="s">
        <v>1422</v>
      </c>
      <c r="F613" s="9" t="s">
        <v>494</v>
      </c>
      <c r="G613" s="9" t="s">
        <v>924</v>
      </c>
      <c r="H613" s="12">
        <v>3000</v>
      </c>
      <c r="I613" s="12">
        <v>300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</row>
    <row r="614" spans="1:30" ht="15.75" thickBot="1" x14ac:dyDescent="0.3">
      <c r="A614" s="9" t="s">
        <v>1082</v>
      </c>
      <c r="B614" s="9" t="s">
        <v>1388</v>
      </c>
      <c r="C614" s="45" t="str">
        <f t="shared" si="9"/>
        <v>DET26106A58A</v>
      </c>
      <c r="D614" s="10" t="s">
        <v>1424</v>
      </c>
      <c r="E614" s="10" t="s">
        <v>1425</v>
      </c>
      <c r="F614" s="9" t="s">
        <v>494</v>
      </c>
      <c r="G614" s="9" t="s">
        <v>924</v>
      </c>
      <c r="H614" s="12">
        <v>1500</v>
      </c>
      <c r="I614" s="12">
        <v>14861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980</v>
      </c>
      <c r="W614" s="13">
        <v>2068</v>
      </c>
      <c r="X614" s="13">
        <v>1998</v>
      </c>
      <c r="Y614" s="13">
        <v>1991</v>
      </c>
      <c r="Z614" s="13">
        <v>2472</v>
      </c>
      <c r="AA614" s="13">
        <v>0</v>
      </c>
      <c r="AB614" s="13">
        <v>412</v>
      </c>
      <c r="AC614" s="13">
        <v>2063</v>
      </c>
      <c r="AD614" s="13">
        <v>2055</v>
      </c>
    </row>
    <row r="615" spans="1:30" ht="15.75" thickBot="1" x14ac:dyDescent="0.3">
      <c r="A615" s="9" t="s">
        <v>1082</v>
      </c>
      <c r="B615" s="9" t="s">
        <v>1388</v>
      </c>
      <c r="C615" s="45" t="str">
        <f t="shared" si="9"/>
        <v>DET2611753A</v>
      </c>
      <c r="D615" s="10" t="s">
        <v>1426</v>
      </c>
      <c r="E615" s="10" t="s">
        <v>1427</v>
      </c>
      <c r="F615" s="9" t="s">
        <v>494</v>
      </c>
      <c r="G615" s="9" t="s">
        <v>924</v>
      </c>
      <c r="H615" s="12">
        <v>3000</v>
      </c>
      <c r="I615" s="12">
        <v>7475</v>
      </c>
      <c r="J615" s="13">
        <v>0</v>
      </c>
      <c r="K615" s="13">
        <v>0</v>
      </c>
      <c r="L615" s="13">
        <v>0</v>
      </c>
      <c r="M615" s="13">
        <v>1278</v>
      </c>
      <c r="N615" s="13">
        <v>3324</v>
      </c>
      <c r="O615" s="13">
        <v>4554</v>
      </c>
      <c r="P615" s="13">
        <v>5685</v>
      </c>
      <c r="Q615" s="13">
        <v>1113</v>
      </c>
      <c r="R615" s="13">
        <v>3129</v>
      </c>
      <c r="S615" s="13">
        <v>4548</v>
      </c>
      <c r="T615" s="13">
        <v>4989</v>
      </c>
      <c r="U615" s="13">
        <v>4455</v>
      </c>
      <c r="V615" s="13">
        <v>3855</v>
      </c>
      <c r="W615" s="13">
        <v>6204</v>
      </c>
      <c r="X615" s="13">
        <v>5994</v>
      </c>
      <c r="Y615" s="13">
        <v>5973</v>
      </c>
      <c r="Z615" s="13">
        <v>7416</v>
      </c>
      <c r="AA615" s="13">
        <v>0</v>
      </c>
      <c r="AB615" s="13">
        <v>1236</v>
      </c>
      <c r="AC615" s="13">
        <v>6189</v>
      </c>
      <c r="AD615" s="13">
        <v>6165</v>
      </c>
    </row>
    <row r="616" spans="1:30" ht="15.75" thickBot="1" x14ac:dyDescent="0.3">
      <c r="A616" s="9" t="s">
        <v>1082</v>
      </c>
      <c r="B616" s="9" t="s">
        <v>1388</v>
      </c>
      <c r="C616" s="45" t="str">
        <f t="shared" si="9"/>
        <v>DET2613110A</v>
      </c>
      <c r="D616" s="10" t="s">
        <v>1428</v>
      </c>
      <c r="E616" s="10" t="s">
        <v>1429</v>
      </c>
      <c r="F616" s="9" t="s">
        <v>494</v>
      </c>
      <c r="G616" s="9" t="s">
        <v>924</v>
      </c>
      <c r="H616" s="12">
        <v>1500</v>
      </c>
      <c r="I616" s="12">
        <v>628</v>
      </c>
      <c r="J616" s="13">
        <v>0</v>
      </c>
      <c r="K616" s="13">
        <v>0</v>
      </c>
      <c r="L616" s="13">
        <v>146</v>
      </c>
      <c r="M616" s="13">
        <v>1021</v>
      </c>
      <c r="N616" s="13">
        <v>1108</v>
      </c>
      <c r="O616" s="13">
        <v>1518</v>
      </c>
      <c r="P616" s="13">
        <v>1895</v>
      </c>
      <c r="Q616" s="13">
        <v>371</v>
      </c>
      <c r="R616" s="13">
        <v>1043</v>
      </c>
      <c r="S616" s="13">
        <v>1516</v>
      </c>
      <c r="T616" s="13">
        <v>1663</v>
      </c>
      <c r="U616" s="13">
        <v>1485</v>
      </c>
      <c r="V616" s="13">
        <v>1285</v>
      </c>
      <c r="W616" s="13">
        <v>2068</v>
      </c>
      <c r="X616" s="13">
        <v>1998</v>
      </c>
      <c r="Y616" s="13">
        <v>1991</v>
      </c>
      <c r="Z616" s="13">
        <v>2472</v>
      </c>
      <c r="AA616" s="13">
        <v>0</v>
      </c>
      <c r="AB616" s="13">
        <v>412</v>
      </c>
      <c r="AC616" s="13">
        <v>2063</v>
      </c>
      <c r="AD616" s="13">
        <v>2055</v>
      </c>
    </row>
    <row r="617" spans="1:30" ht="15.75" thickBot="1" x14ac:dyDescent="0.3">
      <c r="A617" s="9" t="s">
        <v>1082</v>
      </c>
      <c r="B617" s="9" t="s">
        <v>1388</v>
      </c>
      <c r="C617" s="45" t="str">
        <f t="shared" si="9"/>
        <v>DET26605A40A</v>
      </c>
      <c r="D617" s="10" t="s">
        <v>1430</v>
      </c>
      <c r="E617" s="10" t="s">
        <v>1431</v>
      </c>
      <c r="F617" s="9" t="s">
        <v>494</v>
      </c>
      <c r="G617" s="9" t="s">
        <v>924</v>
      </c>
      <c r="H617" s="12">
        <v>1500</v>
      </c>
      <c r="I617" s="12">
        <v>1517</v>
      </c>
      <c r="J617" s="13">
        <v>0</v>
      </c>
      <c r="K617" s="13">
        <v>0</v>
      </c>
      <c r="L617" s="13">
        <v>0</v>
      </c>
      <c r="M617" s="13">
        <v>0</v>
      </c>
      <c r="N617" s="13">
        <v>630</v>
      </c>
      <c r="O617" s="13">
        <v>1518</v>
      </c>
      <c r="P617" s="13">
        <v>1895</v>
      </c>
      <c r="Q617" s="13">
        <v>371</v>
      </c>
      <c r="R617" s="13">
        <v>1043</v>
      </c>
      <c r="S617" s="13">
        <v>1516</v>
      </c>
      <c r="T617" s="13">
        <v>1663</v>
      </c>
      <c r="U617" s="13">
        <v>1485</v>
      </c>
      <c r="V617" s="13">
        <v>1285</v>
      </c>
      <c r="W617" s="13">
        <v>2068</v>
      </c>
      <c r="X617" s="13">
        <v>1998</v>
      </c>
      <c r="Y617" s="13">
        <v>1991</v>
      </c>
      <c r="Z617" s="13">
        <v>2472</v>
      </c>
      <c r="AA617" s="13">
        <v>0</v>
      </c>
      <c r="AB617" s="13">
        <v>412</v>
      </c>
      <c r="AC617" s="13">
        <v>2063</v>
      </c>
      <c r="AD617" s="13">
        <v>2055</v>
      </c>
    </row>
    <row r="618" spans="1:30" ht="15.75" thickBot="1" x14ac:dyDescent="0.3">
      <c r="A618" s="9" t="s">
        <v>1082</v>
      </c>
      <c r="B618" s="9" t="s">
        <v>1388</v>
      </c>
      <c r="C618" s="45" t="str">
        <f t="shared" si="9"/>
        <v>DET26605A41A</v>
      </c>
      <c r="D618" s="10" t="s">
        <v>1432</v>
      </c>
      <c r="E618" s="10" t="s">
        <v>1431</v>
      </c>
      <c r="F618" s="9" t="s">
        <v>494</v>
      </c>
      <c r="G618" s="9" t="s">
        <v>924</v>
      </c>
      <c r="H618" s="12">
        <v>1500</v>
      </c>
      <c r="I618" s="12">
        <v>6233</v>
      </c>
      <c r="J618" s="13">
        <v>0</v>
      </c>
      <c r="K618" s="13">
        <v>0</v>
      </c>
      <c r="L618" s="13">
        <v>0</v>
      </c>
      <c r="M618" s="13">
        <v>0</v>
      </c>
      <c r="N618" s="13">
        <v>630</v>
      </c>
      <c r="O618" s="13">
        <v>1518</v>
      </c>
      <c r="P618" s="13">
        <v>1895</v>
      </c>
      <c r="Q618" s="13">
        <v>371</v>
      </c>
      <c r="R618" s="13">
        <v>1043</v>
      </c>
      <c r="S618" s="13">
        <v>1516</v>
      </c>
      <c r="T618" s="13">
        <v>1663</v>
      </c>
      <c r="U618" s="13">
        <v>1485</v>
      </c>
      <c r="V618" s="13">
        <v>1285</v>
      </c>
      <c r="W618" s="13">
        <v>2068</v>
      </c>
      <c r="X618" s="13">
        <v>1998</v>
      </c>
      <c r="Y618" s="13">
        <v>1991</v>
      </c>
      <c r="Z618" s="13">
        <v>2472</v>
      </c>
      <c r="AA618" s="13">
        <v>0</v>
      </c>
      <c r="AB618" s="13">
        <v>412</v>
      </c>
      <c r="AC618" s="13">
        <v>2063</v>
      </c>
      <c r="AD618" s="13">
        <v>2055</v>
      </c>
    </row>
    <row r="619" spans="1:30" ht="15.75" thickBot="1" x14ac:dyDescent="0.3">
      <c r="A619" s="9" t="s">
        <v>1082</v>
      </c>
      <c r="B619" s="9" t="s">
        <v>1388</v>
      </c>
      <c r="C619" s="45" t="str">
        <f t="shared" si="9"/>
        <v>DET2661270A</v>
      </c>
      <c r="D619" s="10" t="s">
        <v>1433</v>
      </c>
      <c r="E619" s="10" t="s">
        <v>1434</v>
      </c>
      <c r="F619" s="9" t="s">
        <v>494</v>
      </c>
      <c r="G619" s="9" t="s">
        <v>924</v>
      </c>
      <c r="H619" s="12">
        <v>1500</v>
      </c>
      <c r="I619" s="12">
        <v>2676</v>
      </c>
      <c r="J619" s="13">
        <v>0</v>
      </c>
      <c r="K619" s="13">
        <v>0</v>
      </c>
      <c r="L619" s="13">
        <v>961</v>
      </c>
      <c r="M619" s="13">
        <v>1021</v>
      </c>
      <c r="N619" s="13">
        <v>1108</v>
      </c>
      <c r="O619" s="13">
        <v>1518</v>
      </c>
      <c r="P619" s="13">
        <v>1895</v>
      </c>
      <c r="Q619" s="13">
        <v>371</v>
      </c>
      <c r="R619" s="13">
        <v>1043</v>
      </c>
      <c r="S619" s="13">
        <v>1494</v>
      </c>
      <c r="T619" s="13">
        <v>1575</v>
      </c>
      <c r="U619" s="13">
        <v>1485</v>
      </c>
      <c r="V619" s="13">
        <v>1285</v>
      </c>
      <c r="W619" s="13">
        <v>2068</v>
      </c>
      <c r="X619" s="13">
        <v>1998</v>
      </c>
      <c r="Y619" s="13">
        <v>1991</v>
      </c>
      <c r="Z619" s="13">
        <v>2472</v>
      </c>
      <c r="AA619" s="13">
        <v>0</v>
      </c>
      <c r="AB619" s="13">
        <v>412</v>
      </c>
      <c r="AC619" s="13">
        <v>2063</v>
      </c>
      <c r="AD619" s="13">
        <v>2055</v>
      </c>
    </row>
    <row r="620" spans="1:30" ht="15.75" thickBot="1" x14ac:dyDescent="0.3">
      <c r="A620" s="9" t="s">
        <v>1082</v>
      </c>
      <c r="B620" s="9" t="s">
        <v>1388</v>
      </c>
      <c r="C620" s="45" t="str">
        <f t="shared" si="9"/>
        <v>DET2661270B</v>
      </c>
      <c r="D620" s="10" t="s">
        <v>1435</v>
      </c>
      <c r="E620" s="10" t="s">
        <v>1434</v>
      </c>
      <c r="F620" s="9" t="s">
        <v>494</v>
      </c>
      <c r="G620" s="9" t="s">
        <v>924</v>
      </c>
      <c r="H620" s="12">
        <v>1500</v>
      </c>
      <c r="I620" s="12">
        <v>8</v>
      </c>
      <c r="J620" s="13">
        <v>0</v>
      </c>
      <c r="K620" s="13">
        <v>0</v>
      </c>
      <c r="L620" s="13">
        <v>0</v>
      </c>
      <c r="M620" s="13">
        <v>0</v>
      </c>
      <c r="N620" s="13">
        <v>0</v>
      </c>
      <c r="O620" s="13">
        <v>0</v>
      </c>
      <c r="P620" s="13">
        <v>0</v>
      </c>
      <c r="Q620" s="13">
        <v>0</v>
      </c>
      <c r="R620" s="13">
        <v>0</v>
      </c>
      <c r="S620" s="13">
        <v>14</v>
      </c>
      <c r="T620" s="13">
        <v>88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0</v>
      </c>
    </row>
    <row r="621" spans="1:30" ht="15.75" thickBot="1" x14ac:dyDescent="0.3">
      <c r="A621" s="9" t="s">
        <v>1082</v>
      </c>
      <c r="B621" s="9" t="s">
        <v>1388</v>
      </c>
      <c r="C621" s="45" t="str">
        <f t="shared" si="9"/>
        <v>DET2661271A</v>
      </c>
      <c r="D621" s="10" t="s">
        <v>1436</v>
      </c>
      <c r="E621" s="10" t="s">
        <v>1437</v>
      </c>
      <c r="F621" s="9" t="s">
        <v>494</v>
      </c>
      <c r="G621" s="9" t="s">
        <v>924</v>
      </c>
      <c r="H621" s="12">
        <v>1500</v>
      </c>
      <c r="I621" s="12">
        <v>1975</v>
      </c>
      <c r="J621" s="13">
        <v>0</v>
      </c>
      <c r="K621" s="13">
        <v>0</v>
      </c>
      <c r="L621" s="13">
        <v>961</v>
      </c>
      <c r="M621" s="13">
        <v>1021</v>
      </c>
      <c r="N621" s="13">
        <v>1108</v>
      </c>
      <c r="O621" s="13">
        <v>1518</v>
      </c>
      <c r="P621" s="13">
        <v>1895</v>
      </c>
      <c r="Q621" s="13">
        <v>371</v>
      </c>
      <c r="R621" s="13">
        <v>1043</v>
      </c>
      <c r="S621" s="13">
        <v>1494</v>
      </c>
      <c r="T621" s="13">
        <v>1575</v>
      </c>
      <c r="U621" s="13">
        <v>1485</v>
      </c>
      <c r="V621" s="13">
        <v>1285</v>
      </c>
      <c r="W621" s="13">
        <v>2068</v>
      </c>
      <c r="X621" s="13">
        <v>1998</v>
      </c>
      <c r="Y621" s="13">
        <v>1991</v>
      </c>
      <c r="Z621" s="13">
        <v>2472</v>
      </c>
      <c r="AA621" s="13">
        <v>0</v>
      </c>
      <c r="AB621" s="13">
        <v>412</v>
      </c>
      <c r="AC621" s="13">
        <v>2063</v>
      </c>
      <c r="AD621" s="13">
        <v>2055</v>
      </c>
    </row>
    <row r="622" spans="1:30" ht="15.75" thickBot="1" x14ac:dyDescent="0.3">
      <c r="A622" s="9" t="s">
        <v>1082</v>
      </c>
      <c r="B622" s="9" t="s">
        <v>1388</v>
      </c>
      <c r="C622" s="45" t="str">
        <f t="shared" si="9"/>
        <v>DET2661271B</v>
      </c>
      <c r="D622" s="10" t="s">
        <v>1438</v>
      </c>
      <c r="E622" s="10" t="s">
        <v>1437</v>
      </c>
      <c r="F622" s="9" t="s">
        <v>494</v>
      </c>
      <c r="G622" s="9" t="s">
        <v>924</v>
      </c>
      <c r="H622" s="12">
        <v>1500</v>
      </c>
      <c r="I622" s="12">
        <v>8</v>
      </c>
      <c r="J622" s="13">
        <v>0</v>
      </c>
      <c r="K622" s="13">
        <v>0</v>
      </c>
      <c r="L622" s="13">
        <v>0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0</v>
      </c>
      <c r="S622" s="13">
        <v>14</v>
      </c>
      <c r="T622" s="13">
        <v>88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</row>
    <row r="623" spans="1:30" ht="15.75" thickBot="1" x14ac:dyDescent="0.3">
      <c r="A623" s="9" t="s">
        <v>1082</v>
      </c>
      <c r="B623" s="9" t="s">
        <v>1388</v>
      </c>
      <c r="C623" s="45" t="str">
        <f t="shared" si="9"/>
        <v>DET3D072OS</v>
      </c>
      <c r="D623" s="10" t="s">
        <v>1439</v>
      </c>
      <c r="E623" s="10" t="s">
        <v>1440</v>
      </c>
      <c r="F623" s="9" t="s">
        <v>364</v>
      </c>
      <c r="G623" s="9" t="s">
        <v>924</v>
      </c>
      <c r="H623" s="12">
        <v>1500</v>
      </c>
      <c r="I623" s="12">
        <v>795</v>
      </c>
      <c r="J623" s="13">
        <v>5076</v>
      </c>
      <c r="K623" s="13">
        <v>1788</v>
      </c>
      <c r="L623" s="13">
        <v>1391</v>
      </c>
      <c r="M623" s="13">
        <v>0</v>
      </c>
      <c r="N623" s="13">
        <v>0</v>
      </c>
      <c r="O623" s="13">
        <v>4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</row>
    <row r="624" spans="1:30" ht="15.75" thickBot="1" x14ac:dyDescent="0.3">
      <c r="A624" s="9" t="s">
        <v>1082</v>
      </c>
      <c r="B624" s="9" t="s">
        <v>1388</v>
      </c>
      <c r="C624" s="45" t="str">
        <f t="shared" si="9"/>
        <v>DET3D072SB3COS</v>
      </c>
      <c r="D624" s="10" t="s">
        <v>1441</v>
      </c>
      <c r="E624" s="10" t="s">
        <v>1440</v>
      </c>
      <c r="F624" s="9" t="s">
        <v>364</v>
      </c>
      <c r="G624" s="9" t="s">
        <v>924</v>
      </c>
      <c r="H624" s="12">
        <v>1500</v>
      </c>
      <c r="I624" s="12">
        <v>90</v>
      </c>
      <c r="J624" s="13">
        <v>537</v>
      </c>
      <c r="K624" s="13">
        <v>0</v>
      </c>
      <c r="L624" s="13">
        <v>0</v>
      </c>
      <c r="M624" s="13">
        <v>0</v>
      </c>
      <c r="N624" s="13">
        <v>720</v>
      </c>
      <c r="O624" s="13">
        <v>3240</v>
      </c>
      <c r="P624" s="13">
        <v>2160</v>
      </c>
      <c r="Q624" s="13">
        <v>3600</v>
      </c>
      <c r="R624" s="13">
        <v>3600</v>
      </c>
      <c r="S624" s="13">
        <v>3240</v>
      </c>
      <c r="T624" s="13">
        <v>2160</v>
      </c>
      <c r="U624" s="13">
        <v>3600</v>
      </c>
      <c r="V624" s="13">
        <v>3600</v>
      </c>
      <c r="W624" s="13">
        <v>3600</v>
      </c>
      <c r="X624" s="13">
        <v>2880</v>
      </c>
      <c r="Y624" s="13">
        <v>360</v>
      </c>
      <c r="Z624" s="13">
        <v>2160</v>
      </c>
      <c r="AA624" s="13">
        <v>3600</v>
      </c>
      <c r="AB624" s="13">
        <v>3240</v>
      </c>
      <c r="AC624" s="13">
        <v>2160</v>
      </c>
      <c r="AD624" s="13">
        <v>3600</v>
      </c>
    </row>
    <row r="625" spans="1:30" ht="15.75" thickBot="1" x14ac:dyDescent="0.3">
      <c r="A625" s="9" t="s">
        <v>1082</v>
      </c>
      <c r="B625" s="9" t="s">
        <v>1388</v>
      </c>
      <c r="C625" s="45" t="str">
        <f t="shared" si="9"/>
        <v>DET58016A02</v>
      </c>
      <c r="D625" s="10" t="s">
        <v>1442</v>
      </c>
      <c r="E625" s="10" t="s">
        <v>1443</v>
      </c>
      <c r="F625" s="9" t="s">
        <v>364</v>
      </c>
      <c r="G625" s="9" t="s">
        <v>924</v>
      </c>
      <c r="H625" s="12">
        <v>1500</v>
      </c>
      <c r="I625" s="12">
        <v>4577</v>
      </c>
      <c r="J625" s="13">
        <v>0</v>
      </c>
      <c r="K625" s="13">
        <v>0</v>
      </c>
      <c r="L625" s="13">
        <v>0</v>
      </c>
      <c r="M625" s="13">
        <v>1431</v>
      </c>
      <c r="N625" s="13">
        <v>3120</v>
      </c>
      <c r="O625" s="13">
        <v>1740</v>
      </c>
      <c r="P625" s="13">
        <v>3660</v>
      </c>
      <c r="Q625" s="13">
        <v>2760</v>
      </c>
      <c r="R625" s="13">
        <v>3240</v>
      </c>
      <c r="S625" s="13">
        <v>4200</v>
      </c>
      <c r="T625" s="13">
        <v>4140</v>
      </c>
      <c r="U625" s="13">
        <v>3600</v>
      </c>
      <c r="V625" s="13">
        <v>2640</v>
      </c>
      <c r="W625" s="13">
        <v>3660</v>
      </c>
      <c r="X625" s="13">
        <v>3720</v>
      </c>
      <c r="Y625" s="13">
        <v>3240</v>
      </c>
      <c r="Z625" s="13">
        <v>3360</v>
      </c>
      <c r="AA625" s="13">
        <v>120</v>
      </c>
      <c r="AB625" s="13">
        <v>1200</v>
      </c>
      <c r="AC625" s="13">
        <v>3600</v>
      </c>
      <c r="AD625" s="13">
        <v>3600</v>
      </c>
    </row>
    <row r="626" spans="1:30" ht="15.75" thickBot="1" x14ac:dyDescent="0.3">
      <c r="A626" s="9" t="s">
        <v>1082</v>
      </c>
      <c r="B626" s="9" t="s">
        <v>1388</v>
      </c>
      <c r="C626" s="45" t="str">
        <f t="shared" si="9"/>
        <v>DET5811270</v>
      </c>
      <c r="D626" s="10" t="s">
        <v>1444</v>
      </c>
      <c r="E626" s="10" t="s">
        <v>1445</v>
      </c>
      <c r="F626" s="9" t="s">
        <v>364</v>
      </c>
      <c r="G626" s="9" t="s">
        <v>924</v>
      </c>
      <c r="H626" s="12">
        <v>1500</v>
      </c>
      <c r="I626" s="12">
        <v>9731</v>
      </c>
      <c r="J626" s="13">
        <v>0</v>
      </c>
      <c r="K626" s="13">
        <v>107</v>
      </c>
      <c r="L626" s="13">
        <v>5343</v>
      </c>
      <c r="M626" s="13">
        <v>3662</v>
      </c>
      <c r="N626" s="13">
        <v>4049</v>
      </c>
      <c r="O626" s="13">
        <v>4939</v>
      </c>
      <c r="P626" s="13">
        <v>5225</v>
      </c>
      <c r="Q626" s="13">
        <v>3881</v>
      </c>
      <c r="R626" s="13">
        <v>3998</v>
      </c>
      <c r="S626" s="13">
        <v>5578</v>
      </c>
      <c r="T626" s="13">
        <v>5720</v>
      </c>
      <c r="U626" s="13">
        <v>5275</v>
      </c>
      <c r="V626" s="13">
        <v>3831</v>
      </c>
      <c r="W626" s="13">
        <v>5720</v>
      </c>
      <c r="X626" s="13">
        <v>5553</v>
      </c>
      <c r="Y626" s="13">
        <v>5871</v>
      </c>
      <c r="Z626" s="13">
        <v>6410</v>
      </c>
      <c r="AA626" s="13">
        <v>0</v>
      </c>
      <c r="AB626" s="13">
        <v>1126</v>
      </c>
      <c r="AC626" s="13">
        <v>5653</v>
      </c>
      <c r="AD626" s="13">
        <v>5653</v>
      </c>
    </row>
    <row r="627" spans="1:30" ht="15.75" thickBot="1" x14ac:dyDescent="0.3">
      <c r="A627" s="9" t="s">
        <v>1082</v>
      </c>
      <c r="B627" s="9" t="s">
        <v>1388</v>
      </c>
      <c r="C627" s="45" t="str">
        <f t="shared" si="9"/>
        <v>DET5811271</v>
      </c>
      <c r="D627" s="10" t="s">
        <v>1446</v>
      </c>
      <c r="E627" s="10" t="s">
        <v>1445</v>
      </c>
      <c r="F627" s="9" t="s">
        <v>364</v>
      </c>
      <c r="G627" s="9" t="s">
        <v>924</v>
      </c>
      <c r="H627" s="12">
        <v>1500</v>
      </c>
      <c r="I627" s="12">
        <v>3640</v>
      </c>
      <c r="J627" s="13">
        <v>0</v>
      </c>
      <c r="K627" s="13">
        <v>107</v>
      </c>
      <c r="L627" s="13">
        <v>5343</v>
      </c>
      <c r="M627" s="13">
        <v>3662</v>
      </c>
      <c r="N627" s="13">
        <v>4049</v>
      </c>
      <c r="O627" s="13">
        <v>4939</v>
      </c>
      <c r="P627" s="13">
        <v>5225</v>
      </c>
      <c r="Q627" s="13">
        <v>3881</v>
      </c>
      <c r="R627" s="13">
        <v>3998</v>
      </c>
      <c r="S627" s="13">
        <v>5578</v>
      </c>
      <c r="T627" s="13">
        <v>5720</v>
      </c>
      <c r="U627" s="13">
        <v>5275</v>
      </c>
      <c r="V627" s="13">
        <v>3831</v>
      </c>
      <c r="W627" s="13">
        <v>5720</v>
      </c>
      <c r="X627" s="13">
        <v>5553</v>
      </c>
      <c r="Y627" s="13">
        <v>5871</v>
      </c>
      <c r="Z627" s="13">
        <v>6410</v>
      </c>
      <c r="AA627" s="13">
        <v>0</v>
      </c>
      <c r="AB627" s="13">
        <v>1126</v>
      </c>
      <c r="AC627" s="13">
        <v>5653</v>
      </c>
      <c r="AD627" s="13">
        <v>5653</v>
      </c>
    </row>
    <row r="628" spans="1:30" ht="15.75" thickBot="1" x14ac:dyDescent="0.3">
      <c r="A628" s="9" t="s">
        <v>1082</v>
      </c>
      <c r="B628" s="9" t="s">
        <v>1388</v>
      </c>
      <c r="C628" s="45" t="str">
        <f t="shared" si="9"/>
        <v>DET5F147OS</v>
      </c>
      <c r="D628" s="10" t="s">
        <v>1447</v>
      </c>
      <c r="E628" s="10" t="s">
        <v>944</v>
      </c>
      <c r="F628" s="9" t="s">
        <v>364</v>
      </c>
      <c r="G628" s="9" t="s">
        <v>924</v>
      </c>
      <c r="H628" s="12">
        <v>1500</v>
      </c>
      <c r="I628" s="12">
        <v>13691</v>
      </c>
      <c r="J628" s="13">
        <v>611</v>
      </c>
      <c r="K628" s="13">
        <v>3600</v>
      </c>
      <c r="L628" s="13">
        <v>0</v>
      </c>
      <c r="M628" s="13">
        <v>3600</v>
      </c>
      <c r="N628" s="13">
        <v>3600</v>
      </c>
      <c r="O628" s="13">
        <v>7200</v>
      </c>
      <c r="P628" s="13">
        <v>0</v>
      </c>
      <c r="Q628" s="13">
        <v>3600</v>
      </c>
      <c r="R628" s="13">
        <v>3600</v>
      </c>
      <c r="S628" s="13">
        <v>3600</v>
      </c>
      <c r="T628" s="13">
        <v>3000</v>
      </c>
      <c r="U628" s="13">
        <v>0</v>
      </c>
      <c r="V628" s="13">
        <v>0</v>
      </c>
      <c r="W628" s="13">
        <v>3000</v>
      </c>
      <c r="X628" s="13">
        <v>3600</v>
      </c>
      <c r="Y628" s="13">
        <v>3000</v>
      </c>
      <c r="Z628" s="13">
        <v>3600</v>
      </c>
      <c r="AA628" s="13">
        <v>2400</v>
      </c>
      <c r="AB628" s="13">
        <v>3000</v>
      </c>
      <c r="AC628" s="13">
        <v>3600</v>
      </c>
      <c r="AD628" s="13">
        <v>3600</v>
      </c>
    </row>
    <row r="629" spans="1:30" ht="15.75" thickBot="1" x14ac:dyDescent="0.3">
      <c r="A629" s="9" t="s">
        <v>1082</v>
      </c>
      <c r="B629" s="9" t="s">
        <v>1388</v>
      </c>
      <c r="C629" s="45" t="str">
        <f t="shared" si="9"/>
        <v>DET68425102</v>
      </c>
      <c r="D629" s="10" t="s">
        <v>1448</v>
      </c>
      <c r="E629" s="10" t="s">
        <v>1449</v>
      </c>
      <c r="F629" s="9" t="s">
        <v>1117</v>
      </c>
      <c r="G629" s="9" t="s">
        <v>924</v>
      </c>
      <c r="H629" s="12">
        <v>1500</v>
      </c>
      <c r="I629" s="12">
        <v>10772</v>
      </c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1500</v>
      </c>
      <c r="Q629" s="13">
        <v>5000</v>
      </c>
      <c r="R629" s="13">
        <v>2500</v>
      </c>
      <c r="S629" s="13">
        <v>2500</v>
      </c>
      <c r="T629" s="13">
        <v>2500</v>
      </c>
      <c r="U629" s="13">
        <v>2500</v>
      </c>
      <c r="V629" s="13">
        <v>0</v>
      </c>
      <c r="W629" s="13">
        <v>5000</v>
      </c>
      <c r="X629" s="13">
        <v>0</v>
      </c>
      <c r="Y629" s="13">
        <v>5000</v>
      </c>
      <c r="Z629" s="13">
        <v>2500</v>
      </c>
      <c r="AA629" s="13">
        <v>0</v>
      </c>
      <c r="AB629" s="13">
        <v>0</v>
      </c>
      <c r="AC629" s="13">
        <v>2500</v>
      </c>
      <c r="AD629" s="13">
        <v>5000</v>
      </c>
    </row>
    <row r="630" spans="1:30" ht="15.75" thickBot="1" x14ac:dyDescent="0.3">
      <c r="A630" s="9" t="s">
        <v>1082</v>
      </c>
      <c r="B630" s="9" t="s">
        <v>1388</v>
      </c>
      <c r="C630" s="45" t="str">
        <f t="shared" si="9"/>
        <v>DET68425103</v>
      </c>
      <c r="D630" s="10" t="s">
        <v>1450</v>
      </c>
      <c r="E630" s="10" t="s">
        <v>1451</v>
      </c>
      <c r="F630" s="9" t="s">
        <v>1117</v>
      </c>
      <c r="G630" s="9" t="s">
        <v>924</v>
      </c>
      <c r="H630" s="12">
        <v>1500</v>
      </c>
      <c r="I630" s="12">
        <v>17213</v>
      </c>
      <c r="J630" s="13">
        <v>0</v>
      </c>
      <c r="K630" s="13">
        <v>0</v>
      </c>
      <c r="L630" s="13">
        <v>0</v>
      </c>
      <c r="M630" s="13">
        <v>0</v>
      </c>
      <c r="N630" s="13">
        <v>0</v>
      </c>
      <c r="O630" s="13">
        <v>0</v>
      </c>
      <c r="P630" s="13">
        <v>1500</v>
      </c>
      <c r="Q630" s="13">
        <v>5000</v>
      </c>
      <c r="R630" s="13">
        <v>2500</v>
      </c>
      <c r="S630" s="13">
        <v>2500</v>
      </c>
      <c r="T630" s="13">
        <v>2500</v>
      </c>
      <c r="U630" s="13">
        <v>2500</v>
      </c>
      <c r="V630" s="13">
        <v>0</v>
      </c>
      <c r="W630" s="13">
        <v>5000</v>
      </c>
      <c r="X630" s="13">
        <v>0</v>
      </c>
      <c r="Y630" s="13">
        <v>5000</v>
      </c>
      <c r="Z630" s="13">
        <v>2500</v>
      </c>
      <c r="AA630" s="13">
        <v>0</v>
      </c>
      <c r="AB630" s="13">
        <v>0</v>
      </c>
      <c r="AC630" s="13">
        <v>2500</v>
      </c>
      <c r="AD630" s="13">
        <v>5000</v>
      </c>
    </row>
    <row r="631" spans="1:30" ht="15.75" thickBot="1" x14ac:dyDescent="0.3">
      <c r="A631" s="9" t="s">
        <v>1082</v>
      </c>
      <c r="B631" s="9" t="s">
        <v>1388</v>
      </c>
      <c r="C631" s="45" t="str">
        <f t="shared" si="9"/>
        <v>DET68426191</v>
      </c>
      <c r="D631" s="10" t="s">
        <v>1452</v>
      </c>
      <c r="E631" s="10" t="s">
        <v>1453</v>
      </c>
      <c r="F631" s="9" t="s">
        <v>1117</v>
      </c>
      <c r="G631" s="9" t="s">
        <v>924</v>
      </c>
      <c r="H631" s="12">
        <v>3000</v>
      </c>
      <c r="I631" s="12">
        <v>37572</v>
      </c>
      <c r="J631" s="13">
        <v>0</v>
      </c>
      <c r="K631" s="13">
        <v>0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216</v>
      </c>
      <c r="Z631" s="13">
        <v>2000</v>
      </c>
      <c r="AA631" s="13">
        <v>0</v>
      </c>
      <c r="AB631" s="13">
        <v>4000</v>
      </c>
      <c r="AC631" s="13">
        <v>2000</v>
      </c>
      <c r="AD631" s="13">
        <v>2000</v>
      </c>
    </row>
    <row r="632" spans="1:30" ht="15.75" thickBot="1" x14ac:dyDescent="0.3">
      <c r="A632" s="9" t="s">
        <v>1082</v>
      </c>
      <c r="B632" s="9" t="s">
        <v>1388</v>
      </c>
      <c r="C632" s="45" t="str">
        <f t="shared" si="9"/>
        <v>DET68426192</v>
      </c>
      <c r="D632" s="10" t="s">
        <v>1454</v>
      </c>
      <c r="E632" s="10" t="s">
        <v>1455</v>
      </c>
      <c r="F632" s="9" t="s">
        <v>1117</v>
      </c>
      <c r="G632" s="9" t="s">
        <v>924</v>
      </c>
      <c r="H632" s="12">
        <v>1500</v>
      </c>
      <c r="I632" s="12">
        <v>3699</v>
      </c>
      <c r="J632" s="13">
        <v>0</v>
      </c>
      <c r="K632" s="13">
        <v>0</v>
      </c>
      <c r="L632" s="13">
        <v>0</v>
      </c>
      <c r="M632" s="13">
        <v>1686</v>
      </c>
      <c r="N632" s="13">
        <v>3000</v>
      </c>
      <c r="O632" s="13">
        <v>2000</v>
      </c>
      <c r="P632" s="13">
        <v>3000</v>
      </c>
      <c r="Q632" s="13">
        <v>3000</v>
      </c>
      <c r="R632" s="13">
        <v>2000</v>
      </c>
      <c r="S632" s="13">
        <v>3000</v>
      </c>
      <c r="T632" s="13">
        <v>3000</v>
      </c>
      <c r="U632" s="13">
        <v>2000</v>
      </c>
      <c r="V632" s="13">
        <v>2000</v>
      </c>
      <c r="W632" s="13">
        <v>3000</v>
      </c>
      <c r="X632" s="13">
        <v>2000</v>
      </c>
      <c r="Y632" s="13">
        <v>3000</v>
      </c>
      <c r="Z632" s="13">
        <v>2000</v>
      </c>
      <c r="AA632" s="13">
        <v>0</v>
      </c>
      <c r="AB632" s="13">
        <v>3000</v>
      </c>
      <c r="AC632" s="13">
        <v>2000</v>
      </c>
      <c r="AD632" s="13">
        <v>3000</v>
      </c>
    </row>
    <row r="633" spans="1:30" ht="15.75" thickBot="1" x14ac:dyDescent="0.3">
      <c r="A633" s="9" t="s">
        <v>1082</v>
      </c>
      <c r="B633" s="9" t="s">
        <v>1388</v>
      </c>
      <c r="C633" s="45" t="str">
        <f t="shared" si="9"/>
        <v>DET68430494</v>
      </c>
      <c r="D633" s="10" t="s">
        <v>1456</v>
      </c>
      <c r="E633" s="10" t="s">
        <v>1457</v>
      </c>
      <c r="F633" s="9" t="s">
        <v>1117</v>
      </c>
      <c r="G633" s="9" t="s">
        <v>924</v>
      </c>
      <c r="H633" s="12">
        <v>1500</v>
      </c>
      <c r="I633" s="12">
        <v>7100</v>
      </c>
      <c r="J633" s="13">
        <v>0</v>
      </c>
      <c r="K633" s="13">
        <v>0</v>
      </c>
      <c r="L633" s="13">
        <v>0</v>
      </c>
      <c r="M633" s="13">
        <v>896</v>
      </c>
      <c r="N633" s="13">
        <v>0</v>
      </c>
      <c r="O633" s="13">
        <v>4000</v>
      </c>
      <c r="P633" s="13">
        <v>4000</v>
      </c>
      <c r="Q633" s="13">
        <v>0</v>
      </c>
      <c r="R633" s="13">
        <v>4000</v>
      </c>
      <c r="S633" s="13">
        <v>4000</v>
      </c>
      <c r="T633" s="13">
        <v>0</v>
      </c>
      <c r="U633" s="13">
        <v>4000</v>
      </c>
      <c r="V633" s="13">
        <v>4000</v>
      </c>
      <c r="W633" s="13">
        <v>0</v>
      </c>
      <c r="X633" s="13">
        <v>4000</v>
      </c>
      <c r="Y633" s="13">
        <v>4000</v>
      </c>
      <c r="Z633" s="13">
        <v>0</v>
      </c>
      <c r="AA633" s="13">
        <v>0</v>
      </c>
      <c r="AB633" s="13">
        <v>4000</v>
      </c>
      <c r="AC633" s="13">
        <v>0</v>
      </c>
      <c r="AD633" s="13">
        <v>4000</v>
      </c>
    </row>
    <row r="634" spans="1:30" ht="15.75" thickBot="1" x14ac:dyDescent="0.3">
      <c r="A634" s="9" t="s">
        <v>1082</v>
      </c>
      <c r="B634" s="9" t="s">
        <v>1388</v>
      </c>
      <c r="C634" s="45" t="str">
        <f t="shared" si="9"/>
        <v>DET68435702</v>
      </c>
      <c r="D634" s="10" t="s">
        <v>1458</v>
      </c>
      <c r="E634" s="10" t="s">
        <v>1459</v>
      </c>
      <c r="F634" s="9" t="s">
        <v>1117</v>
      </c>
      <c r="G634" s="9" t="s">
        <v>924</v>
      </c>
      <c r="H634" s="12">
        <v>3000</v>
      </c>
      <c r="I634" s="12">
        <v>31574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4545</v>
      </c>
      <c r="R634" s="13">
        <v>4000</v>
      </c>
      <c r="S634" s="13">
        <v>6000</v>
      </c>
      <c r="T634" s="13">
        <v>6000</v>
      </c>
      <c r="U634" s="13">
        <v>4000</v>
      </c>
      <c r="V634" s="13">
        <v>4000</v>
      </c>
      <c r="W634" s="13">
        <v>4000</v>
      </c>
      <c r="X634" s="13">
        <v>4000</v>
      </c>
      <c r="Y634" s="13">
        <v>8000</v>
      </c>
      <c r="Z634" s="13">
        <v>4000</v>
      </c>
      <c r="AA634" s="13">
        <v>0</v>
      </c>
      <c r="AB634" s="13">
        <v>4000</v>
      </c>
      <c r="AC634" s="13">
        <v>4000</v>
      </c>
      <c r="AD634" s="13">
        <v>6000</v>
      </c>
    </row>
    <row r="635" spans="1:30" ht="15.75" thickBot="1" x14ac:dyDescent="0.3">
      <c r="A635" s="9" t="s">
        <v>1082</v>
      </c>
      <c r="B635" s="9" t="s">
        <v>1388</v>
      </c>
      <c r="C635" s="45" t="str">
        <f t="shared" si="9"/>
        <v>DET68586414AA</v>
      </c>
      <c r="D635" s="10" t="s">
        <v>1460</v>
      </c>
      <c r="E635" s="10" t="s">
        <v>1461</v>
      </c>
      <c r="F635" s="9" t="s">
        <v>1164</v>
      </c>
      <c r="G635" s="9" t="s">
        <v>924</v>
      </c>
      <c r="H635" s="12">
        <v>1500</v>
      </c>
      <c r="I635" s="12">
        <v>4476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3">
        <v>0</v>
      </c>
      <c r="P635" s="13">
        <v>639</v>
      </c>
      <c r="Q635" s="13">
        <v>756</v>
      </c>
      <c r="R635" s="13">
        <v>864</v>
      </c>
      <c r="S635" s="13">
        <v>864</v>
      </c>
      <c r="T635" s="13">
        <v>1010</v>
      </c>
      <c r="U635" s="13">
        <v>1042</v>
      </c>
      <c r="V635" s="13">
        <v>864</v>
      </c>
      <c r="W635" s="13">
        <v>756</v>
      </c>
      <c r="X635" s="13">
        <v>648</v>
      </c>
      <c r="Y635" s="13">
        <v>648</v>
      </c>
      <c r="Z635" s="13">
        <v>362</v>
      </c>
      <c r="AA635" s="13">
        <v>1728</v>
      </c>
      <c r="AB635" s="13">
        <v>1620</v>
      </c>
      <c r="AC635" s="13">
        <v>1512</v>
      </c>
      <c r="AD635" s="13">
        <v>1404</v>
      </c>
    </row>
    <row r="636" spans="1:30" ht="15.75" thickBot="1" x14ac:dyDescent="0.3">
      <c r="A636" s="9" t="s">
        <v>1082</v>
      </c>
      <c r="B636" s="9" t="s">
        <v>1388</v>
      </c>
      <c r="C636" s="45" t="str">
        <f t="shared" si="9"/>
        <v>DET68586415AA</v>
      </c>
      <c r="D636" s="10" t="s">
        <v>1462</v>
      </c>
      <c r="E636" s="10" t="s">
        <v>1461</v>
      </c>
      <c r="F636" s="9" t="s">
        <v>1164</v>
      </c>
      <c r="G636" s="9" t="s">
        <v>924</v>
      </c>
      <c r="H636" s="12">
        <v>1500</v>
      </c>
      <c r="I636" s="12">
        <v>4437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639</v>
      </c>
      <c r="Q636" s="13">
        <v>756</v>
      </c>
      <c r="R636" s="13">
        <v>864</v>
      </c>
      <c r="S636" s="13">
        <v>864</v>
      </c>
      <c r="T636" s="13">
        <v>1010</v>
      </c>
      <c r="U636" s="13">
        <v>1042</v>
      </c>
      <c r="V636" s="13">
        <v>864</v>
      </c>
      <c r="W636" s="13">
        <v>756</v>
      </c>
      <c r="X636" s="13">
        <v>648</v>
      </c>
      <c r="Y636" s="13">
        <v>648</v>
      </c>
      <c r="Z636" s="13">
        <v>362</v>
      </c>
      <c r="AA636" s="13">
        <v>1728</v>
      </c>
      <c r="AB636" s="13">
        <v>1620</v>
      </c>
      <c r="AC636" s="13">
        <v>1512</v>
      </c>
      <c r="AD636" s="13">
        <v>1404</v>
      </c>
    </row>
    <row r="637" spans="1:30" ht="15.75" thickBot="1" x14ac:dyDescent="0.3">
      <c r="A637" s="9" t="s">
        <v>1082</v>
      </c>
      <c r="B637" s="9" t="s">
        <v>1388</v>
      </c>
      <c r="C637" s="45" t="str">
        <f t="shared" si="9"/>
        <v>DET68645025AA</v>
      </c>
      <c r="D637" s="10" t="s">
        <v>1463</v>
      </c>
      <c r="E637" s="10" t="s">
        <v>1461</v>
      </c>
      <c r="F637" s="9" t="s">
        <v>1164</v>
      </c>
      <c r="G637" s="9" t="s">
        <v>924</v>
      </c>
      <c r="H637" s="12">
        <v>3000</v>
      </c>
      <c r="I637" s="12">
        <v>8573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1278</v>
      </c>
      <c r="Q637" s="13">
        <v>1512</v>
      </c>
      <c r="R637" s="13">
        <v>1728</v>
      </c>
      <c r="S637" s="13">
        <v>1728</v>
      </c>
      <c r="T637" s="13">
        <v>2020</v>
      </c>
      <c r="U637" s="13">
        <v>2084</v>
      </c>
      <c r="V637" s="13">
        <v>1728</v>
      </c>
      <c r="W637" s="13">
        <v>1512</v>
      </c>
      <c r="X637" s="13">
        <v>1296</v>
      </c>
      <c r="Y637" s="13">
        <v>1296</v>
      </c>
      <c r="Z637" s="13">
        <v>724</v>
      </c>
      <c r="AA637" s="13">
        <v>3456</v>
      </c>
      <c r="AB637" s="13">
        <v>3240</v>
      </c>
      <c r="AC637" s="13">
        <v>3024</v>
      </c>
      <c r="AD637" s="13">
        <v>2808</v>
      </c>
    </row>
    <row r="638" spans="1:30" ht="15.75" thickBot="1" x14ac:dyDescent="0.3">
      <c r="A638" s="9" t="s">
        <v>1082</v>
      </c>
      <c r="B638" s="9" t="s">
        <v>1388</v>
      </c>
      <c r="C638" s="45" t="str">
        <f t="shared" si="9"/>
        <v>DET6X37PIA1AB</v>
      </c>
      <c r="D638" s="10" t="s">
        <v>1464</v>
      </c>
      <c r="E638" s="10" t="s">
        <v>1465</v>
      </c>
      <c r="F638" s="9" t="s">
        <v>1164</v>
      </c>
      <c r="G638" s="9" t="s">
        <v>924</v>
      </c>
      <c r="H638" s="12">
        <v>3000</v>
      </c>
      <c r="I638" s="12">
        <v>9429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579</v>
      </c>
      <c r="V638" s="13">
        <v>630</v>
      </c>
      <c r="W638" s="13">
        <v>630</v>
      </c>
      <c r="X638" s="13">
        <v>140</v>
      </c>
      <c r="Y638" s="13">
        <v>840</v>
      </c>
      <c r="Z638" s="13">
        <v>1470</v>
      </c>
      <c r="AA638" s="13">
        <v>1750</v>
      </c>
      <c r="AB638" s="13">
        <v>1680</v>
      </c>
      <c r="AC638" s="13">
        <v>1470</v>
      </c>
      <c r="AD638" s="13">
        <v>1400</v>
      </c>
    </row>
    <row r="639" spans="1:30" ht="15.75" thickBot="1" x14ac:dyDescent="0.3">
      <c r="A639" s="9" t="s">
        <v>1082</v>
      </c>
      <c r="B639" s="9" t="s">
        <v>1388</v>
      </c>
      <c r="C639" s="45" t="str">
        <f t="shared" si="9"/>
        <v>DETE10786B</v>
      </c>
      <c r="D639" s="10" t="s">
        <v>1466</v>
      </c>
      <c r="E639" s="10" t="s">
        <v>1467</v>
      </c>
      <c r="F639" s="9" t="s">
        <v>261</v>
      </c>
      <c r="G639" s="9" t="s">
        <v>924</v>
      </c>
      <c r="H639" s="12">
        <v>1500</v>
      </c>
      <c r="I639" s="12">
        <v>9272</v>
      </c>
      <c r="J639" s="13">
        <v>0</v>
      </c>
      <c r="K639" s="13">
        <v>0</v>
      </c>
      <c r="L639" s="13">
        <v>0</v>
      </c>
      <c r="M639" s="13">
        <v>0</v>
      </c>
      <c r="N639" s="13">
        <v>0</v>
      </c>
      <c r="O639" s="13">
        <v>1927</v>
      </c>
      <c r="P639" s="13">
        <v>1960</v>
      </c>
      <c r="Q639" s="13">
        <v>2330</v>
      </c>
      <c r="R639" s="13">
        <v>3040</v>
      </c>
      <c r="S639" s="13">
        <v>3350</v>
      </c>
      <c r="T639" s="13">
        <v>2900</v>
      </c>
      <c r="U639" s="13">
        <v>2680</v>
      </c>
      <c r="V639" s="13">
        <v>4440</v>
      </c>
      <c r="W639" s="13">
        <v>4100</v>
      </c>
      <c r="X639" s="13">
        <v>4070</v>
      </c>
      <c r="Y639" s="13">
        <v>3440</v>
      </c>
      <c r="Z639" s="13">
        <v>0</v>
      </c>
      <c r="AA639" s="13">
        <v>1840</v>
      </c>
      <c r="AB639" s="13">
        <v>4140</v>
      </c>
      <c r="AC639" s="13">
        <v>4040</v>
      </c>
      <c r="AD639" s="13">
        <v>3960</v>
      </c>
    </row>
    <row r="640" spans="1:30" ht="15.75" thickBot="1" x14ac:dyDescent="0.3">
      <c r="A640" s="9" t="s">
        <v>1082</v>
      </c>
      <c r="B640" s="9" t="s">
        <v>1388</v>
      </c>
      <c r="C640" s="45" t="str">
        <f t="shared" si="9"/>
        <v>DETE16386A</v>
      </c>
      <c r="D640" s="10" t="s">
        <v>1468</v>
      </c>
      <c r="E640" s="10" t="s">
        <v>1469</v>
      </c>
      <c r="F640" s="9" t="s">
        <v>261</v>
      </c>
      <c r="G640" s="9" t="s">
        <v>924</v>
      </c>
      <c r="H640" s="12">
        <v>3000</v>
      </c>
      <c r="I640" s="12">
        <v>10959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446</v>
      </c>
      <c r="U640" s="13">
        <v>1340</v>
      </c>
      <c r="V640" s="13">
        <v>2220</v>
      </c>
      <c r="W640" s="13">
        <v>2050</v>
      </c>
      <c r="X640" s="13">
        <v>2030</v>
      </c>
      <c r="Y640" s="13">
        <v>1720</v>
      </c>
      <c r="Z640" s="13">
        <v>0</v>
      </c>
      <c r="AA640" s="13">
        <v>920</v>
      </c>
      <c r="AB640" s="13">
        <v>2070</v>
      </c>
      <c r="AC640" s="13">
        <v>2020</v>
      </c>
      <c r="AD640" s="13">
        <v>1980</v>
      </c>
    </row>
    <row r="641" spans="1:30" ht="15.75" thickBot="1" x14ac:dyDescent="0.3">
      <c r="A641" s="9" t="s">
        <v>1082</v>
      </c>
      <c r="B641" s="9" t="s">
        <v>1388</v>
      </c>
      <c r="C641" s="45" t="str">
        <f t="shared" si="9"/>
        <v>DETE16387A</v>
      </c>
      <c r="D641" s="10" t="s">
        <v>1470</v>
      </c>
      <c r="E641" s="10" t="s">
        <v>1471</v>
      </c>
      <c r="F641" s="9" t="s">
        <v>261</v>
      </c>
      <c r="G641" s="9" t="s">
        <v>924</v>
      </c>
      <c r="H641" s="12">
        <v>3000</v>
      </c>
      <c r="I641" s="12">
        <v>10531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446</v>
      </c>
      <c r="U641" s="13">
        <v>1340</v>
      </c>
      <c r="V641" s="13">
        <v>2220</v>
      </c>
      <c r="W641" s="13">
        <v>2050</v>
      </c>
      <c r="X641" s="13">
        <v>2030</v>
      </c>
      <c r="Y641" s="13">
        <v>1720</v>
      </c>
      <c r="Z641" s="13">
        <v>0</v>
      </c>
      <c r="AA641" s="13">
        <v>920</v>
      </c>
      <c r="AB641" s="13">
        <v>2070</v>
      </c>
      <c r="AC641" s="13">
        <v>2020</v>
      </c>
      <c r="AD641" s="13">
        <v>1980</v>
      </c>
    </row>
    <row r="642" spans="1:30" ht="15.75" thickBot="1" x14ac:dyDescent="0.3">
      <c r="A642" s="9" t="s">
        <v>1082</v>
      </c>
      <c r="B642" s="9" t="s">
        <v>1388</v>
      </c>
      <c r="C642" s="45" t="str">
        <f t="shared" si="9"/>
        <v>DETE16B292B</v>
      </c>
      <c r="D642" s="10" t="s">
        <v>1472</v>
      </c>
      <c r="E642" s="10" t="s">
        <v>1473</v>
      </c>
      <c r="F642" s="9" t="s">
        <v>261</v>
      </c>
      <c r="G642" s="9" t="s">
        <v>924</v>
      </c>
      <c r="H642" s="12">
        <v>3000</v>
      </c>
      <c r="I642" s="12">
        <v>8318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635</v>
      </c>
      <c r="P642" s="13">
        <v>1960</v>
      </c>
      <c r="Q642" s="13">
        <v>2330</v>
      </c>
      <c r="R642" s="13">
        <v>3040</v>
      </c>
      <c r="S642" s="13">
        <v>3350</v>
      </c>
      <c r="T642" s="13">
        <v>2900</v>
      </c>
      <c r="U642" s="13">
        <v>2680</v>
      </c>
      <c r="V642" s="13">
        <v>4440</v>
      </c>
      <c r="W642" s="13">
        <v>4100</v>
      </c>
      <c r="X642" s="13">
        <v>4070</v>
      </c>
      <c r="Y642" s="13">
        <v>3440</v>
      </c>
      <c r="Z642" s="13">
        <v>0</v>
      </c>
      <c r="AA642" s="13">
        <v>1840</v>
      </c>
      <c r="AB642" s="13">
        <v>4140</v>
      </c>
      <c r="AC642" s="13">
        <v>4040</v>
      </c>
      <c r="AD642" s="13">
        <v>3960</v>
      </c>
    </row>
    <row r="643" spans="1:30" ht="15.75" thickBot="1" x14ac:dyDescent="0.3">
      <c r="A643" s="9" t="s">
        <v>1082</v>
      </c>
      <c r="B643" s="9" t="s">
        <v>1388</v>
      </c>
      <c r="C643" s="45" t="str">
        <f t="shared" si="9"/>
        <v>DETE190995A</v>
      </c>
      <c r="D643" s="10" t="s">
        <v>1474</v>
      </c>
      <c r="E643" s="10" t="s">
        <v>1475</v>
      </c>
      <c r="F643" s="9" t="s">
        <v>261</v>
      </c>
      <c r="G643" s="9" t="s">
        <v>924</v>
      </c>
      <c r="H643" s="12">
        <v>3000</v>
      </c>
      <c r="I643" s="12">
        <v>8728</v>
      </c>
      <c r="J643" s="13">
        <v>0</v>
      </c>
      <c r="K643" s="13">
        <v>0</v>
      </c>
      <c r="L643" s="13">
        <v>0</v>
      </c>
      <c r="M643" s="13">
        <v>0</v>
      </c>
      <c r="N643" s="13">
        <v>730</v>
      </c>
      <c r="O643" s="13">
        <v>2700</v>
      </c>
      <c r="P643" s="13">
        <v>2724</v>
      </c>
      <c r="Q643" s="13">
        <v>1848</v>
      </c>
      <c r="R643" s="13">
        <v>2028</v>
      </c>
      <c r="S643" s="13">
        <v>2988</v>
      </c>
      <c r="T643" s="13">
        <v>3168</v>
      </c>
      <c r="U643" s="13">
        <v>2940</v>
      </c>
      <c r="V643" s="13">
        <v>2604</v>
      </c>
      <c r="W643" s="13">
        <v>4140</v>
      </c>
      <c r="X643" s="13">
        <v>3996</v>
      </c>
      <c r="Y643" s="13">
        <v>3972</v>
      </c>
      <c r="Z643" s="13">
        <v>4944</v>
      </c>
      <c r="AA643" s="13">
        <v>0</v>
      </c>
      <c r="AB643" s="13">
        <v>816</v>
      </c>
      <c r="AC643" s="13">
        <v>4104</v>
      </c>
      <c r="AD643" s="13">
        <v>4128</v>
      </c>
    </row>
    <row r="644" spans="1:30" ht="15.75" thickBot="1" x14ac:dyDescent="0.3">
      <c r="A644" s="9" t="s">
        <v>1082</v>
      </c>
      <c r="B644" s="9" t="s">
        <v>1388</v>
      </c>
      <c r="C644" s="45" t="str">
        <f t="shared" si="9"/>
        <v>DETE200B64A</v>
      </c>
      <c r="D644" s="10" t="s">
        <v>1476</v>
      </c>
      <c r="E644" s="10" t="s">
        <v>1477</v>
      </c>
      <c r="F644" s="9" t="s">
        <v>261</v>
      </c>
      <c r="G644" s="9" t="s">
        <v>924</v>
      </c>
      <c r="H644" s="12">
        <v>1500</v>
      </c>
      <c r="I644" s="12">
        <v>10357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694</v>
      </c>
      <c r="S644" s="13">
        <v>1680</v>
      </c>
      <c r="T644" s="13">
        <v>1450</v>
      </c>
      <c r="U644" s="13">
        <v>1340</v>
      </c>
      <c r="V644" s="13">
        <v>2220</v>
      </c>
      <c r="W644" s="13">
        <v>2050</v>
      </c>
      <c r="X644" s="13">
        <v>2040</v>
      </c>
      <c r="Y644" s="13">
        <v>1720</v>
      </c>
      <c r="Z644" s="13">
        <v>0</v>
      </c>
      <c r="AA644" s="13">
        <v>920</v>
      </c>
      <c r="AB644" s="13">
        <v>2070</v>
      </c>
      <c r="AC644" s="13">
        <v>2020</v>
      </c>
      <c r="AD644" s="13">
        <v>1980</v>
      </c>
    </row>
    <row r="645" spans="1:30" ht="15.75" thickBot="1" x14ac:dyDescent="0.3">
      <c r="A645" s="9" t="s">
        <v>1082</v>
      </c>
      <c r="B645" s="9" t="s">
        <v>1388</v>
      </c>
      <c r="C645" s="45" t="str">
        <f t="shared" si="9"/>
        <v>DETE200B65A</v>
      </c>
      <c r="D645" s="10" t="s">
        <v>1478</v>
      </c>
      <c r="E645" s="10" t="s">
        <v>1479</v>
      </c>
      <c r="F645" s="9" t="s">
        <v>261</v>
      </c>
      <c r="G645" s="9" t="s">
        <v>924</v>
      </c>
      <c r="H645" s="12">
        <v>1500</v>
      </c>
      <c r="I645" s="12">
        <v>10203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694</v>
      </c>
      <c r="S645" s="13">
        <v>1680</v>
      </c>
      <c r="T645" s="13">
        <v>1450</v>
      </c>
      <c r="U645" s="13">
        <v>1340</v>
      </c>
      <c r="V645" s="13">
        <v>2220</v>
      </c>
      <c r="W645" s="13">
        <v>2050</v>
      </c>
      <c r="X645" s="13">
        <v>2040</v>
      </c>
      <c r="Y645" s="13">
        <v>1720</v>
      </c>
      <c r="Z645" s="13">
        <v>0</v>
      </c>
      <c r="AA645" s="13">
        <v>920</v>
      </c>
      <c r="AB645" s="13">
        <v>2070</v>
      </c>
      <c r="AC645" s="13">
        <v>2020</v>
      </c>
      <c r="AD645" s="13">
        <v>1980</v>
      </c>
    </row>
    <row r="646" spans="1:30" ht="15.75" thickBot="1" x14ac:dyDescent="0.3">
      <c r="A646" s="9" t="s">
        <v>1082</v>
      </c>
      <c r="B646" s="9" t="s">
        <v>1388</v>
      </c>
      <c r="C646" s="45" t="str">
        <f t="shared" ref="C646:C709" si="10">TRIM(D646)</f>
        <v>DETE27726AC</v>
      </c>
      <c r="D646" s="10" t="s">
        <v>1480</v>
      </c>
      <c r="E646" s="10" t="s">
        <v>1392</v>
      </c>
      <c r="F646" s="9" t="s">
        <v>261</v>
      </c>
      <c r="G646" s="9" t="s">
        <v>924</v>
      </c>
      <c r="H646" s="12">
        <v>3000</v>
      </c>
      <c r="I646" s="12">
        <v>9148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1068</v>
      </c>
      <c r="Q646" s="13">
        <v>1434</v>
      </c>
      <c r="R646" s="13">
        <v>2022</v>
      </c>
      <c r="S646" s="13">
        <v>2982</v>
      </c>
      <c r="T646" s="13">
        <v>3148</v>
      </c>
      <c r="U646" s="13">
        <v>2996</v>
      </c>
      <c r="V646" s="13">
        <v>2572</v>
      </c>
      <c r="W646" s="13">
        <v>4148</v>
      </c>
      <c r="X646" s="13">
        <v>3968</v>
      </c>
      <c r="Y646" s="13">
        <v>3994</v>
      </c>
      <c r="Z646" s="13">
        <v>4914</v>
      </c>
      <c r="AA646" s="13">
        <v>0</v>
      </c>
      <c r="AB646" s="13">
        <v>832</v>
      </c>
      <c r="AC646" s="13">
        <v>4160</v>
      </c>
      <c r="AD646" s="13">
        <v>4096</v>
      </c>
    </row>
    <row r="647" spans="1:30" ht="15.75" thickBot="1" x14ac:dyDescent="0.3">
      <c r="A647" s="9" t="s">
        <v>1082</v>
      </c>
      <c r="B647" s="9" t="s">
        <v>1388</v>
      </c>
      <c r="C647" s="45" t="str">
        <f t="shared" si="10"/>
        <v>DETE280K20AB</v>
      </c>
      <c r="D647" s="10" t="s">
        <v>1481</v>
      </c>
      <c r="E647" s="10" t="s">
        <v>1482</v>
      </c>
      <c r="F647" s="9" t="s">
        <v>261</v>
      </c>
      <c r="G647" s="9" t="s">
        <v>924</v>
      </c>
      <c r="H647" s="12">
        <v>1500</v>
      </c>
      <c r="I647" s="12">
        <v>3488</v>
      </c>
      <c r="J647" s="13">
        <v>0</v>
      </c>
      <c r="K647" s="13">
        <v>0</v>
      </c>
      <c r="L647" s="13">
        <v>1622</v>
      </c>
      <c r="M647" s="13">
        <v>840</v>
      </c>
      <c r="N647" s="13">
        <v>1200</v>
      </c>
      <c r="O647" s="13">
        <v>1320</v>
      </c>
      <c r="P647" s="13">
        <v>960</v>
      </c>
      <c r="Q647" s="13">
        <v>1200</v>
      </c>
      <c r="R647" s="13">
        <v>1440</v>
      </c>
      <c r="S647" s="13">
        <v>1680</v>
      </c>
      <c r="T647" s="13">
        <v>1440</v>
      </c>
      <c r="U647" s="13">
        <v>1440</v>
      </c>
      <c r="V647" s="13">
        <v>2160</v>
      </c>
      <c r="W647" s="13">
        <v>2040</v>
      </c>
      <c r="X647" s="13">
        <v>2040</v>
      </c>
      <c r="Y647" s="13">
        <v>1800</v>
      </c>
      <c r="Z647" s="13">
        <v>0</v>
      </c>
      <c r="AA647" s="13">
        <v>840</v>
      </c>
      <c r="AB647" s="13">
        <v>2160</v>
      </c>
      <c r="AC647" s="13">
        <v>1920</v>
      </c>
      <c r="AD647" s="13">
        <v>2040</v>
      </c>
    </row>
    <row r="648" spans="1:30" ht="15.75" thickBot="1" x14ac:dyDescent="0.3">
      <c r="A648" s="9" t="s">
        <v>1082</v>
      </c>
      <c r="B648" s="9" t="s">
        <v>1388</v>
      </c>
      <c r="C648" s="45" t="str">
        <f t="shared" si="10"/>
        <v>DETE280K21AB</v>
      </c>
      <c r="D648" s="10" t="s">
        <v>1483</v>
      </c>
      <c r="E648" s="10" t="s">
        <v>1484</v>
      </c>
      <c r="F648" s="9" t="s">
        <v>261</v>
      </c>
      <c r="G648" s="9" t="s">
        <v>924</v>
      </c>
      <c r="H648" s="12">
        <v>1500</v>
      </c>
      <c r="I648" s="12">
        <v>301</v>
      </c>
      <c r="J648" s="13">
        <v>0</v>
      </c>
      <c r="K648" s="13">
        <v>0</v>
      </c>
      <c r="L648" s="13">
        <v>1622</v>
      </c>
      <c r="M648" s="13">
        <v>840</v>
      </c>
      <c r="N648" s="13">
        <v>1200</v>
      </c>
      <c r="O648" s="13">
        <v>1320</v>
      </c>
      <c r="P648" s="13">
        <v>960</v>
      </c>
      <c r="Q648" s="13">
        <v>1200</v>
      </c>
      <c r="R648" s="13">
        <v>1440</v>
      </c>
      <c r="S648" s="13">
        <v>1680</v>
      </c>
      <c r="T648" s="13">
        <v>1440</v>
      </c>
      <c r="U648" s="13">
        <v>1440</v>
      </c>
      <c r="V648" s="13">
        <v>2160</v>
      </c>
      <c r="W648" s="13">
        <v>2040</v>
      </c>
      <c r="X648" s="13">
        <v>2040</v>
      </c>
      <c r="Y648" s="13">
        <v>1800</v>
      </c>
      <c r="Z648" s="13">
        <v>0</v>
      </c>
      <c r="AA648" s="13">
        <v>840</v>
      </c>
      <c r="AB648" s="13">
        <v>2160</v>
      </c>
      <c r="AC648" s="13">
        <v>1920</v>
      </c>
      <c r="AD648" s="13">
        <v>2040</v>
      </c>
    </row>
    <row r="649" spans="1:30" ht="15.75" thickBot="1" x14ac:dyDescent="0.3">
      <c r="A649" s="9" t="s">
        <v>1082</v>
      </c>
      <c r="B649" s="9" t="s">
        <v>1388</v>
      </c>
      <c r="C649" s="45" t="str">
        <f t="shared" si="10"/>
        <v>DETE312A48B</v>
      </c>
      <c r="D649" s="10" t="s">
        <v>1485</v>
      </c>
      <c r="E649" s="10" t="s">
        <v>967</v>
      </c>
      <c r="F649" s="9" t="s">
        <v>261</v>
      </c>
      <c r="G649" s="9" t="s">
        <v>924</v>
      </c>
      <c r="H649" s="12">
        <v>1500</v>
      </c>
      <c r="I649" s="12">
        <v>959</v>
      </c>
      <c r="J649" s="13">
        <v>0</v>
      </c>
      <c r="K649" s="13">
        <v>0</v>
      </c>
      <c r="L649" s="13">
        <v>785</v>
      </c>
      <c r="M649" s="13">
        <v>1036</v>
      </c>
      <c r="N649" s="13">
        <v>1260</v>
      </c>
      <c r="O649" s="13">
        <v>1288</v>
      </c>
      <c r="P649" s="13">
        <v>1316</v>
      </c>
      <c r="Q649" s="13">
        <v>1045</v>
      </c>
      <c r="R649" s="13">
        <v>1204</v>
      </c>
      <c r="S649" s="13">
        <v>1540</v>
      </c>
      <c r="T649" s="13">
        <v>1512</v>
      </c>
      <c r="U649" s="13">
        <v>1372</v>
      </c>
      <c r="V649" s="13">
        <v>1428</v>
      </c>
      <c r="W649" s="13">
        <v>2100</v>
      </c>
      <c r="X649" s="13">
        <v>2016</v>
      </c>
      <c r="Y649" s="13">
        <v>1820</v>
      </c>
      <c r="Z649" s="13">
        <v>1941</v>
      </c>
      <c r="AA649" s="13">
        <v>140</v>
      </c>
      <c r="AB649" s="13">
        <v>980</v>
      </c>
      <c r="AC649" s="13">
        <v>2100</v>
      </c>
      <c r="AD649" s="13">
        <v>2044</v>
      </c>
    </row>
    <row r="650" spans="1:30" ht="15.75" thickBot="1" x14ac:dyDescent="0.3">
      <c r="A650" s="9" t="s">
        <v>1082</v>
      </c>
      <c r="B650" s="9" t="s">
        <v>1388</v>
      </c>
      <c r="C650" s="45" t="str">
        <f t="shared" si="10"/>
        <v>DETE40396A</v>
      </c>
      <c r="D650" s="10" t="s">
        <v>1486</v>
      </c>
      <c r="E650" s="10" t="s">
        <v>1487</v>
      </c>
      <c r="F650" s="9" t="s">
        <v>261</v>
      </c>
      <c r="G650" s="9" t="s">
        <v>924</v>
      </c>
      <c r="H650" s="12">
        <v>1500</v>
      </c>
      <c r="I650" s="12">
        <v>27151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</row>
    <row r="651" spans="1:30" ht="15.75" thickBot="1" x14ac:dyDescent="0.3">
      <c r="A651" s="9" t="s">
        <v>1082</v>
      </c>
      <c r="B651" s="9" t="s">
        <v>1388</v>
      </c>
      <c r="C651" s="45" t="str">
        <f t="shared" si="10"/>
        <v>DETE405K02A</v>
      </c>
      <c r="D651" s="10" t="s">
        <v>1488</v>
      </c>
      <c r="E651" s="10" t="s">
        <v>1489</v>
      </c>
      <c r="F651" s="9" t="s">
        <v>261</v>
      </c>
      <c r="G651" s="9" t="s">
        <v>924</v>
      </c>
      <c r="H651" s="12">
        <v>1500</v>
      </c>
      <c r="I651" s="12">
        <v>41</v>
      </c>
      <c r="J651" s="13">
        <v>0</v>
      </c>
      <c r="K651" s="13">
        <v>0</v>
      </c>
      <c r="L651" s="13">
        <v>798</v>
      </c>
      <c r="M651" s="13">
        <v>1050</v>
      </c>
      <c r="N651" s="13">
        <v>1210</v>
      </c>
      <c r="O651" s="13">
        <v>1340</v>
      </c>
      <c r="P651" s="13">
        <v>980</v>
      </c>
      <c r="Q651" s="13">
        <v>1160</v>
      </c>
      <c r="R651" s="13">
        <v>1520</v>
      </c>
      <c r="S651" s="13">
        <v>1680</v>
      </c>
      <c r="T651" s="13">
        <v>1450</v>
      </c>
      <c r="U651" s="13">
        <v>1340</v>
      </c>
      <c r="V651" s="13">
        <v>2220</v>
      </c>
      <c r="W651" s="13">
        <v>2050</v>
      </c>
      <c r="X651" s="13">
        <v>2040</v>
      </c>
      <c r="Y651" s="13">
        <v>1720</v>
      </c>
      <c r="Z651" s="13">
        <v>0</v>
      </c>
      <c r="AA651" s="13">
        <v>920</v>
      </c>
      <c r="AB651" s="13">
        <v>2070</v>
      </c>
      <c r="AC651" s="13">
        <v>2020</v>
      </c>
      <c r="AD651" s="13">
        <v>1980</v>
      </c>
    </row>
    <row r="652" spans="1:30" ht="15.75" thickBot="1" x14ac:dyDescent="0.3">
      <c r="A652" s="9" t="s">
        <v>1082</v>
      </c>
      <c r="B652" s="9" t="s">
        <v>1388</v>
      </c>
      <c r="C652" s="45" t="str">
        <f t="shared" si="10"/>
        <v>DETE42908A</v>
      </c>
      <c r="D652" s="10" t="s">
        <v>1490</v>
      </c>
      <c r="E652" s="10" t="s">
        <v>1491</v>
      </c>
      <c r="F652" s="9" t="s">
        <v>261</v>
      </c>
      <c r="G652" s="9" t="s">
        <v>924</v>
      </c>
      <c r="H652" s="12">
        <v>1500</v>
      </c>
      <c r="I652" s="12">
        <v>4117</v>
      </c>
      <c r="J652" s="13">
        <v>0</v>
      </c>
      <c r="K652" s="13">
        <v>340</v>
      </c>
      <c r="L652" s="13">
        <v>2160</v>
      </c>
      <c r="M652" s="13">
        <v>1080</v>
      </c>
      <c r="N652" s="13">
        <v>360</v>
      </c>
      <c r="O652" s="13">
        <v>1440</v>
      </c>
      <c r="P652" s="13">
        <v>900</v>
      </c>
      <c r="Q652" s="13">
        <v>1260</v>
      </c>
      <c r="R652" s="13">
        <v>1440</v>
      </c>
      <c r="S652" s="13">
        <v>1800</v>
      </c>
      <c r="T652" s="13">
        <v>1440</v>
      </c>
      <c r="U652" s="13">
        <v>1260</v>
      </c>
      <c r="V652" s="13">
        <v>2340</v>
      </c>
      <c r="W652" s="13">
        <v>1980</v>
      </c>
      <c r="X652" s="13">
        <v>1980</v>
      </c>
      <c r="Y652" s="13">
        <v>1800</v>
      </c>
      <c r="Z652" s="13">
        <v>0</v>
      </c>
      <c r="AA652" s="13">
        <v>900</v>
      </c>
      <c r="AB652" s="13">
        <v>2160</v>
      </c>
      <c r="AC652" s="13">
        <v>1980</v>
      </c>
      <c r="AD652" s="13">
        <v>1980</v>
      </c>
    </row>
    <row r="653" spans="1:30" ht="15.75" thickBot="1" x14ac:dyDescent="0.3">
      <c r="A653" s="9" t="s">
        <v>1082</v>
      </c>
      <c r="B653" s="9" t="s">
        <v>1388</v>
      </c>
      <c r="C653" s="45" t="str">
        <f t="shared" si="10"/>
        <v>DETE42909A</v>
      </c>
      <c r="D653" s="10" t="s">
        <v>1492</v>
      </c>
      <c r="E653" s="10" t="s">
        <v>1493</v>
      </c>
      <c r="F653" s="9" t="s">
        <v>261</v>
      </c>
      <c r="G653" s="9" t="s">
        <v>924</v>
      </c>
      <c r="H653" s="12">
        <v>1500</v>
      </c>
      <c r="I653" s="12">
        <v>-1093</v>
      </c>
      <c r="J653" s="13">
        <v>0</v>
      </c>
      <c r="K653" s="13">
        <v>340</v>
      </c>
      <c r="L653" s="13">
        <v>2160</v>
      </c>
      <c r="M653" s="13">
        <v>1080</v>
      </c>
      <c r="N653" s="13">
        <v>360</v>
      </c>
      <c r="O653" s="13">
        <v>1440</v>
      </c>
      <c r="P653" s="13">
        <v>900</v>
      </c>
      <c r="Q653" s="13">
        <v>1260</v>
      </c>
      <c r="R653" s="13">
        <v>1440</v>
      </c>
      <c r="S653" s="13">
        <v>1800</v>
      </c>
      <c r="T653" s="13">
        <v>1440</v>
      </c>
      <c r="U653" s="13">
        <v>1260</v>
      </c>
      <c r="V653" s="13">
        <v>2340</v>
      </c>
      <c r="W653" s="13">
        <v>1980</v>
      </c>
      <c r="X653" s="13">
        <v>1980</v>
      </c>
      <c r="Y653" s="13">
        <v>1800</v>
      </c>
      <c r="Z653" s="13">
        <v>0</v>
      </c>
      <c r="AA653" s="13">
        <v>900</v>
      </c>
      <c r="AB653" s="13">
        <v>2160</v>
      </c>
      <c r="AC653" s="13">
        <v>1980</v>
      </c>
      <c r="AD653" s="13">
        <v>1980</v>
      </c>
    </row>
    <row r="654" spans="1:30" ht="15.75" thickBot="1" x14ac:dyDescent="0.3">
      <c r="A654" s="9" t="s">
        <v>1082</v>
      </c>
      <c r="B654" s="9" t="s">
        <v>1388</v>
      </c>
      <c r="C654" s="45" t="str">
        <f t="shared" si="10"/>
        <v>DETE43488A</v>
      </c>
      <c r="D654" s="10" t="s">
        <v>1494</v>
      </c>
      <c r="E654" s="10" t="s">
        <v>1495</v>
      </c>
      <c r="F654" s="9" t="s">
        <v>261</v>
      </c>
      <c r="G654" s="9" t="s">
        <v>924</v>
      </c>
      <c r="H654" s="12">
        <v>1500</v>
      </c>
      <c r="I654" s="12">
        <v>9171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294</v>
      </c>
      <c r="R654" s="13">
        <v>1520</v>
      </c>
      <c r="S654" s="13">
        <v>1670</v>
      </c>
      <c r="T654" s="13">
        <v>1450</v>
      </c>
      <c r="U654" s="13">
        <v>1340</v>
      </c>
      <c r="V654" s="13">
        <v>2220</v>
      </c>
      <c r="W654" s="13">
        <v>2050</v>
      </c>
      <c r="X654" s="13">
        <v>2030</v>
      </c>
      <c r="Y654" s="13">
        <v>1720</v>
      </c>
      <c r="Z654" s="13">
        <v>0</v>
      </c>
      <c r="AA654" s="13">
        <v>920</v>
      </c>
      <c r="AB654" s="13">
        <v>2070</v>
      </c>
      <c r="AC654" s="13">
        <v>2020</v>
      </c>
      <c r="AD654" s="13">
        <v>1980</v>
      </c>
    </row>
    <row r="655" spans="1:30" ht="15.75" thickBot="1" x14ac:dyDescent="0.3">
      <c r="A655" s="9" t="s">
        <v>1082</v>
      </c>
      <c r="B655" s="9" t="s">
        <v>1388</v>
      </c>
      <c r="C655" s="45" t="str">
        <f t="shared" si="10"/>
        <v>DETE43489A</v>
      </c>
      <c r="D655" s="10" t="s">
        <v>1496</v>
      </c>
      <c r="E655" s="10" t="s">
        <v>1495</v>
      </c>
      <c r="F655" s="9" t="s">
        <v>261</v>
      </c>
      <c r="G655" s="9" t="s">
        <v>924</v>
      </c>
      <c r="H655" s="12">
        <v>1500</v>
      </c>
      <c r="I655" s="12">
        <v>9894</v>
      </c>
      <c r="J655" s="13">
        <v>0</v>
      </c>
      <c r="K655" s="13">
        <v>0</v>
      </c>
      <c r="L655" s="13">
        <v>0</v>
      </c>
      <c r="M655" s="13">
        <v>0</v>
      </c>
      <c r="N655" s="13">
        <v>0</v>
      </c>
      <c r="O655" s="13">
        <v>0</v>
      </c>
      <c r="P655" s="13">
        <v>0</v>
      </c>
      <c r="Q655" s="13">
        <v>294</v>
      </c>
      <c r="R655" s="13">
        <v>1520</v>
      </c>
      <c r="S655" s="13">
        <v>1670</v>
      </c>
      <c r="T655" s="13">
        <v>1450</v>
      </c>
      <c r="U655" s="13">
        <v>1340</v>
      </c>
      <c r="V655" s="13">
        <v>2220</v>
      </c>
      <c r="W655" s="13">
        <v>2050</v>
      </c>
      <c r="X655" s="13">
        <v>2030</v>
      </c>
      <c r="Y655" s="13">
        <v>1720</v>
      </c>
      <c r="Z655" s="13">
        <v>0</v>
      </c>
      <c r="AA655" s="13">
        <v>920</v>
      </c>
      <c r="AB655" s="13">
        <v>2070</v>
      </c>
      <c r="AC655" s="13">
        <v>2020</v>
      </c>
      <c r="AD655" s="13">
        <v>1980</v>
      </c>
    </row>
    <row r="656" spans="1:30" ht="15.75" thickBot="1" x14ac:dyDescent="0.3">
      <c r="A656" s="9" t="s">
        <v>1082</v>
      </c>
      <c r="B656" s="9" t="s">
        <v>1388</v>
      </c>
      <c r="C656" s="45" t="str">
        <f t="shared" si="10"/>
        <v>DETE43974A</v>
      </c>
      <c r="D656" s="10" t="s">
        <v>1497</v>
      </c>
      <c r="E656" s="10" t="s">
        <v>1498</v>
      </c>
      <c r="F656" s="9" t="s">
        <v>261</v>
      </c>
      <c r="G656" s="9" t="s">
        <v>924</v>
      </c>
      <c r="H656" s="12">
        <v>1500</v>
      </c>
      <c r="I656" s="12">
        <v>9613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463</v>
      </c>
      <c r="S656" s="13">
        <v>1680</v>
      </c>
      <c r="T656" s="13">
        <v>1440</v>
      </c>
      <c r="U656" s="13">
        <v>1440</v>
      </c>
      <c r="V656" s="13">
        <v>2160</v>
      </c>
      <c r="W656" s="13">
        <v>2160</v>
      </c>
      <c r="X656" s="13">
        <v>1920</v>
      </c>
      <c r="Y656" s="13">
        <v>1920</v>
      </c>
      <c r="Z656" s="13">
        <v>0</v>
      </c>
      <c r="AA656" s="13">
        <v>960</v>
      </c>
      <c r="AB656" s="13">
        <v>1920</v>
      </c>
      <c r="AC656" s="13">
        <v>2160</v>
      </c>
      <c r="AD656" s="13">
        <v>1920</v>
      </c>
    </row>
    <row r="657" spans="1:30" ht="15.75" thickBot="1" x14ac:dyDescent="0.3">
      <c r="A657" s="9" t="s">
        <v>1082</v>
      </c>
      <c r="B657" s="9" t="s">
        <v>1388</v>
      </c>
      <c r="C657" s="45" t="str">
        <f t="shared" si="10"/>
        <v>DETS517C84</v>
      </c>
      <c r="D657" s="10" t="s">
        <v>1499</v>
      </c>
      <c r="E657" s="10" t="s">
        <v>1500</v>
      </c>
      <c r="F657" s="9" t="s">
        <v>364</v>
      </c>
      <c r="G657" s="9" t="s">
        <v>924</v>
      </c>
      <c r="H657" s="12">
        <v>3000</v>
      </c>
      <c r="I657" s="12">
        <v>14171</v>
      </c>
      <c r="J657" s="13">
        <v>0</v>
      </c>
      <c r="K657" s="13">
        <v>0</v>
      </c>
      <c r="L657" s="13">
        <v>0</v>
      </c>
      <c r="M657" s="13">
        <v>1725</v>
      </c>
      <c r="N657" s="13">
        <v>13659</v>
      </c>
      <c r="O657" s="13">
        <v>23</v>
      </c>
      <c r="P657" s="13">
        <v>600</v>
      </c>
      <c r="Q657" s="13">
        <v>3600</v>
      </c>
      <c r="R657" s="13">
        <v>6600</v>
      </c>
      <c r="S657" s="13">
        <v>9000</v>
      </c>
      <c r="T657" s="13">
        <v>8400</v>
      </c>
      <c r="U657" s="13">
        <v>6000</v>
      </c>
      <c r="V657" s="13">
        <v>6000</v>
      </c>
      <c r="W657" s="13">
        <v>6600</v>
      </c>
      <c r="X657" s="13">
        <v>8400</v>
      </c>
      <c r="Y657" s="13">
        <v>6600</v>
      </c>
      <c r="Z657" s="13">
        <v>7224</v>
      </c>
      <c r="AA657" s="13">
        <v>0</v>
      </c>
      <c r="AB657" s="13">
        <v>1800</v>
      </c>
      <c r="AC657" s="13">
        <v>8400</v>
      </c>
      <c r="AD657" s="13">
        <v>6600</v>
      </c>
    </row>
    <row r="658" spans="1:30" ht="15.75" thickBot="1" x14ac:dyDescent="0.3">
      <c r="A658" s="9" t="s">
        <v>1082</v>
      </c>
      <c r="B658" s="9" t="s">
        <v>1388</v>
      </c>
      <c r="C658" s="45" t="str">
        <f t="shared" si="10"/>
        <v>MB3B 10723APIA04OS</v>
      </c>
      <c r="D658" s="10" t="s">
        <v>1501</v>
      </c>
      <c r="E658" s="10" t="s">
        <v>1502</v>
      </c>
      <c r="F658" s="9" t="s">
        <v>261</v>
      </c>
      <c r="G658" s="9" t="s">
        <v>924</v>
      </c>
      <c r="H658" s="12">
        <v>1500</v>
      </c>
      <c r="I658" s="12">
        <v>14873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127</v>
      </c>
      <c r="X658" s="13">
        <v>0</v>
      </c>
      <c r="Y658" s="13">
        <v>0</v>
      </c>
      <c r="Z658" s="13">
        <v>5000</v>
      </c>
      <c r="AA658" s="13">
        <v>0</v>
      </c>
      <c r="AB658" s="13">
        <v>5000</v>
      </c>
      <c r="AC658" s="13">
        <v>0</v>
      </c>
      <c r="AD658" s="13">
        <v>0</v>
      </c>
    </row>
    <row r="659" spans="1:30" ht="15.75" thickBot="1" x14ac:dyDescent="0.3">
      <c r="A659" s="9" t="s">
        <v>1082</v>
      </c>
      <c r="B659" s="9" t="s">
        <v>1388</v>
      </c>
      <c r="C659" s="45" t="str">
        <f t="shared" si="10"/>
        <v>N1WB 17C790BAOS</v>
      </c>
      <c r="D659" s="10" t="s">
        <v>1503</v>
      </c>
      <c r="E659" s="10" t="s">
        <v>1504</v>
      </c>
      <c r="F659" s="9" t="s">
        <v>261</v>
      </c>
      <c r="G659" s="9" t="s">
        <v>924</v>
      </c>
      <c r="H659" s="12">
        <v>1500</v>
      </c>
      <c r="I659" s="12">
        <v>14592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</row>
    <row r="660" spans="1:30" ht="15.75" thickBot="1" x14ac:dyDescent="0.3">
      <c r="A660" s="9" t="s">
        <v>1082</v>
      </c>
      <c r="B660" s="9" t="s">
        <v>1388</v>
      </c>
      <c r="C660" s="45" t="str">
        <f t="shared" si="10"/>
        <v>N1WB 17C791BAOS</v>
      </c>
      <c r="D660" s="10" t="s">
        <v>1505</v>
      </c>
      <c r="E660" s="10" t="s">
        <v>1506</v>
      </c>
      <c r="F660" s="9" t="s">
        <v>261</v>
      </c>
      <c r="G660" s="9" t="s">
        <v>924</v>
      </c>
      <c r="H660" s="12">
        <v>1500</v>
      </c>
      <c r="I660" s="12">
        <v>13642</v>
      </c>
      <c r="J660" s="13">
        <v>0</v>
      </c>
      <c r="K660" s="13">
        <v>0</v>
      </c>
      <c r="L660" s="13">
        <v>0</v>
      </c>
      <c r="M660" s="13">
        <v>0</v>
      </c>
      <c r="N660" s="13">
        <v>0</v>
      </c>
      <c r="O660" s="13">
        <v>0</v>
      </c>
      <c r="P660" s="13">
        <v>0</v>
      </c>
      <c r="Q660" s="13">
        <v>0</v>
      </c>
      <c r="R660" s="13">
        <v>0</v>
      </c>
      <c r="S660" s="13">
        <v>0</v>
      </c>
      <c r="T660" s="13">
        <v>0</v>
      </c>
      <c r="U660" s="13">
        <v>0</v>
      </c>
      <c r="V660" s="13">
        <v>0</v>
      </c>
      <c r="W660" s="13">
        <v>0</v>
      </c>
      <c r="X660" s="13">
        <v>0</v>
      </c>
      <c r="Y660" s="13">
        <v>0</v>
      </c>
      <c r="Z660" s="13">
        <v>0</v>
      </c>
      <c r="AA660" s="13">
        <v>0</v>
      </c>
      <c r="AB660" s="13">
        <v>0</v>
      </c>
      <c r="AC660" s="13">
        <v>0</v>
      </c>
      <c r="AD660" s="13">
        <v>0</v>
      </c>
    </row>
    <row r="661" spans="1:30" ht="15.75" thickBot="1" x14ac:dyDescent="0.3">
      <c r="A661" s="9" t="s">
        <v>1082</v>
      </c>
      <c r="B661" s="9" t="s">
        <v>1388</v>
      </c>
      <c r="C661" s="45" t="str">
        <f t="shared" si="10"/>
        <v>PC26189A</v>
      </c>
      <c r="D661" s="10" t="s">
        <v>1507</v>
      </c>
      <c r="E661" s="10" t="s">
        <v>1508</v>
      </c>
      <c r="F661" s="9" t="s">
        <v>1117</v>
      </c>
      <c r="G661" s="9" t="s">
        <v>924</v>
      </c>
      <c r="H661" s="12">
        <v>3000</v>
      </c>
      <c r="I661" s="12">
        <v>18341</v>
      </c>
      <c r="J661" s="13">
        <v>0</v>
      </c>
      <c r="K661" s="13">
        <v>0</v>
      </c>
      <c r="L661" s="13">
        <v>0</v>
      </c>
      <c r="M661" s="13">
        <v>0</v>
      </c>
      <c r="N661" s="13">
        <v>0</v>
      </c>
      <c r="O661" s="13">
        <v>0</v>
      </c>
      <c r="P661" s="13">
        <v>859</v>
      </c>
      <c r="Q661" s="13">
        <v>3000</v>
      </c>
      <c r="R661" s="13">
        <v>2400</v>
      </c>
      <c r="S661" s="13">
        <v>2400</v>
      </c>
      <c r="T661" s="13">
        <v>3000</v>
      </c>
      <c r="U661" s="13">
        <v>1800</v>
      </c>
      <c r="V661" s="13">
        <v>2400</v>
      </c>
      <c r="W661" s="13">
        <v>3000</v>
      </c>
      <c r="X661" s="13">
        <v>1800</v>
      </c>
      <c r="Y661" s="13">
        <v>3600</v>
      </c>
      <c r="Z661" s="13">
        <v>1800</v>
      </c>
      <c r="AA661" s="13">
        <v>0</v>
      </c>
      <c r="AB661" s="13">
        <v>2400</v>
      </c>
      <c r="AC661" s="13">
        <v>2400</v>
      </c>
      <c r="AD661" s="13">
        <v>3000</v>
      </c>
    </row>
    <row r="662" spans="1:30" ht="15.75" thickBot="1" x14ac:dyDescent="0.3">
      <c r="A662" s="9" t="s">
        <v>1082</v>
      </c>
      <c r="B662" s="9" t="s">
        <v>1388</v>
      </c>
      <c r="C662" s="45" t="str">
        <f t="shared" si="10"/>
        <v>PC30462A</v>
      </c>
      <c r="D662" s="10" t="s">
        <v>1509</v>
      </c>
      <c r="E662" s="10" t="s">
        <v>1510</v>
      </c>
      <c r="F662" s="9" t="s">
        <v>1117</v>
      </c>
      <c r="G662" s="9" t="s">
        <v>924</v>
      </c>
      <c r="H662" s="12">
        <v>1500</v>
      </c>
      <c r="I662" s="12">
        <v>9960</v>
      </c>
      <c r="J662" s="13">
        <v>0</v>
      </c>
      <c r="K662" s="13">
        <v>0</v>
      </c>
      <c r="L662" s="13">
        <v>0</v>
      </c>
      <c r="M662" s="13">
        <v>2000</v>
      </c>
      <c r="N662" s="13">
        <v>2040</v>
      </c>
      <c r="O662" s="13">
        <v>2000</v>
      </c>
      <c r="P662" s="13">
        <v>3960</v>
      </c>
      <c r="Q662" s="13">
        <v>2040</v>
      </c>
      <c r="R662" s="13">
        <v>3960</v>
      </c>
      <c r="S662" s="13">
        <v>2000</v>
      </c>
      <c r="T662" s="13">
        <v>2040</v>
      </c>
      <c r="U662" s="13">
        <v>2000</v>
      </c>
      <c r="V662" s="13">
        <v>2000</v>
      </c>
      <c r="W662" s="13">
        <v>3960</v>
      </c>
      <c r="X662" s="13">
        <v>2000</v>
      </c>
      <c r="Y662" s="13">
        <v>2040</v>
      </c>
      <c r="Z662" s="13">
        <v>2000</v>
      </c>
      <c r="AA662" s="13">
        <v>0</v>
      </c>
      <c r="AB662" s="13">
        <v>2000</v>
      </c>
      <c r="AC662" s="13">
        <v>3960</v>
      </c>
      <c r="AD662" s="13">
        <v>2040</v>
      </c>
    </row>
    <row r="663" spans="1:30" ht="15.75" thickBot="1" x14ac:dyDescent="0.3">
      <c r="A663" s="9" t="s">
        <v>1082</v>
      </c>
      <c r="B663" s="9" t="s">
        <v>1388</v>
      </c>
      <c r="C663" s="45" t="str">
        <f t="shared" si="10"/>
        <v>PC30463A</v>
      </c>
      <c r="D663" s="10" t="s">
        <v>1511</v>
      </c>
      <c r="E663" s="10" t="s">
        <v>1510</v>
      </c>
      <c r="F663" s="9" t="s">
        <v>1117</v>
      </c>
      <c r="G663" s="9" t="s">
        <v>924</v>
      </c>
      <c r="H663" s="12">
        <v>1500</v>
      </c>
      <c r="I663" s="12">
        <v>10000</v>
      </c>
      <c r="J663" s="13">
        <v>0</v>
      </c>
      <c r="K663" s="13">
        <v>0</v>
      </c>
      <c r="L663" s="13">
        <v>0</v>
      </c>
      <c r="M663" s="13">
        <v>2000</v>
      </c>
      <c r="N663" s="13">
        <v>2040</v>
      </c>
      <c r="O663" s="13">
        <v>2000</v>
      </c>
      <c r="P663" s="13">
        <v>3960</v>
      </c>
      <c r="Q663" s="13">
        <v>2040</v>
      </c>
      <c r="R663" s="13">
        <v>3960</v>
      </c>
      <c r="S663" s="13">
        <v>2000</v>
      </c>
      <c r="T663" s="13">
        <v>2040</v>
      </c>
      <c r="U663" s="13">
        <v>2000</v>
      </c>
      <c r="V663" s="13">
        <v>2000</v>
      </c>
      <c r="W663" s="13">
        <v>3960</v>
      </c>
      <c r="X663" s="13">
        <v>2000</v>
      </c>
      <c r="Y663" s="13">
        <v>2040</v>
      </c>
      <c r="Z663" s="13">
        <v>2000</v>
      </c>
      <c r="AA663" s="13">
        <v>0</v>
      </c>
      <c r="AB663" s="13">
        <v>2000</v>
      </c>
      <c r="AC663" s="13">
        <v>3960</v>
      </c>
      <c r="AD663" s="13">
        <v>2040</v>
      </c>
    </row>
    <row r="664" spans="1:30" ht="15.75" thickBot="1" x14ac:dyDescent="0.3">
      <c r="A664" s="9" t="s">
        <v>1082</v>
      </c>
      <c r="B664" s="9" t="s">
        <v>1388</v>
      </c>
      <c r="C664" s="45" t="str">
        <f t="shared" si="10"/>
        <v>PC66241A</v>
      </c>
      <c r="D664" s="10" t="s">
        <v>1512</v>
      </c>
      <c r="E664" s="10" t="s">
        <v>1513</v>
      </c>
      <c r="F664" s="9" t="s">
        <v>1117</v>
      </c>
      <c r="G664" s="9" t="s">
        <v>924</v>
      </c>
      <c r="H664" s="12">
        <v>3000</v>
      </c>
      <c r="I664" s="12">
        <v>7702</v>
      </c>
      <c r="J664" s="13">
        <v>0</v>
      </c>
      <c r="K664" s="13">
        <v>2298</v>
      </c>
      <c r="L664" s="13">
        <v>0</v>
      </c>
      <c r="M664" s="13">
        <v>0</v>
      </c>
      <c r="N664" s="13">
        <v>10000</v>
      </c>
      <c r="O664" s="13">
        <v>0</v>
      </c>
      <c r="P664" s="13">
        <v>0</v>
      </c>
      <c r="Q664" s="13">
        <v>0</v>
      </c>
      <c r="R664" s="13">
        <v>10000</v>
      </c>
      <c r="S664" s="13">
        <v>0</v>
      </c>
      <c r="T664" s="13">
        <v>0</v>
      </c>
      <c r="U664" s="13">
        <v>0</v>
      </c>
      <c r="V664" s="13">
        <v>10000</v>
      </c>
      <c r="W664" s="13">
        <v>0</v>
      </c>
      <c r="X664" s="13">
        <v>0</v>
      </c>
      <c r="Y664" s="13">
        <v>0</v>
      </c>
      <c r="Z664" s="13">
        <v>10000</v>
      </c>
      <c r="AA664" s="13">
        <v>0</v>
      </c>
      <c r="AB664" s="13">
        <v>0</v>
      </c>
      <c r="AC664" s="13">
        <v>0</v>
      </c>
      <c r="AD664" s="13">
        <v>0</v>
      </c>
    </row>
    <row r="665" spans="1:30" ht="15.75" thickBot="1" x14ac:dyDescent="0.3">
      <c r="A665" s="9" t="s">
        <v>1082</v>
      </c>
      <c r="B665" s="9" t="s">
        <v>1388</v>
      </c>
      <c r="C665" s="45" t="str">
        <f t="shared" si="10"/>
        <v>REPACK85861637</v>
      </c>
      <c r="D665" s="10" t="s">
        <v>1514</v>
      </c>
      <c r="E665" s="10" t="s">
        <v>923</v>
      </c>
      <c r="F665" s="9" t="s">
        <v>404</v>
      </c>
      <c r="G665" s="9" t="s">
        <v>924</v>
      </c>
      <c r="H665" s="12">
        <v>5760</v>
      </c>
      <c r="I665" s="12">
        <v>11703</v>
      </c>
      <c r="J665" s="13">
        <v>0</v>
      </c>
      <c r="K665" s="13">
        <v>0</v>
      </c>
      <c r="L665" s="13">
        <v>0</v>
      </c>
      <c r="M665" s="13">
        <v>0</v>
      </c>
      <c r="N665" s="13">
        <v>0</v>
      </c>
      <c r="O665" s="13">
        <v>0</v>
      </c>
      <c r="P665" s="13">
        <v>0</v>
      </c>
      <c r="Q665" s="13">
        <v>0</v>
      </c>
      <c r="R665" s="13">
        <v>0</v>
      </c>
      <c r="S665" s="13">
        <v>0</v>
      </c>
      <c r="T665" s="13">
        <v>0</v>
      </c>
      <c r="U665" s="13">
        <v>0</v>
      </c>
      <c r="V665" s="13">
        <v>0</v>
      </c>
      <c r="W665" s="13">
        <v>0</v>
      </c>
      <c r="X665" s="13">
        <v>0</v>
      </c>
      <c r="Y665" s="13">
        <v>0</v>
      </c>
      <c r="Z665" s="13">
        <v>0</v>
      </c>
      <c r="AA665" s="13">
        <v>0</v>
      </c>
      <c r="AB665" s="13">
        <v>0</v>
      </c>
      <c r="AC665" s="13">
        <v>0</v>
      </c>
      <c r="AD665" s="13">
        <v>0</v>
      </c>
    </row>
    <row r="666" spans="1:30" ht="15.75" thickBot="1" x14ac:dyDescent="0.3">
      <c r="A666" s="9" t="s">
        <v>1082</v>
      </c>
      <c r="B666" s="9" t="s">
        <v>1388</v>
      </c>
      <c r="C666" s="45" t="str">
        <f t="shared" si="10"/>
        <v>REPACKE404D91</v>
      </c>
      <c r="D666" s="10" t="s">
        <v>1515</v>
      </c>
      <c r="E666" s="10" t="s">
        <v>1516</v>
      </c>
      <c r="F666" s="9" t="s">
        <v>261</v>
      </c>
      <c r="G666" s="9" t="s">
        <v>924</v>
      </c>
      <c r="H666" s="12">
        <v>1500</v>
      </c>
      <c r="I666" s="12">
        <v>4063</v>
      </c>
      <c r="J666" s="13">
        <v>0</v>
      </c>
      <c r="K666" s="13">
        <v>417</v>
      </c>
      <c r="L666" s="13">
        <v>2688</v>
      </c>
      <c r="M666" s="13">
        <v>1792</v>
      </c>
      <c r="N666" s="13">
        <v>2016</v>
      </c>
      <c r="O666" s="13">
        <v>2912</v>
      </c>
      <c r="P666" s="13">
        <v>2016</v>
      </c>
      <c r="Q666" s="13">
        <v>2128</v>
      </c>
      <c r="R666" s="13">
        <v>3024</v>
      </c>
      <c r="S666" s="13">
        <v>3360</v>
      </c>
      <c r="T666" s="13">
        <v>3136</v>
      </c>
      <c r="U666" s="13">
        <v>2352</v>
      </c>
      <c r="V666" s="13">
        <v>4368</v>
      </c>
      <c r="W666" s="13">
        <v>4368</v>
      </c>
      <c r="X666" s="13">
        <v>3584</v>
      </c>
      <c r="Y666" s="13">
        <v>4480</v>
      </c>
      <c r="Z666" s="13">
        <v>0</v>
      </c>
      <c r="AA666" s="13">
        <v>1232</v>
      </c>
      <c r="AB666" s="13">
        <v>4144</v>
      </c>
      <c r="AC666" s="13">
        <v>4032</v>
      </c>
      <c r="AD666" s="13">
        <v>4032</v>
      </c>
    </row>
    <row r="667" spans="1:30" ht="15.75" thickBot="1" x14ac:dyDescent="0.3">
      <c r="A667" s="9" t="s">
        <v>1082</v>
      </c>
      <c r="B667" s="9" t="s">
        <v>1388</v>
      </c>
      <c r="C667" s="45" t="str">
        <f t="shared" si="10"/>
        <v>REPACKE410A42</v>
      </c>
      <c r="D667" s="10" t="s">
        <v>1517</v>
      </c>
      <c r="E667" s="10" t="s">
        <v>1518</v>
      </c>
      <c r="F667" s="9" t="s">
        <v>261</v>
      </c>
      <c r="G667" s="9" t="s">
        <v>924</v>
      </c>
      <c r="H667" s="12">
        <v>1500</v>
      </c>
      <c r="I667" s="12">
        <v>6345</v>
      </c>
      <c r="J667" s="13">
        <v>0</v>
      </c>
      <c r="K667" s="13">
        <v>0</v>
      </c>
      <c r="L667" s="13">
        <v>0</v>
      </c>
      <c r="M667" s="13">
        <v>0</v>
      </c>
      <c r="N667" s="13">
        <v>0</v>
      </c>
      <c r="O667" s="13">
        <v>0</v>
      </c>
      <c r="P667" s="13">
        <v>1355</v>
      </c>
      <c r="Q667" s="13">
        <v>0</v>
      </c>
      <c r="R667" s="13">
        <v>1680</v>
      </c>
      <c r="S667" s="13">
        <v>1680</v>
      </c>
      <c r="T667" s="13">
        <v>0</v>
      </c>
      <c r="U667" s="13">
        <v>1680</v>
      </c>
      <c r="V667" s="13">
        <v>1680</v>
      </c>
      <c r="W667" s="13">
        <v>1680</v>
      </c>
      <c r="X667" s="13">
        <v>1680</v>
      </c>
      <c r="Y667" s="13">
        <v>1680</v>
      </c>
      <c r="Z667" s="13">
        <v>0</v>
      </c>
      <c r="AA667" s="13">
        <v>1680</v>
      </c>
      <c r="AB667" s="13">
        <v>1680</v>
      </c>
      <c r="AC667" s="13">
        <v>1680</v>
      </c>
      <c r="AD667" s="13">
        <v>1680</v>
      </c>
    </row>
    <row r="668" spans="1:30" ht="15.75" thickBot="1" x14ac:dyDescent="0.3">
      <c r="A668" s="9" t="s">
        <v>1082</v>
      </c>
      <c r="B668" s="9" t="s">
        <v>1388</v>
      </c>
      <c r="C668" s="45" t="str">
        <f t="shared" si="10"/>
        <v>REPACKE410A43</v>
      </c>
      <c r="D668" s="10" t="s">
        <v>1519</v>
      </c>
      <c r="E668" s="10" t="s">
        <v>1518</v>
      </c>
      <c r="F668" s="9" t="s">
        <v>261</v>
      </c>
      <c r="G668" s="9" t="s">
        <v>924</v>
      </c>
      <c r="H668" s="12">
        <v>1500</v>
      </c>
      <c r="I668" s="12">
        <v>5365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1355</v>
      </c>
      <c r="Q668" s="13">
        <v>0</v>
      </c>
      <c r="R668" s="13">
        <v>1680</v>
      </c>
      <c r="S668" s="13">
        <v>1680</v>
      </c>
      <c r="T668" s="13">
        <v>0</v>
      </c>
      <c r="U668" s="13">
        <v>1680</v>
      </c>
      <c r="V668" s="13">
        <v>1680</v>
      </c>
      <c r="W668" s="13">
        <v>1680</v>
      </c>
      <c r="X668" s="13">
        <v>1680</v>
      </c>
      <c r="Y668" s="13">
        <v>1680</v>
      </c>
      <c r="Z668" s="13">
        <v>0</v>
      </c>
      <c r="AA668" s="13">
        <v>1680</v>
      </c>
      <c r="AB668" s="13">
        <v>1680</v>
      </c>
      <c r="AC668" s="13">
        <v>1680</v>
      </c>
      <c r="AD668" s="13">
        <v>1680</v>
      </c>
    </row>
    <row r="669" spans="1:30" ht="15.75" thickBot="1" x14ac:dyDescent="0.3">
      <c r="A669" s="9" t="s">
        <v>1082</v>
      </c>
      <c r="B669" s="9" t="s">
        <v>1520</v>
      </c>
      <c r="C669" s="45" t="str">
        <f t="shared" si="10"/>
        <v>DET21403C62A</v>
      </c>
      <c r="D669" s="10" t="s">
        <v>1521</v>
      </c>
      <c r="E669" s="10" t="s">
        <v>1522</v>
      </c>
      <c r="F669" s="9" t="s">
        <v>494</v>
      </c>
      <c r="G669" s="9" t="s">
        <v>924</v>
      </c>
      <c r="H669" s="12">
        <v>3000</v>
      </c>
      <c r="I669" s="12">
        <v>14502</v>
      </c>
      <c r="J669" s="13">
        <v>0</v>
      </c>
      <c r="K669" s="13">
        <v>0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526</v>
      </c>
      <c r="W669" s="13">
        <v>2066</v>
      </c>
      <c r="X669" s="13">
        <v>2025</v>
      </c>
      <c r="Y669" s="13">
        <v>1991</v>
      </c>
      <c r="Z669" s="13">
        <v>2452</v>
      </c>
      <c r="AA669" s="13">
        <v>0</v>
      </c>
      <c r="AB669" s="13">
        <v>412</v>
      </c>
      <c r="AC669" s="13">
        <v>2066</v>
      </c>
      <c r="AD669" s="13">
        <v>2067</v>
      </c>
    </row>
    <row r="670" spans="1:30" ht="15.75" thickBot="1" x14ac:dyDescent="0.3">
      <c r="A670" s="9" t="s">
        <v>1082</v>
      </c>
      <c r="B670" s="9" t="s">
        <v>1520</v>
      </c>
      <c r="C670" s="45" t="str">
        <f t="shared" si="10"/>
        <v>DET2540338A</v>
      </c>
      <c r="D670" s="10" t="s">
        <v>1523</v>
      </c>
      <c r="E670" s="10" t="s">
        <v>1524</v>
      </c>
      <c r="F670" s="9" t="s">
        <v>494</v>
      </c>
      <c r="G670" s="9" t="s">
        <v>924</v>
      </c>
      <c r="H670" s="12">
        <v>1500</v>
      </c>
      <c r="I670" s="12">
        <v>16326</v>
      </c>
      <c r="J670" s="13">
        <v>0</v>
      </c>
      <c r="K670" s="13">
        <v>0</v>
      </c>
      <c r="L670" s="13">
        <v>0</v>
      </c>
      <c r="M670" s="13">
        <v>0</v>
      </c>
      <c r="N670" s="13">
        <v>0</v>
      </c>
      <c r="O670" s="13">
        <v>0</v>
      </c>
      <c r="P670" s="13">
        <v>0</v>
      </c>
      <c r="Q670" s="13">
        <v>0</v>
      </c>
      <c r="R670" s="13">
        <v>0</v>
      </c>
      <c r="S670" s="13">
        <v>0</v>
      </c>
      <c r="T670" s="13">
        <v>0</v>
      </c>
      <c r="U670" s="13">
        <v>0</v>
      </c>
      <c r="V670" s="13">
        <v>0</v>
      </c>
      <c r="W670" s="13">
        <v>704</v>
      </c>
      <c r="X670" s="13">
        <v>2025</v>
      </c>
      <c r="Y670" s="13">
        <v>1991</v>
      </c>
      <c r="Z670" s="13">
        <v>2452</v>
      </c>
      <c r="AA670" s="13">
        <v>0</v>
      </c>
      <c r="AB670" s="13">
        <v>412</v>
      </c>
      <c r="AC670" s="13">
        <v>2066</v>
      </c>
      <c r="AD670" s="13">
        <v>2067</v>
      </c>
    </row>
    <row r="671" spans="1:30" ht="15.75" thickBot="1" x14ac:dyDescent="0.3">
      <c r="A671" s="9" t="s">
        <v>1082</v>
      </c>
      <c r="B671" s="9" t="s">
        <v>1520</v>
      </c>
      <c r="C671" s="45" t="str">
        <f t="shared" si="10"/>
        <v>DET26111B04A</v>
      </c>
      <c r="D671" s="10" t="s">
        <v>1525</v>
      </c>
      <c r="E671" s="10" t="s">
        <v>1526</v>
      </c>
      <c r="F671" s="9" t="s">
        <v>494</v>
      </c>
      <c r="G671" s="9" t="s">
        <v>924</v>
      </c>
      <c r="H671" s="12">
        <v>1500</v>
      </c>
      <c r="I671" s="12">
        <v>1743</v>
      </c>
      <c r="J671" s="13">
        <v>0</v>
      </c>
      <c r="K671" s="13">
        <v>0</v>
      </c>
      <c r="L671" s="13">
        <v>0</v>
      </c>
      <c r="M671" s="13">
        <v>0</v>
      </c>
      <c r="N671" s="13">
        <v>0</v>
      </c>
      <c r="O671" s="13">
        <v>0</v>
      </c>
      <c r="P671" s="13">
        <v>990</v>
      </c>
      <c r="Q671" s="13">
        <v>371</v>
      </c>
      <c r="R671" s="13">
        <v>1043</v>
      </c>
      <c r="S671" s="13">
        <v>1516</v>
      </c>
      <c r="T671" s="13">
        <v>1663</v>
      </c>
      <c r="U671" s="13">
        <v>1485</v>
      </c>
      <c r="V671" s="13">
        <v>1285</v>
      </c>
      <c r="W671" s="13">
        <v>2068</v>
      </c>
      <c r="X671" s="13">
        <v>1998</v>
      </c>
      <c r="Y671" s="13">
        <v>1991</v>
      </c>
      <c r="Z671" s="13">
        <v>2472</v>
      </c>
      <c r="AA671" s="13">
        <v>0</v>
      </c>
      <c r="AB671" s="13">
        <v>412</v>
      </c>
      <c r="AC671" s="13">
        <v>2063</v>
      </c>
      <c r="AD671" s="13">
        <v>2055</v>
      </c>
    </row>
    <row r="672" spans="1:30" ht="15.75" thickBot="1" x14ac:dyDescent="0.3">
      <c r="A672" s="9" t="s">
        <v>1082</v>
      </c>
      <c r="B672" s="9" t="s">
        <v>1520</v>
      </c>
      <c r="C672" s="45" t="str">
        <f t="shared" si="10"/>
        <v>DET26112A56A</v>
      </c>
      <c r="D672" s="10" t="s">
        <v>1527</v>
      </c>
      <c r="E672" s="10" t="s">
        <v>1528</v>
      </c>
      <c r="F672" s="9" t="s">
        <v>494</v>
      </c>
      <c r="G672" s="9" t="s">
        <v>924</v>
      </c>
      <c r="H672" s="12">
        <v>1500</v>
      </c>
      <c r="I672" s="12">
        <v>3232</v>
      </c>
      <c r="J672" s="13">
        <v>0</v>
      </c>
      <c r="K672" s="13">
        <v>0</v>
      </c>
      <c r="L672" s="13">
        <v>0</v>
      </c>
      <c r="M672" s="13">
        <v>725</v>
      </c>
      <c r="N672" s="13">
        <v>1108</v>
      </c>
      <c r="O672" s="13">
        <v>1518</v>
      </c>
      <c r="P672" s="13">
        <v>1895</v>
      </c>
      <c r="Q672" s="13">
        <v>371</v>
      </c>
      <c r="R672" s="13">
        <v>1043</v>
      </c>
      <c r="S672" s="13">
        <v>1516</v>
      </c>
      <c r="T672" s="13">
        <v>1663</v>
      </c>
      <c r="U672" s="13">
        <v>1485</v>
      </c>
      <c r="V672" s="13">
        <v>1285</v>
      </c>
      <c r="W672" s="13">
        <v>2068</v>
      </c>
      <c r="X672" s="13">
        <v>1998</v>
      </c>
      <c r="Y672" s="13">
        <v>1991</v>
      </c>
      <c r="Z672" s="13">
        <v>2472</v>
      </c>
      <c r="AA672" s="13">
        <v>0</v>
      </c>
      <c r="AB672" s="13">
        <v>412</v>
      </c>
      <c r="AC672" s="13">
        <v>2063</v>
      </c>
      <c r="AD672" s="13">
        <v>2055</v>
      </c>
    </row>
    <row r="673" spans="1:30" ht="15.75" thickBot="1" x14ac:dyDescent="0.3">
      <c r="A673" s="9" t="s">
        <v>1082</v>
      </c>
      <c r="B673" s="9" t="s">
        <v>1520</v>
      </c>
      <c r="C673" s="45" t="str">
        <f t="shared" si="10"/>
        <v>DET26112A57A</v>
      </c>
      <c r="D673" s="10" t="s">
        <v>1529</v>
      </c>
      <c r="E673" s="10" t="s">
        <v>1528</v>
      </c>
      <c r="F673" s="9" t="s">
        <v>494</v>
      </c>
      <c r="G673" s="9" t="s">
        <v>924</v>
      </c>
      <c r="H673" s="12">
        <v>1500</v>
      </c>
      <c r="I673" s="12">
        <v>3592</v>
      </c>
      <c r="J673" s="13">
        <v>0</v>
      </c>
      <c r="K673" s="13">
        <v>0</v>
      </c>
      <c r="L673" s="13">
        <v>0</v>
      </c>
      <c r="M673" s="13">
        <v>725</v>
      </c>
      <c r="N673" s="13">
        <v>1108</v>
      </c>
      <c r="O673" s="13">
        <v>1518</v>
      </c>
      <c r="P673" s="13">
        <v>1895</v>
      </c>
      <c r="Q673" s="13">
        <v>371</v>
      </c>
      <c r="R673" s="13">
        <v>1043</v>
      </c>
      <c r="S673" s="13">
        <v>1516</v>
      </c>
      <c r="T673" s="13">
        <v>1663</v>
      </c>
      <c r="U673" s="13">
        <v>1485</v>
      </c>
      <c r="V673" s="13">
        <v>1285</v>
      </c>
      <c r="W673" s="13">
        <v>2068</v>
      </c>
      <c r="X673" s="13">
        <v>1998</v>
      </c>
      <c r="Y673" s="13">
        <v>1991</v>
      </c>
      <c r="Z673" s="13">
        <v>2472</v>
      </c>
      <c r="AA673" s="13">
        <v>0</v>
      </c>
      <c r="AB673" s="13">
        <v>412</v>
      </c>
      <c r="AC673" s="13">
        <v>2063</v>
      </c>
      <c r="AD673" s="13">
        <v>2055</v>
      </c>
    </row>
    <row r="674" spans="1:30" ht="15.75" thickBot="1" x14ac:dyDescent="0.3">
      <c r="A674" s="9" t="s">
        <v>1082</v>
      </c>
      <c r="B674" s="9" t="s">
        <v>1520</v>
      </c>
      <c r="C674" s="45" t="str">
        <f t="shared" si="10"/>
        <v>DET2628286A</v>
      </c>
      <c r="D674" s="10" t="s">
        <v>1530</v>
      </c>
      <c r="E674" s="10" t="s">
        <v>1531</v>
      </c>
      <c r="F674" s="9" t="s">
        <v>494</v>
      </c>
      <c r="G674" s="9" t="s">
        <v>924</v>
      </c>
      <c r="H674" s="12">
        <v>1500</v>
      </c>
      <c r="I674" s="12">
        <v>4123</v>
      </c>
      <c r="J674" s="13">
        <v>0</v>
      </c>
      <c r="K674" s="13">
        <v>0</v>
      </c>
      <c r="L674" s="13">
        <v>0</v>
      </c>
      <c r="M674" s="13">
        <v>0</v>
      </c>
      <c r="N674" s="13">
        <v>198</v>
      </c>
      <c r="O674" s="13">
        <v>480</v>
      </c>
      <c r="P674" s="13">
        <v>1344</v>
      </c>
      <c r="Q674" s="13">
        <v>960</v>
      </c>
      <c r="R674" s="13">
        <v>1056</v>
      </c>
      <c r="S674" s="13">
        <v>1536</v>
      </c>
      <c r="T674" s="13">
        <v>1824</v>
      </c>
      <c r="U674" s="13">
        <v>1488</v>
      </c>
      <c r="V674" s="13">
        <v>2112</v>
      </c>
      <c r="W674" s="13">
        <v>3072</v>
      </c>
      <c r="X674" s="13">
        <v>336</v>
      </c>
      <c r="Y674" s="13">
        <v>1824</v>
      </c>
      <c r="Z674" s="13">
        <v>1920</v>
      </c>
      <c r="AA674" s="13">
        <v>96</v>
      </c>
      <c r="AB674" s="13">
        <v>816</v>
      </c>
      <c r="AC674" s="13">
        <v>2112</v>
      </c>
      <c r="AD674" s="13">
        <v>1920</v>
      </c>
    </row>
    <row r="675" spans="1:30" ht="15.75" thickBot="1" x14ac:dyDescent="0.3">
      <c r="A675" s="9" t="s">
        <v>1082</v>
      </c>
      <c r="B675" s="9" t="s">
        <v>1520</v>
      </c>
      <c r="C675" s="45" t="str">
        <f t="shared" si="10"/>
        <v>DET2640342A</v>
      </c>
      <c r="D675" s="10" t="s">
        <v>1532</v>
      </c>
      <c r="E675" s="10" t="s">
        <v>1533</v>
      </c>
      <c r="F675" s="9" t="s">
        <v>494</v>
      </c>
      <c r="G675" s="9" t="s">
        <v>924</v>
      </c>
      <c r="H675" s="12">
        <v>1500</v>
      </c>
      <c r="I675" s="12">
        <v>1637</v>
      </c>
      <c r="J675" s="13">
        <v>0</v>
      </c>
      <c r="K675" s="13">
        <v>0</v>
      </c>
      <c r="L675" s="13">
        <v>1205</v>
      </c>
      <c r="M675" s="13">
        <v>1120</v>
      </c>
      <c r="N675" s="13">
        <v>924</v>
      </c>
      <c r="O675" s="13">
        <v>420</v>
      </c>
      <c r="P675" s="13">
        <v>1428</v>
      </c>
      <c r="Q675" s="13">
        <v>980</v>
      </c>
      <c r="R675" s="13">
        <v>1092</v>
      </c>
      <c r="S675" s="13">
        <v>1568</v>
      </c>
      <c r="T675" s="13">
        <v>1680</v>
      </c>
      <c r="U675" s="13">
        <v>1680</v>
      </c>
      <c r="V675" s="13">
        <v>2100</v>
      </c>
      <c r="W675" s="13">
        <v>3024</v>
      </c>
      <c r="X675" s="13">
        <v>336</v>
      </c>
      <c r="Y675" s="13">
        <v>1848</v>
      </c>
      <c r="Z675" s="13">
        <v>2016</v>
      </c>
      <c r="AA675" s="13">
        <v>84</v>
      </c>
      <c r="AB675" s="13">
        <v>728</v>
      </c>
      <c r="AC675" s="13">
        <v>1988</v>
      </c>
      <c r="AD675" s="13">
        <v>2072</v>
      </c>
    </row>
    <row r="676" spans="1:30" ht="15.75" thickBot="1" x14ac:dyDescent="0.3">
      <c r="A676" s="9" t="s">
        <v>1082</v>
      </c>
      <c r="B676" s="9" t="s">
        <v>1520</v>
      </c>
      <c r="C676" s="45" t="str">
        <f t="shared" si="10"/>
        <v>DET2641726A</v>
      </c>
      <c r="D676" s="10" t="s">
        <v>1534</v>
      </c>
      <c r="E676" s="10" t="s">
        <v>1535</v>
      </c>
      <c r="F676" s="9" t="s">
        <v>494</v>
      </c>
      <c r="G676" s="9" t="s">
        <v>924</v>
      </c>
      <c r="H676" s="12">
        <v>1500</v>
      </c>
      <c r="I676" s="12">
        <v>12826</v>
      </c>
      <c r="J676" s="13">
        <v>0</v>
      </c>
      <c r="K676" s="13">
        <v>0</v>
      </c>
      <c r="L676" s="13">
        <v>0</v>
      </c>
      <c r="M676" s="13">
        <v>0</v>
      </c>
      <c r="N676" s="13">
        <v>0</v>
      </c>
      <c r="O676" s="13">
        <v>0</v>
      </c>
      <c r="P676" s="13">
        <v>0</v>
      </c>
      <c r="Q676" s="13">
        <v>0</v>
      </c>
      <c r="R676" s="13">
        <v>0</v>
      </c>
      <c r="S676" s="13">
        <v>0</v>
      </c>
      <c r="T676" s="13">
        <v>0</v>
      </c>
      <c r="U676" s="13">
        <v>908</v>
      </c>
      <c r="V676" s="13">
        <v>2100</v>
      </c>
      <c r="W676" s="13">
        <v>3024</v>
      </c>
      <c r="X676" s="13">
        <v>336</v>
      </c>
      <c r="Y676" s="13">
        <v>1848</v>
      </c>
      <c r="Z676" s="13">
        <v>2016</v>
      </c>
      <c r="AA676" s="13">
        <v>84</v>
      </c>
      <c r="AB676" s="13">
        <v>728</v>
      </c>
      <c r="AC676" s="13">
        <v>1988</v>
      </c>
      <c r="AD676" s="13">
        <v>2072</v>
      </c>
    </row>
    <row r="677" spans="1:30" ht="15.75" thickBot="1" x14ac:dyDescent="0.3">
      <c r="A677" s="9" t="s">
        <v>1082</v>
      </c>
      <c r="B677" s="9" t="s">
        <v>1520</v>
      </c>
      <c r="C677" s="45" t="str">
        <f t="shared" si="10"/>
        <v>DET2650844A</v>
      </c>
      <c r="D677" s="10" t="s">
        <v>1536</v>
      </c>
      <c r="E677" s="10" t="s">
        <v>1537</v>
      </c>
      <c r="F677" s="9" t="s">
        <v>494</v>
      </c>
      <c r="G677" s="9" t="s">
        <v>924</v>
      </c>
      <c r="H677" s="12">
        <v>3000</v>
      </c>
      <c r="I677" s="12">
        <v>20986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1587</v>
      </c>
      <c r="AD677" s="13">
        <v>1694</v>
      </c>
    </row>
    <row r="678" spans="1:30" ht="15.75" thickBot="1" x14ac:dyDescent="0.3">
      <c r="A678" s="9" t="s">
        <v>1082</v>
      </c>
      <c r="B678" s="9" t="s">
        <v>1520</v>
      </c>
      <c r="C678" s="45" t="str">
        <f t="shared" si="10"/>
        <v>DET2662570A</v>
      </c>
      <c r="D678" s="10" t="s">
        <v>1538</v>
      </c>
      <c r="E678" s="10" t="s">
        <v>1539</v>
      </c>
      <c r="F678" s="9" t="s">
        <v>494</v>
      </c>
      <c r="G678" s="9" t="s">
        <v>924</v>
      </c>
      <c r="H678" s="12">
        <v>3000</v>
      </c>
      <c r="I678" s="12">
        <v>23202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1817</v>
      </c>
      <c r="V678" s="13">
        <v>2568</v>
      </c>
      <c r="W678" s="13">
        <v>4128</v>
      </c>
      <c r="X678" s="13">
        <v>4012</v>
      </c>
      <c r="Y678" s="13">
        <v>3972</v>
      </c>
      <c r="Z678" s="13">
        <v>4944</v>
      </c>
      <c r="AA678" s="13">
        <v>0</v>
      </c>
      <c r="AB678" s="13">
        <v>820</v>
      </c>
      <c r="AC678" s="13">
        <v>4124</v>
      </c>
      <c r="AD678" s="13">
        <v>4140</v>
      </c>
    </row>
    <row r="679" spans="1:30" ht="15.75" thickBot="1" x14ac:dyDescent="0.3">
      <c r="A679" s="9" t="s">
        <v>1082</v>
      </c>
      <c r="B679" s="9" t="s">
        <v>1520</v>
      </c>
      <c r="C679" s="45" t="str">
        <f t="shared" si="10"/>
        <v>DET5801612B</v>
      </c>
      <c r="D679" s="10" t="s">
        <v>1540</v>
      </c>
      <c r="E679" s="10" t="s">
        <v>1541</v>
      </c>
      <c r="F679" s="9" t="s">
        <v>261</v>
      </c>
      <c r="G679" s="9" t="s">
        <v>924</v>
      </c>
      <c r="H679" s="12">
        <v>1500</v>
      </c>
      <c r="I679" s="12">
        <v>15841</v>
      </c>
      <c r="J679" s="13">
        <v>0</v>
      </c>
      <c r="K679" s="13">
        <v>0</v>
      </c>
      <c r="L679" s="13">
        <v>0</v>
      </c>
      <c r="M679" s="13">
        <v>0</v>
      </c>
      <c r="N679" s="13">
        <v>0</v>
      </c>
      <c r="O679" s="13">
        <v>0</v>
      </c>
      <c r="P679" s="13">
        <v>0</v>
      </c>
      <c r="Q679" s="13">
        <v>0</v>
      </c>
      <c r="R679" s="13">
        <v>0</v>
      </c>
      <c r="S679" s="13">
        <v>0</v>
      </c>
      <c r="T679" s="13">
        <v>0</v>
      </c>
      <c r="U679" s="13">
        <v>0</v>
      </c>
      <c r="V679" s="13">
        <v>0</v>
      </c>
      <c r="W679" s="13">
        <v>681</v>
      </c>
      <c r="X679" s="13">
        <v>2160</v>
      </c>
      <c r="Y679" s="13">
        <v>1440</v>
      </c>
      <c r="Z679" s="13">
        <v>0</v>
      </c>
      <c r="AA679" s="13">
        <v>1440</v>
      </c>
      <c r="AB679" s="13">
        <v>2160</v>
      </c>
      <c r="AC679" s="13">
        <v>1440</v>
      </c>
      <c r="AD679" s="13">
        <v>2160</v>
      </c>
    </row>
    <row r="680" spans="1:30" ht="15.75" thickBot="1" x14ac:dyDescent="0.3">
      <c r="A680" s="9" t="s">
        <v>1082</v>
      </c>
      <c r="B680" s="9" t="s">
        <v>1520</v>
      </c>
      <c r="C680" s="45" t="str">
        <f t="shared" si="10"/>
        <v>DET5B852</v>
      </c>
      <c r="D680" s="10" t="s">
        <v>1542</v>
      </c>
      <c r="E680" s="10" t="s">
        <v>942</v>
      </c>
      <c r="F680" s="9" t="s">
        <v>364</v>
      </c>
      <c r="G680" s="9" t="s">
        <v>924</v>
      </c>
      <c r="H680" s="12">
        <v>1500</v>
      </c>
      <c r="I680" s="12">
        <v>1961</v>
      </c>
      <c r="J680" s="13">
        <v>7516</v>
      </c>
      <c r="K680" s="13">
        <v>2880</v>
      </c>
      <c r="L680" s="13">
        <v>2880</v>
      </c>
      <c r="M680" s="13">
        <v>2880</v>
      </c>
      <c r="N680" s="13">
        <v>5184</v>
      </c>
      <c r="O680" s="13">
        <v>3456</v>
      </c>
      <c r="P680" s="13">
        <v>2880</v>
      </c>
      <c r="Q680" s="13">
        <v>2880</v>
      </c>
      <c r="R680" s="13">
        <v>2880</v>
      </c>
      <c r="S680" s="13">
        <v>3648</v>
      </c>
      <c r="T680" s="13">
        <v>768</v>
      </c>
      <c r="U680" s="13">
        <v>0</v>
      </c>
      <c r="V680" s="13">
        <v>2688</v>
      </c>
      <c r="W680" s="13">
        <v>3360</v>
      </c>
      <c r="X680" s="13">
        <v>2976</v>
      </c>
      <c r="Y680" s="13">
        <v>3264</v>
      </c>
      <c r="Z680" s="13">
        <v>2592</v>
      </c>
      <c r="AA680" s="13">
        <v>2784</v>
      </c>
      <c r="AB680" s="13">
        <v>3648</v>
      </c>
      <c r="AC680" s="13">
        <v>3840</v>
      </c>
      <c r="AD680" s="13">
        <v>2688</v>
      </c>
    </row>
    <row r="681" spans="1:30" ht="15.75" thickBot="1" x14ac:dyDescent="0.3">
      <c r="A681" s="9" t="s">
        <v>1082</v>
      </c>
      <c r="B681" s="9" t="s">
        <v>1520</v>
      </c>
      <c r="C681" s="45" t="str">
        <f t="shared" si="10"/>
        <v>DET68507882</v>
      </c>
      <c r="D681" s="10" t="s">
        <v>1543</v>
      </c>
      <c r="E681" s="10" t="s">
        <v>1544</v>
      </c>
      <c r="F681" s="9" t="s">
        <v>1117</v>
      </c>
      <c r="G681" s="9" t="s">
        <v>924</v>
      </c>
      <c r="H681" s="12">
        <v>1500</v>
      </c>
      <c r="I681" s="12">
        <v>22392</v>
      </c>
      <c r="J681" s="13">
        <v>0</v>
      </c>
      <c r="K681" s="13">
        <v>0</v>
      </c>
      <c r="L681" s="13">
        <v>0</v>
      </c>
      <c r="M681" s="13">
        <v>0</v>
      </c>
      <c r="N681" s="13">
        <v>0</v>
      </c>
      <c r="O681" s="13">
        <v>0</v>
      </c>
      <c r="P681" s="13">
        <v>0</v>
      </c>
      <c r="Q681" s="13">
        <v>0</v>
      </c>
      <c r="R681" s="13">
        <v>1183</v>
      </c>
      <c r="S681" s="13">
        <v>4000</v>
      </c>
      <c r="T681" s="13">
        <v>2000</v>
      </c>
      <c r="U681" s="13">
        <v>2000</v>
      </c>
      <c r="V681" s="13">
        <v>2000</v>
      </c>
      <c r="W681" s="13">
        <v>4000</v>
      </c>
      <c r="X681" s="13">
        <v>2000</v>
      </c>
      <c r="Y681" s="13">
        <v>2000</v>
      </c>
      <c r="Z681" s="13">
        <v>2000</v>
      </c>
      <c r="AA681" s="13">
        <v>0</v>
      </c>
      <c r="AB681" s="13">
        <v>2000</v>
      </c>
      <c r="AC681" s="13">
        <v>4000</v>
      </c>
      <c r="AD681" s="13">
        <v>2000</v>
      </c>
    </row>
    <row r="682" spans="1:30" ht="15.75" thickBot="1" x14ac:dyDescent="0.3">
      <c r="A682" s="9" t="s">
        <v>1082</v>
      </c>
      <c r="B682" s="9" t="s">
        <v>1520</v>
      </c>
      <c r="C682" s="45" t="str">
        <f t="shared" si="10"/>
        <v>DET68507883</v>
      </c>
      <c r="D682" s="10" t="s">
        <v>1545</v>
      </c>
      <c r="E682" s="10" t="s">
        <v>1546</v>
      </c>
      <c r="F682" s="9" t="s">
        <v>1117</v>
      </c>
      <c r="G682" s="9" t="s">
        <v>924</v>
      </c>
      <c r="H682" s="12">
        <v>1500</v>
      </c>
      <c r="I682" s="12">
        <v>12815</v>
      </c>
      <c r="J682" s="13">
        <v>0</v>
      </c>
      <c r="K682" s="13">
        <v>0</v>
      </c>
      <c r="L682" s="13">
        <v>0</v>
      </c>
      <c r="M682" s="13">
        <v>0</v>
      </c>
      <c r="N682" s="13">
        <v>0</v>
      </c>
      <c r="O682" s="13">
        <v>0</v>
      </c>
      <c r="P682" s="13">
        <v>0</v>
      </c>
      <c r="Q682" s="13">
        <v>0</v>
      </c>
      <c r="R682" s="13">
        <v>1183</v>
      </c>
      <c r="S682" s="13">
        <v>4000</v>
      </c>
      <c r="T682" s="13">
        <v>2000</v>
      </c>
      <c r="U682" s="13">
        <v>2000</v>
      </c>
      <c r="V682" s="13">
        <v>2000</v>
      </c>
      <c r="W682" s="13">
        <v>4000</v>
      </c>
      <c r="X682" s="13">
        <v>2000</v>
      </c>
      <c r="Y682" s="13">
        <v>2000</v>
      </c>
      <c r="Z682" s="13">
        <v>2000</v>
      </c>
      <c r="AA682" s="13">
        <v>0</v>
      </c>
      <c r="AB682" s="13">
        <v>2000</v>
      </c>
      <c r="AC682" s="13">
        <v>4000</v>
      </c>
      <c r="AD682" s="13">
        <v>2000</v>
      </c>
    </row>
    <row r="683" spans="1:30" ht="15.75" thickBot="1" x14ac:dyDescent="0.3">
      <c r="A683" s="9" t="s">
        <v>1082</v>
      </c>
      <c r="B683" s="9" t="s">
        <v>1520</v>
      </c>
      <c r="C683" s="45" t="str">
        <f t="shared" si="10"/>
        <v>DET9A762A</v>
      </c>
      <c r="D683" s="10" t="s">
        <v>1547</v>
      </c>
      <c r="E683" s="10" t="s">
        <v>1548</v>
      </c>
      <c r="F683" s="9" t="s">
        <v>494</v>
      </c>
      <c r="G683" s="9" t="s">
        <v>924</v>
      </c>
      <c r="H683" s="12">
        <v>3000</v>
      </c>
      <c r="I683" s="12">
        <v>9358</v>
      </c>
      <c r="J683" s="13">
        <v>0</v>
      </c>
      <c r="K683" s="13">
        <v>0</v>
      </c>
      <c r="L683" s="13">
        <v>0</v>
      </c>
      <c r="M683" s="13">
        <v>0</v>
      </c>
      <c r="N683" s="13">
        <v>0</v>
      </c>
      <c r="O683" s="13">
        <v>0</v>
      </c>
      <c r="P683" s="13">
        <v>3695</v>
      </c>
      <c r="Q683" s="13">
        <v>4320</v>
      </c>
      <c r="R683" s="13">
        <v>4752</v>
      </c>
      <c r="S683" s="13">
        <v>6048</v>
      </c>
      <c r="T683" s="13">
        <v>4752</v>
      </c>
      <c r="U683" s="13">
        <v>5616</v>
      </c>
      <c r="V683" s="13">
        <v>3024</v>
      </c>
      <c r="W683" s="13">
        <v>6480</v>
      </c>
      <c r="X683" s="13">
        <v>6048</v>
      </c>
      <c r="Y683" s="13">
        <v>4752</v>
      </c>
      <c r="Z683" s="13">
        <v>5184</v>
      </c>
      <c r="AA683" s="13">
        <v>432</v>
      </c>
      <c r="AB683" s="13">
        <v>2592</v>
      </c>
      <c r="AC683" s="13">
        <v>4752</v>
      </c>
      <c r="AD683" s="13">
        <v>6480</v>
      </c>
    </row>
    <row r="684" spans="1:30" ht="15.75" thickBot="1" x14ac:dyDescent="0.3">
      <c r="A684" s="9" t="s">
        <v>1082</v>
      </c>
      <c r="B684" s="9" t="s">
        <v>1520</v>
      </c>
      <c r="C684" s="45" t="str">
        <f t="shared" si="10"/>
        <v>DET9D823A</v>
      </c>
      <c r="D684" s="10" t="s">
        <v>1549</v>
      </c>
      <c r="E684" s="10" t="s">
        <v>1550</v>
      </c>
      <c r="F684" s="9" t="s">
        <v>494</v>
      </c>
      <c r="G684" s="9" t="s">
        <v>924</v>
      </c>
      <c r="H684" s="12">
        <v>3000</v>
      </c>
      <c r="I684" s="12">
        <v>5474</v>
      </c>
      <c r="J684" s="13">
        <v>0</v>
      </c>
      <c r="K684" s="13">
        <v>0</v>
      </c>
      <c r="L684" s="13">
        <v>780</v>
      </c>
      <c r="M684" s="13">
        <v>4752</v>
      </c>
      <c r="N684" s="13">
        <v>2304</v>
      </c>
      <c r="O684" s="13">
        <v>3384</v>
      </c>
      <c r="P684" s="13">
        <v>5040</v>
      </c>
      <c r="Q684" s="13">
        <v>3744</v>
      </c>
      <c r="R684" s="13">
        <v>4608</v>
      </c>
      <c r="S684" s="13">
        <v>5760</v>
      </c>
      <c r="T684" s="13">
        <v>5688</v>
      </c>
      <c r="U684" s="13">
        <v>5040</v>
      </c>
      <c r="V684" s="13">
        <v>4104</v>
      </c>
      <c r="W684" s="13">
        <v>6048</v>
      </c>
      <c r="X684" s="13">
        <v>5616</v>
      </c>
      <c r="Y684" s="13">
        <v>5184</v>
      </c>
      <c r="Z684" s="13">
        <v>4608</v>
      </c>
      <c r="AA684" s="13">
        <v>288</v>
      </c>
      <c r="AB684" s="13">
        <v>2304</v>
      </c>
      <c r="AC684" s="13">
        <v>5760</v>
      </c>
      <c r="AD684" s="13">
        <v>5688</v>
      </c>
    </row>
    <row r="685" spans="1:30" ht="15.75" thickBot="1" x14ac:dyDescent="0.3">
      <c r="A685" s="9" t="s">
        <v>1082</v>
      </c>
      <c r="B685" s="9" t="s">
        <v>1520</v>
      </c>
      <c r="C685" s="45" t="str">
        <f t="shared" si="10"/>
        <v>DETBR18K586</v>
      </c>
      <c r="D685" s="10" t="s">
        <v>1551</v>
      </c>
      <c r="E685" s="10" t="s">
        <v>1552</v>
      </c>
      <c r="F685" s="9" t="s">
        <v>364</v>
      </c>
      <c r="G685" s="9" t="s">
        <v>924</v>
      </c>
      <c r="H685" s="12">
        <v>1500</v>
      </c>
      <c r="I685" s="12">
        <v>18728</v>
      </c>
      <c r="J685" s="13">
        <v>0</v>
      </c>
      <c r="K685" s="13">
        <v>0</v>
      </c>
      <c r="L685" s="13">
        <v>0</v>
      </c>
      <c r="M685" s="13">
        <v>0</v>
      </c>
      <c r="N685" s="13">
        <v>0</v>
      </c>
      <c r="O685" s="13">
        <v>2169</v>
      </c>
      <c r="P685" s="13">
        <v>5415</v>
      </c>
      <c r="Q685" s="13">
        <v>3917</v>
      </c>
      <c r="R685" s="13">
        <v>3916</v>
      </c>
      <c r="S685" s="13">
        <v>5760</v>
      </c>
      <c r="T685" s="13">
        <v>5760</v>
      </c>
      <c r="U685" s="13">
        <v>5300</v>
      </c>
      <c r="V685" s="13">
        <v>3916</v>
      </c>
      <c r="W685" s="13">
        <v>5876</v>
      </c>
      <c r="X685" s="13">
        <v>5990</v>
      </c>
      <c r="Y685" s="13">
        <v>5069</v>
      </c>
      <c r="Z685" s="13">
        <v>5529</v>
      </c>
      <c r="AA685" s="13">
        <v>116</v>
      </c>
      <c r="AB685" s="13">
        <v>1612</v>
      </c>
      <c r="AC685" s="13">
        <v>5760</v>
      </c>
      <c r="AD685" s="13">
        <v>5645</v>
      </c>
    </row>
    <row r="686" spans="1:30" ht="15.75" thickBot="1" x14ac:dyDescent="0.3">
      <c r="A686" s="9" t="s">
        <v>1082</v>
      </c>
      <c r="B686" s="9" t="s">
        <v>1520</v>
      </c>
      <c r="C686" s="45" t="str">
        <f t="shared" si="10"/>
        <v>DETE10032A</v>
      </c>
      <c r="D686" s="10" t="s">
        <v>1553</v>
      </c>
      <c r="E686" s="10" t="s">
        <v>1554</v>
      </c>
      <c r="F686" s="9" t="s">
        <v>261</v>
      </c>
      <c r="G686" s="9" t="s">
        <v>924</v>
      </c>
      <c r="H686" s="12">
        <v>1500</v>
      </c>
      <c r="I686" s="12">
        <v>15196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1534</v>
      </c>
      <c r="R686" s="13">
        <v>2028</v>
      </c>
      <c r="S686" s="13">
        <v>2988</v>
      </c>
      <c r="T686" s="13">
        <v>3168</v>
      </c>
      <c r="U686" s="13">
        <v>2940</v>
      </c>
      <c r="V686" s="13">
        <v>2604</v>
      </c>
      <c r="W686" s="13">
        <v>4140</v>
      </c>
      <c r="X686" s="13">
        <v>3996</v>
      </c>
      <c r="Y686" s="13">
        <v>3972</v>
      </c>
      <c r="Z686" s="13">
        <v>4944</v>
      </c>
      <c r="AA686" s="13">
        <v>0</v>
      </c>
      <c r="AB686" s="13">
        <v>816</v>
      </c>
      <c r="AC686" s="13">
        <v>4104</v>
      </c>
      <c r="AD686" s="13">
        <v>4128</v>
      </c>
    </row>
    <row r="687" spans="1:30" ht="15.75" thickBot="1" x14ac:dyDescent="0.3">
      <c r="A687" s="9" t="s">
        <v>1082</v>
      </c>
      <c r="B687" s="9" t="s">
        <v>1520</v>
      </c>
      <c r="C687" s="45" t="str">
        <f t="shared" si="10"/>
        <v>DETE279E12A</v>
      </c>
      <c r="D687" s="10" t="s">
        <v>1555</v>
      </c>
      <c r="E687" s="10" t="s">
        <v>1556</v>
      </c>
      <c r="F687" s="9" t="s">
        <v>261</v>
      </c>
      <c r="G687" s="9" t="s">
        <v>924</v>
      </c>
      <c r="H687" s="12">
        <v>1500</v>
      </c>
      <c r="I687" s="12">
        <v>3883</v>
      </c>
      <c r="J687" s="13">
        <v>0</v>
      </c>
      <c r="K687" s="13">
        <v>0</v>
      </c>
      <c r="L687" s="13">
        <v>0</v>
      </c>
      <c r="M687" s="13">
        <v>902</v>
      </c>
      <c r="N687" s="13">
        <v>1200</v>
      </c>
      <c r="O687" s="13">
        <v>1330</v>
      </c>
      <c r="P687" s="13">
        <v>980</v>
      </c>
      <c r="Q687" s="13">
        <v>1170</v>
      </c>
      <c r="R687" s="13">
        <v>1520</v>
      </c>
      <c r="S687" s="13">
        <v>1670</v>
      </c>
      <c r="T687" s="13">
        <v>1450</v>
      </c>
      <c r="U687" s="13">
        <v>1340</v>
      </c>
      <c r="V687" s="13">
        <v>2220</v>
      </c>
      <c r="W687" s="13">
        <v>2050</v>
      </c>
      <c r="X687" s="13">
        <v>2030</v>
      </c>
      <c r="Y687" s="13">
        <v>1720</v>
      </c>
      <c r="Z687" s="13">
        <v>0</v>
      </c>
      <c r="AA687" s="13">
        <v>920</v>
      </c>
      <c r="AB687" s="13">
        <v>2070</v>
      </c>
      <c r="AC687" s="13">
        <v>2020</v>
      </c>
      <c r="AD687" s="13">
        <v>1980</v>
      </c>
    </row>
    <row r="688" spans="1:30" ht="15.75" thickBot="1" x14ac:dyDescent="0.3">
      <c r="A688" s="9" t="s">
        <v>1082</v>
      </c>
      <c r="B688" s="9" t="s">
        <v>1520</v>
      </c>
      <c r="C688" s="45" t="str">
        <f t="shared" si="10"/>
        <v>DETE279E13A</v>
      </c>
      <c r="D688" s="10" t="s">
        <v>1557</v>
      </c>
      <c r="E688" s="10" t="s">
        <v>1558</v>
      </c>
      <c r="F688" s="9" t="s">
        <v>261</v>
      </c>
      <c r="G688" s="9" t="s">
        <v>924</v>
      </c>
      <c r="H688" s="12">
        <v>1500</v>
      </c>
      <c r="I688" s="12">
        <v>6900</v>
      </c>
      <c r="J688" s="13">
        <v>0</v>
      </c>
      <c r="K688" s="13">
        <v>0</v>
      </c>
      <c r="L688" s="13">
        <v>0</v>
      </c>
      <c r="M688" s="13">
        <v>902</v>
      </c>
      <c r="N688" s="13">
        <v>1200</v>
      </c>
      <c r="O688" s="13">
        <v>1330</v>
      </c>
      <c r="P688" s="13">
        <v>980</v>
      </c>
      <c r="Q688" s="13">
        <v>1170</v>
      </c>
      <c r="R688" s="13">
        <v>1520</v>
      </c>
      <c r="S688" s="13">
        <v>1670</v>
      </c>
      <c r="T688" s="13">
        <v>1450</v>
      </c>
      <c r="U688" s="13">
        <v>1340</v>
      </c>
      <c r="V688" s="13">
        <v>2220</v>
      </c>
      <c r="W688" s="13">
        <v>2050</v>
      </c>
      <c r="X688" s="13">
        <v>2030</v>
      </c>
      <c r="Y688" s="13">
        <v>1720</v>
      </c>
      <c r="Z688" s="13">
        <v>0</v>
      </c>
      <c r="AA688" s="13">
        <v>920</v>
      </c>
      <c r="AB688" s="13">
        <v>2070</v>
      </c>
      <c r="AC688" s="13">
        <v>2020</v>
      </c>
      <c r="AD688" s="13">
        <v>1980</v>
      </c>
    </row>
    <row r="689" spans="1:30" ht="15.75" thickBot="1" x14ac:dyDescent="0.3">
      <c r="A689" s="9" t="s">
        <v>1082</v>
      </c>
      <c r="B689" s="9" t="s">
        <v>1520</v>
      </c>
      <c r="C689" s="45" t="str">
        <f t="shared" si="10"/>
        <v>DETS28126</v>
      </c>
      <c r="D689" s="10" t="s">
        <v>1559</v>
      </c>
      <c r="E689" s="10" t="s">
        <v>1560</v>
      </c>
      <c r="F689" s="9" t="s">
        <v>364</v>
      </c>
      <c r="G689" s="9" t="s">
        <v>924</v>
      </c>
      <c r="H689" s="12">
        <v>1500</v>
      </c>
      <c r="I689" s="12">
        <v>18846</v>
      </c>
      <c r="J689" s="13">
        <v>0</v>
      </c>
      <c r="K689" s="13">
        <v>0</v>
      </c>
      <c r="L689" s="13">
        <v>0</v>
      </c>
      <c r="M689" s="13">
        <v>0</v>
      </c>
      <c r="N689" s="13">
        <v>0</v>
      </c>
      <c r="O689" s="13">
        <v>0</v>
      </c>
      <c r="P689" s="13">
        <v>0</v>
      </c>
      <c r="Q689" s="13">
        <v>0</v>
      </c>
      <c r="R689" s="13">
        <v>0</v>
      </c>
      <c r="S689" s="13">
        <v>0</v>
      </c>
      <c r="T689" s="13">
        <v>0</v>
      </c>
      <c r="U689" s="13">
        <v>0</v>
      </c>
      <c r="V689" s="13">
        <v>0</v>
      </c>
      <c r="W689" s="13">
        <v>0</v>
      </c>
      <c r="X689" s="13">
        <v>0</v>
      </c>
      <c r="Y689" s="13">
        <v>0</v>
      </c>
      <c r="Z689" s="13">
        <v>0</v>
      </c>
      <c r="AA689" s="13">
        <v>0</v>
      </c>
      <c r="AB689" s="13">
        <v>0</v>
      </c>
      <c r="AC689" s="13">
        <v>0</v>
      </c>
      <c r="AD689" s="13">
        <v>0</v>
      </c>
    </row>
    <row r="690" spans="1:30" ht="15.75" thickBot="1" x14ac:dyDescent="0.3">
      <c r="A690" s="9" t="s">
        <v>1082</v>
      </c>
      <c r="B690" s="9" t="s">
        <v>1520</v>
      </c>
      <c r="C690" s="45" t="str">
        <f t="shared" si="10"/>
        <v>PUR21000K50 A</v>
      </c>
      <c r="D690" s="10" t="s">
        <v>1561</v>
      </c>
      <c r="E690" s="10" t="s">
        <v>1562</v>
      </c>
      <c r="F690" s="9" t="s">
        <v>364</v>
      </c>
      <c r="G690" s="9" t="s">
        <v>924</v>
      </c>
      <c r="H690" s="12">
        <v>3000</v>
      </c>
      <c r="I690" s="12">
        <v>67909</v>
      </c>
      <c r="J690" s="13">
        <v>0</v>
      </c>
      <c r="K690" s="13">
        <v>0</v>
      </c>
      <c r="L690" s="13">
        <v>53167</v>
      </c>
      <c r="M690" s="13">
        <v>42320</v>
      </c>
      <c r="N690" s="13">
        <v>51996</v>
      </c>
      <c r="O690" s="13">
        <v>66032</v>
      </c>
      <c r="P690" s="13">
        <v>37956</v>
      </c>
      <c r="Q690" s="13">
        <v>50756</v>
      </c>
      <c r="R690" s="13">
        <v>57444</v>
      </c>
      <c r="S690" s="13">
        <v>56684</v>
      </c>
      <c r="T690" s="13">
        <v>74020</v>
      </c>
      <c r="U690" s="13">
        <v>19324</v>
      </c>
      <c r="V690" s="13">
        <v>72032</v>
      </c>
      <c r="W690" s="13">
        <v>59056</v>
      </c>
      <c r="X690" s="13">
        <v>40100</v>
      </c>
      <c r="Y690" s="13">
        <v>41644</v>
      </c>
      <c r="Z690" s="13">
        <v>28288</v>
      </c>
      <c r="AA690" s="13">
        <v>28760</v>
      </c>
      <c r="AB690" s="13">
        <v>52072</v>
      </c>
      <c r="AC690" s="13">
        <v>64752</v>
      </c>
      <c r="AD690" s="13">
        <v>47724</v>
      </c>
    </row>
    <row r="691" spans="1:30" ht="15.75" thickBot="1" x14ac:dyDescent="0.3">
      <c r="A691" s="9" t="s">
        <v>1082</v>
      </c>
      <c r="B691" s="9" t="s">
        <v>1520</v>
      </c>
      <c r="C691" s="45" t="str">
        <f t="shared" si="10"/>
        <v>PUR2110370 A</v>
      </c>
      <c r="D691" s="10" t="s">
        <v>1563</v>
      </c>
      <c r="E691" s="10" t="s">
        <v>1564</v>
      </c>
      <c r="F691" s="9" t="s">
        <v>494</v>
      </c>
      <c r="G691" s="9" t="s">
        <v>924</v>
      </c>
      <c r="H691" s="12">
        <v>3000</v>
      </c>
      <c r="I691" s="12">
        <v>25997</v>
      </c>
      <c r="J691" s="13">
        <v>0</v>
      </c>
      <c r="K691" s="13">
        <v>0</v>
      </c>
      <c r="L691" s="13">
        <v>0</v>
      </c>
      <c r="M691" s="13">
        <v>12198</v>
      </c>
      <c r="N691" s="13">
        <v>16384</v>
      </c>
      <c r="O691" s="13">
        <v>20296</v>
      </c>
      <c r="P691" s="13">
        <v>27716</v>
      </c>
      <c r="Q691" s="13">
        <v>7976</v>
      </c>
      <c r="R691" s="13">
        <v>15844</v>
      </c>
      <c r="S691" s="13">
        <v>22480</v>
      </c>
      <c r="T691" s="13">
        <v>22832</v>
      </c>
      <c r="U691" s="13">
        <v>21096</v>
      </c>
      <c r="V691" s="13">
        <v>15232</v>
      </c>
      <c r="W691" s="13">
        <v>22936</v>
      </c>
      <c r="X691" s="13">
        <v>22224</v>
      </c>
      <c r="Y691" s="13">
        <v>22508</v>
      </c>
      <c r="Z691" s="13">
        <v>26564</v>
      </c>
      <c r="AA691" s="13">
        <v>0</v>
      </c>
      <c r="AB691" s="13">
        <v>4532</v>
      </c>
      <c r="AC691" s="13">
        <v>22732</v>
      </c>
      <c r="AD691" s="13">
        <v>22608</v>
      </c>
    </row>
    <row r="692" spans="1:30" ht="15.75" thickBot="1" x14ac:dyDescent="0.3">
      <c r="A692" s="9" t="s">
        <v>1082</v>
      </c>
      <c r="B692" s="9" t="s">
        <v>1520</v>
      </c>
      <c r="C692" s="45" t="str">
        <f t="shared" si="10"/>
        <v>REPACK2101514AA</v>
      </c>
      <c r="D692" s="10" t="s">
        <v>1565</v>
      </c>
      <c r="E692" s="10" t="s">
        <v>970</v>
      </c>
      <c r="F692" s="9" t="s">
        <v>494</v>
      </c>
      <c r="G692" s="9" t="s">
        <v>924</v>
      </c>
      <c r="H692" s="12">
        <v>3000</v>
      </c>
      <c r="I692" s="12">
        <v>23995</v>
      </c>
      <c r="J692" s="13">
        <v>0</v>
      </c>
      <c r="K692" s="13">
        <v>0</v>
      </c>
      <c r="L692" s="13">
        <v>0</v>
      </c>
      <c r="M692" s="13">
        <v>12892</v>
      </c>
      <c r="N692" s="13">
        <v>600</v>
      </c>
      <c r="O692" s="13">
        <v>4200</v>
      </c>
      <c r="P692" s="13">
        <v>9000</v>
      </c>
      <c r="Q692" s="13">
        <v>8400</v>
      </c>
      <c r="R692" s="13">
        <v>7200</v>
      </c>
      <c r="S692" s="13">
        <v>12000</v>
      </c>
      <c r="T692" s="13">
        <v>12000</v>
      </c>
      <c r="U692" s="13">
        <v>10800</v>
      </c>
      <c r="V692" s="13">
        <v>7200</v>
      </c>
      <c r="W692" s="13">
        <v>12000</v>
      </c>
      <c r="X692" s="13">
        <v>11400</v>
      </c>
      <c r="Y692" s="13">
        <v>10200</v>
      </c>
      <c r="Z692" s="13">
        <v>12000</v>
      </c>
      <c r="AA692" s="13">
        <v>0</v>
      </c>
      <c r="AB692" s="13">
        <v>2400</v>
      </c>
      <c r="AC692" s="13">
        <v>12000</v>
      </c>
      <c r="AD692" s="13">
        <v>11400</v>
      </c>
    </row>
    <row r="693" spans="1:30" ht="15.75" thickBot="1" x14ac:dyDescent="0.3">
      <c r="A693" s="9" t="s">
        <v>1082</v>
      </c>
      <c r="B693" s="9" t="s">
        <v>1520</v>
      </c>
      <c r="C693" s="45" t="str">
        <f t="shared" si="10"/>
        <v>REPACK21016C02AA</v>
      </c>
      <c r="D693" s="10" t="s">
        <v>1566</v>
      </c>
      <c r="E693" s="10" t="s">
        <v>972</v>
      </c>
      <c r="F693" s="9" t="s">
        <v>494</v>
      </c>
      <c r="G693" s="9" t="s">
        <v>924</v>
      </c>
      <c r="H693" s="12">
        <v>3000</v>
      </c>
      <c r="I693" s="12">
        <v>26914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0</v>
      </c>
      <c r="S693" s="13">
        <v>0</v>
      </c>
      <c r="T693" s="13">
        <v>0</v>
      </c>
      <c r="U693" s="13">
        <v>806</v>
      </c>
      <c r="V693" s="13">
        <v>792</v>
      </c>
      <c r="W693" s="13">
        <v>3960</v>
      </c>
      <c r="X693" s="13">
        <v>3960</v>
      </c>
      <c r="Y693" s="13">
        <v>3960</v>
      </c>
      <c r="Z693" s="13">
        <v>3168</v>
      </c>
      <c r="AA693" s="13">
        <v>792</v>
      </c>
      <c r="AB693" s="13">
        <v>3960</v>
      </c>
      <c r="AC693" s="13">
        <v>3960</v>
      </c>
      <c r="AD693" s="13">
        <v>3960</v>
      </c>
    </row>
    <row r="694" spans="1:30" ht="15.75" thickBot="1" x14ac:dyDescent="0.3">
      <c r="A694" s="9" t="s">
        <v>1082</v>
      </c>
      <c r="B694" s="9" t="s">
        <v>1520</v>
      </c>
      <c r="C694" s="45" t="str">
        <f t="shared" si="10"/>
        <v>REPACK26454W66AA</v>
      </c>
      <c r="D694" s="10" t="s">
        <v>1567</v>
      </c>
      <c r="E694" s="10" t="s">
        <v>974</v>
      </c>
      <c r="F694" s="9" t="s">
        <v>494</v>
      </c>
      <c r="G694" s="9" t="s">
        <v>924</v>
      </c>
      <c r="H694" s="12">
        <v>3000</v>
      </c>
      <c r="I694" s="12">
        <v>16032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</row>
    <row r="695" spans="1:30" ht="15.75" thickBot="1" x14ac:dyDescent="0.3">
      <c r="A695" s="9" t="s">
        <v>1082</v>
      </c>
      <c r="B695" s="9" t="s">
        <v>1520</v>
      </c>
      <c r="C695" s="45" t="str">
        <f t="shared" si="10"/>
        <v>REPACK26454W66BA</v>
      </c>
      <c r="D695" s="10" t="s">
        <v>1568</v>
      </c>
      <c r="E695" s="10" t="s">
        <v>974</v>
      </c>
      <c r="F695" s="9" t="s">
        <v>494</v>
      </c>
      <c r="G695" s="9" t="s">
        <v>924</v>
      </c>
      <c r="H695" s="12">
        <v>3000</v>
      </c>
      <c r="I695" s="12">
        <v>49924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0</v>
      </c>
      <c r="S695" s="13">
        <v>0</v>
      </c>
      <c r="T695" s="13">
        <v>0</v>
      </c>
      <c r="U695" s="13">
        <v>0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0</v>
      </c>
    </row>
    <row r="696" spans="1:30" ht="15.75" thickBot="1" x14ac:dyDescent="0.3">
      <c r="A696" s="9" t="s">
        <v>1082</v>
      </c>
      <c r="B696" s="9" t="s">
        <v>1520</v>
      </c>
      <c r="C696" s="45" t="str">
        <f t="shared" si="10"/>
        <v>REPACK58016B28</v>
      </c>
      <c r="D696" s="10" t="s">
        <v>1569</v>
      </c>
      <c r="E696" s="10" t="s">
        <v>957</v>
      </c>
      <c r="F696" s="9" t="s">
        <v>364</v>
      </c>
      <c r="G696" s="9" t="s">
        <v>924</v>
      </c>
      <c r="H696" s="12">
        <v>3000</v>
      </c>
      <c r="I696" s="12">
        <v>13682</v>
      </c>
      <c r="J696" s="13">
        <v>0</v>
      </c>
      <c r="K696" s="13">
        <v>0</v>
      </c>
      <c r="L696" s="13">
        <v>0</v>
      </c>
      <c r="M696" s="13">
        <v>0</v>
      </c>
      <c r="N696" s="13">
        <v>3058</v>
      </c>
      <c r="O696" s="13">
        <v>3240</v>
      </c>
      <c r="P696" s="13">
        <v>5100</v>
      </c>
      <c r="Q696" s="13">
        <v>3900</v>
      </c>
      <c r="R696" s="13">
        <v>4200</v>
      </c>
      <c r="S696" s="13">
        <v>5520</v>
      </c>
      <c r="T696" s="13">
        <v>5940</v>
      </c>
      <c r="U696" s="13">
        <v>5220</v>
      </c>
      <c r="V696" s="13">
        <v>3780</v>
      </c>
      <c r="W696" s="13">
        <v>5820</v>
      </c>
      <c r="X696" s="13">
        <v>5940</v>
      </c>
      <c r="Y696" s="13">
        <v>5040</v>
      </c>
      <c r="Z696" s="13">
        <v>5760</v>
      </c>
      <c r="AA696" s="13">
        <v>120</v>
      </c>
      <c r="AB696" s="13">
        <v>1620</v>
      </c>
      <c r="AC696" s="13">
        <v>5700</v>
      </c>
      <c r="AD696" s="13">
        <v>5580</v>
      </c>
    </row>
    <row r="697" spans="1:30" ht="15.75" thickBot="1" x14ac:dyDescent="0.3">
      <c r="A697" s="9" t="s">
        <v>1082</v>
      </c>
      <c r="B697" s="9" t="s">
        <v>1570</v>
      </c>
      <c r="C697" s="45" t="str">
        <f t="shared" si="10"/>
        <v>DET8A297PIA02OS</v>
      </c>
      <c r="D697" s="10" t="s">
        <v>1571</v>
      </c>
      <c r="E697" s="10" t="s">
        <v>1572</v>
      </c>
      <c r="F697" s="9" t="s">
        <v>1128</v>
      </c>
      <c r="G697" s="9" t="s">
        <v>924</v>
      </c>
      <c r="H697" s="12">
        <v>550</v>
      </c>
      <c r="I697" s="12">
        <v>1671</v>
      </c>
      <c r="J697" s="13">
        <v>729</v>
      </c>
      <c r="K697" s="13">
        <v>18161</v>
      </c>
      <c r="L697" s="13">
        <v>239</v>
      </c>
      <c r="M697" s="13">
        <v>9200</v>
      </c>
      <c r="N697" s="13">
        <v>8961</v>
      </c>
      <c r="O697" s="13">
        <v>9200</v>
      </c>
      <c r="P697" s="13">
        <v>239</v>
      </c>
      <c r="Q697" s="13">
        <v>9200</v>
      </c>
      <c r="R697" s="13">
        <v>8961</v>
      </c>
      <c r="S697" s="13">
        <v>239</v>
      </c>
      <c r="T697" s="13">
        <v>8961</v>
      </c>
      <c r="U697" s="13">
        <v>239</v>
      </c>
      <c r="V697" s="13">
        <v>8961</v>
      </c>
      <c r="W697" s="13">
        <v>239</v>
      </c>
      <c r="X697" s="13">
        <v>9200</v>
      </c>
      <c r="Y697" s="13">
        <v>8961</v>
      </c>
      <c r="Z697" s="13">
        <v>239</v>
      </c>
      <c r="AA697" s="13">
        <v>8961</v>
      </c>
      <c r="AB697" s="13">
        <v>239</v>
      </c>
      <c r="AC697" s="13">
        <v>9200</v>
      </c>
      <c r="AD697" s="13">
        <v>8961</v>
      </c>
    </row>
    <row r="698" spans="1:30" ht="15.75" thickBot="1" x14ac:dyDescent="0.3">
      <c r="A698" s="9" t="s">
        <v>1082</v>
      </c>
      <c r="B698" s="9" t="s">
        <v>1570</v>
      </c>
      <c r="C698" s="45" t="str">
        <f t="shared" si="10"/>
        <v>DET8A297PIA04OS</v>
      </c>
      <c r="D698" s="10" t="s">
        <v>1573</v>
      </c>
      <c r="E698" s="10" t="s">
        <v>1574</v>
      </c>
      <c r="F698" s="9" t="s">
        <v>1128</v>
      </c>
      <c r="G698" s="9" t="s">
        <v>924</v>
      </c>
      <c r="H698" s="12">
        <v>550</v>
      </c>
      <c r="I698" s="12">
        <v>10273</v>
      </c>
      <c r="J698" s="13">
        <v>729</v>
      </c>
      <c r="K698" s="13">
        <v>18161</v>
      </c>
      <c r="L698" s="13">
        <v>239</v>
      </c>
      <c r="M698" s="13">
        <v>9200</v>
      </c>
      <c r="N698" s="13">
        <v>8961</v>
      </c>
      <c r="O698" s="13">
        <v>9200</v>
      </c>
      <c r="P698" s="13">
        <v>239</v>
      </c>
      <c r="Q698" s="13">
        <v>9200</v>
      </c>
      <c r="R698" s="13">
        <v>8961</v>
      </c>
      <c r="S698" s="13">
        <v>239</v>
      </c>
      <c r="T698" s="13">
        <v>8961</v>
      </c>
      <c r="U698" s="13">
        <v>239</v>
      </c>
      <c r="V698" s="13">
        <v>8961</v>
      </c>
      <c r="W698" s="13">
        <v>239</v>
      </c>
      <c r="X698" s="13">
        <v>9200</v>
      </c>
      <c r="Y698" s="13">
        <v>8961</v>
      </c>
      <c r="Z698" s="13">
        <v>239</v>
      </c>
      <c r="AA698" s="13">
        <v>8961</v>
      </c>
      <c r="AB698" s="13">
        <v>239</v>
      </c>
      <c r="AC698" s="13">
        <v>9200</v>
      </c>
      <c r="AD698" s="13">
        <v>8961</v>
      </c>
    </row>
    <row r="699" spans="1:30" ht="15.75" thickBot="1" x14ac:dyDescent="0.3">
      <c r="A699" s="9" t="s">
        <v>1082</v>
      </c>
      <c r="B699" s="9" t="s">
        <v>1575</v>
      </c>
      <c r="C699" s="45" t="str">
        <f t="shared" si="10"/>
        <v>DET26111B94A</v>
      </c>
      <c r="D699" s="10" t="s">
        <v>1576</v>
      </c>
      <c r="E699" s="10" t="s">
        <v>1577</v>
      </c>
      <c r="F699" s="9" t="s">
        <v>494</v>
      </c>
      <c r="G699" s="9" t="s">
        <v>924</v>
      </c>
      <c r="H699" s="12">
        <v>550</v>
      </c>
      <c r="I699" s="12">
        <v>2863</v>
      </c>
      <c r="J699" s="13">
        <v>0</v>
      </c>
      <c r="K699" s="13">
        <v>0</v>
      </c>
      <c r="L699" s="13">
        <v>73</v>
      </c>
      <c r="M699" s="13">
        <v>1021</v>
      </c>
      <c r="N699" s="13">
        <v>1108</v>
      </c>
      <c r="O699" s="13">
        <v>1518</v>
      </c>
      <c r="P699" s="13">
        <v>1895</v>
      </c>
      <c r="Q699" s="13">
        <v>371</v>
      </c>
      <c r="R699" s="13">
        <v>1043</v>
      </c>
      <c r="S699" s="13">
        <v>1516</v>
      </c>
      <c r="T699" s="13">
        <v>1663</v>
      </c>
      <c r="U699" s="13">
        <v>1485</v>
      </c>
      <c r="V699" s="13">
        <v>1285</v>
      </c>
      <c r="W699" s="13">
        <v>2068</v>
      </c>
      <c r="X699" s="13">
        <v>1998</v>
      </c>
      <c r="Y699" s="13">
        <v>1991</v>
      </c>
      <c r="Z699" s="13">
        <v>2472</v>
      </c>
      <c r="AA699" s="13">
        <v>0</v>
      </c>
      <c r="AB699" s="13">
        <v>412</v>
      </c>
      <c r="AC699" s="13">
        <v>2063</v>
      </c>
      <c r="AD699" s="13">
        <v>2055</v>
      </c>
    </row>
    <row r="700" spans="1:30" ht="15.75" thickBot="1" x14ac:dyDescent="0.3">
      <c r="A700" s="9" t="s">
        <v>1082</v>
      </c>
      <c r="B700" s="9" t="s">
        <v>1578</v>
      </c>
      <c r="C700" s="45" t="str">
        <f t="shared" si="10"/>
        <v>DET10718OS</v>
      </c>
      <c r="D700" s="10" t="s">
        <v>1579</v>
      </c>
      <c r="E700" s="10" t="s">
        <v>1580</v>
      </c>
      <c r="F700" s="9" t="s">
        <v>261</v>
      </c>
      <c r="G700" s="9" t="s">
        <v>924</v>
      </c>
      <c r="H700" s="12">
        <v>900</v>
      </c>
      <c r="I700" s="12">
        <v>4203</v>
      </c>
      <c r="J700" s="13">
        <v>1297</v>
      </c>
      <c r="K700" s="13">
        <v>1000</v>
      </c>
      <c r="L700" s="13">
        <v>1000</v>
      </c>
      <c r="M700" s="13">
        <v>1500</v>
      </c>
      <c r="N700" s="13">
        <v>1500</v>
      </c>
      <c r="O700" s="13">
        <v>1500</v>
      </c>
      <c r="P700" s="13">
        <v>1500</v>
      </c>
      <c r="Q700" s="13">
        <v>2000</v>
      </c>
      <c r="R700" s="13">
        <v>2000</v>
      </c>
      <c r="S700" s="13">
        <v>1500</v>
      </c>
      <c r="T700" s="13">
        <v>2500</v>
      </c>
      <c r="U700" s="13">
        <v>0</v>
      </c>
      <c r="V700" s="13">
        <v>500</v>
      </c>
      <c r="W700" s="13">
        <v>2500</v>
      </c>
      <c r="X700" s="13">
        <v>2000</v>
      </c>
      <c r="Y700" s="13">
        <v>2000</v>
      </c>
      <c r="Z700" s="13">
        <v>1500</v>
      </c>
      <c r="AA700" s="13">
        <v>1500</v>
      </c>
      <c r="AB700" s="13">
        <v>2000</v>
      </c>
      <c r="AC700" s="13">
        <v>2000</v>
      </c>
      <c r="AD700" s="13">
        <v>2000</v>
      </c>
    </row>
    <row r="701" spans="1:30" ht="15.75" thickBot="1" x14ac:dyDescent="0.3">
      <c r="A701" s="9" t="s">
        <v>1082</v>
      </c>
      <c r="B701" s="9" t="s">
        <v>1578</v>
      </c>
      <c r="C701" s="45" t="str">
        <f t="shared" si="10"/>
        <v>DET2101530A</v>
      </c>
      <c r="D701" s="10" t="s">
        <v>1581</v>
      </c>
      <c r="E701" s="10" t="s">
        <v>1582</v>
      </c>
      <c r="F701" s="9" t="s">
        <v>494</v>
      </c>
      <c r="G701" s="9" t="s">
        <v>924</v>
      </c>
      <c r="H701" s="12">
        <v>900</v>
      </c>
      <c r="I701" s="12">
        <v>256</v>
      </c>
      <c r="J701" s="13">
        <v>0</v>
      </c>
      <c r="K701" s="13">
        <v>432</v>
      </c>
      <c r="L701" s="13">
        <v>2340</v>
      </c>
      <c r="M701" s="13">
        <v>1110</v>
      </c>
      <c r="N701" s="13">
        <v>1110</v>
      </c>
      <c r="O701" s="13">
        <v>1290</v>
      </c>
      <c r="P701" s="13">
        <v>960</v>
      </c>
      <c r="Q701" s="13">
        <v>1200</v>
      </c>
      <c r="R701" s="13">
        <v>1530</v>
      </c>
      <c r="S701" s="13">
        <v>1710</v>
      </c>
      <c r="T701" s="13">
        <v>1380</v>
      </c>
      <c r="U701" s="13">
        <v>1440</v>
      </c>
      <c r="V701" s="13">
        <v>2220</v>
      </c>
      <c r="W701" s="13">
        <v>2010</v>
      </c>
      <c r="X701" s="13">
        <v>2130</v>
      </c>
      <c r="Y701" s="13">
        <v>1470</v>
      </c>
      <c r="Z701" s="13">
        <v>0</v>
      </c>
      <c r="AA701" s="13">
        <v>1080</v>
      </c>
      <c r="AB701" s="13">
        <v>2100</v>
      </c>
      <c r="AC701" s="13">
        <v>1980</v>
      </c>
      <c r="AD701" s="13">
        <v>2010</v>
      </c>
    </row>
    <row r="702" spans="1:30" ht="15.75" thickBot="1" x14ac:dyDescent="0.3">
      <c r="A702" s="9" t="s">
        <v>1082</v>
      </c>
      <c r="B702" s="9" t="s">
        <v>1578</v>
      </c>
      <c r="C702" s="45" t="str">
        <f t="shared" si="10"/>
        <v>DET26625A65A</v>
      </c>
      <c r="D702" s="10" t="s">
        <v>1583</v>
      </c>
      <c r="E702" s="10" t="s">
        <v>1114</v>
      </c>
      <c r="F702" s="9" t="s">
        <v>494</v>
      </c>
      <c r="G702" s="9" t="s">
        <v>924</v>
      </c>
      <c r="H702" s="12">
        <v>900</v>
      </c>
      <c r="I702" s="12">
        <v>1050</v>
      </c>
      <c r="J702" s="13">
        <v>0</v>
      </c>
      <c r="K702" s="13">
        <v>64</v>
      </c>
      <c r="L702" s="13">
        <v>1391</v>
      </c>
      <c r="M702" s="13">
        <v>1021</v>
      </c>
      <c r="N702" s="13">
        <v>1108</v>
      </c>
      <c r="O702" s="13">
        <v>1518</v>
      </c>
      <c r="P702" s="13">
        <v>1895</v>
      </c>
      <c r="Q702" s="13">
        <v>371</v>
      </c>
      <c r="R702" s="13">
        <v>1043</v>
      </c>
      <c r="S702" s="13">
        <v>1516</v>
      </c>
      <c r="T702" s="13">
        <v>1663</v>
      </c>
      <c r="U702" s="13">
        <v>1485</v>
      </c>
      <c r="V702" s="13">
        <v>1285</v>
      </c>
      <c r="W702" s="13">
        <v>2068</v>
      </c>
      <c r="X702" s="13">
        <v>1998</v>
      </c>
      <c r="Y702" s="13">
        <v>1991</v>
      </c>
      <c r="Z702" s="13">
        <v>2472</v>
      </c>
      <c r="AA702" s="13">
        <v>0</v>
      </c>
      <c r="AB702" s="13">
        <v>412</v>
      </c>
      <c r="AC702" s="13">
        <v>2063</v>
      </c>
      <c r="AD702" s="13">
        <v>2055</v>
      </c>
    </row>
    <row r="703" spans="1:30" ht="15.75" thickBot="1" x14ac:dyDescent="0.3">
      <c r="A703" s="9" t="s">
        <v>1082</v>
      </c>
      <c r="B703" s="9" t="s">
        <v>1578</v>
      </c>
      <c r="C703" s="45" t="str">
        <f t="shared" si="10"/>
        <v>DET2K004OS</v>
      </c>
      <c r="D703" s="10" t="s">
        <v>1584</v>
      </c>
      <c r="E703" s="10" t="s">
        <v>926</v>
      </c>
      <c r="F703" s="9" t="s">
        <v>494</v>
      </c>
      <c r="G703" s="9" t="s">
        <v>924</v>
      </c>
      <c r="H703" s="12">
        <v>900</v>
      </c>
      <c r="I703" s="12">
        <v>3394</v>
      </c>
      <c r="J703" s="13">
        <v>13072</v>
      </c>
      <c r="K703" s="13">
        <v>3312</v>
      </c>
      <c r="L703" s="13">
        <v>3312</v>
      </c>
      <c r="M703" s="13">
        <v>6624</v>
      </c>
      <c r="N703" s="13">
        <v>4968</v>
      </c>
      <c r="O703" s="13">
        <v>4968</v>
      </c>
      <c r="P703" s="13">
        <v>3312</v>
      </c>
      <c r="Q703" s="13">
        <v>4991</v>
      </c>
      <c r="R703" s="13">
        <v>4968</v>
      </c>
      <c r="S703" s="13">
        <v>3312</v>
      </c>
      <c r="T703" s="13">
        <v>6624</v>
      </c>
      <c r="U703" s="13">
        <v>0</v>
      </c>
      <c r="V703" s="13">
        <v>1656</v>
      </c>
      <c r="W703" s="13">
        <v>4968</v>
      </c>
      <c r="X703" s="13">
        <v>4968</v>
      </c>
      <c r="Y703" s="13">
        <v>4968</v>
      </c>
      <c r="Z703" s="13">
        <v>4968</v>
      </c>
      <c r="AA703" s="13">
        <v>3312</v>
      </c>
      <c r="AB703" s="13">
        <v>6624</v>
      </c>
      <c r="AC703" s="13">
        <v>4968</v>
      </c>
      <c r="AD703" s="13">
        <v>4989</v>
      </c>
    </row>
    <row r="704" spans="1:30" ht="15.75" thickBot="1" x14ac:dyDescent="0.3">
      <c r="A704" s="9" t="s">
        <v>1082</v>
      </c>
      <c r="B704" s="9" t="s">
        <v>1578</v>
      </c>
      <c r="C704" s="45" t="str">
        <f t="shared" si="10"/>
        <v>DET2K005OS</v>
      </c>
      <c r="D704" s="10" t="s">
        <v>1585</v>
      </c>
      <c r="E704" s="10" t="s">
        <v>928</v>
      </c>
      <c r="F704" s="9" t="s">
        <v>494</v>
      </c>
      <c r="G704" s="9" t="s">
        <v>924</v>
      </c>
      <c r="H704" s="12">
        <v>900</v>
      </c>
      <c r="I704" s="12">
        <v>4467</v>
      </c>
      <c r="J704" s="13">
        <v>13072</v>
      </c>
      <c r="K704" s="13">
        <v>3312</v>
      </c>
      <c r="L704" s="13">
        <v>3312</v>
      </c>
      <c r="M704" s="13">
        <v>6624</v>
      </c>
      <c r="N704" s="13">
        <v>4968</v>
      </c>
      <c r="O704" s="13">
        <v>4968</v>
      </c>
      <c r="P704" s="13">
        <v>3312</v>
      </c>
      <c r="Q704" s="13">
        <v>4991</v>
      </c>
      <c r="R704" s="13">
        <v>4968</v>
      </c>
      <c r="S704" s="13">
        <v>3312</v>
      </c>
      <c r="T704" s="13">
        <v>6624</v>
      </c>
      <c r="U704" s="13">
        <v>0</v>
      </c>
      <c r="V704" s="13">
        <v>1656</v>
      </c>
      <c r="W704" s="13">
        <v>4968</v>
      </c>
      <c r="X704" s="13">
        <v>4968</v>
      </c>
      <c r="Y704" s="13">
        <v>4968</v>
      </c>
      <c r="Z704" s="13">
        <v>4968</v>
      </c>
      <c r="AA704" s="13">
        <v>3312</v>
      </c>
      <c r="AB704" s="13">
        <v>6624</v>
      </c>
      <c r="AC704" s="13">
        <v>4968</v>
      </c>
      <c r="AD704" s="13">
        <v>4989</v>
      </c>
    </row>
    <row r="705" spans="1:30" ht="15.75" thickBot="1" x14ac:dyDescent="0.3">
      <c r="A705" s="9" t="s">
        <v>1082</v>
      </c>
      <c r="B705" s="9" t="s">
        <v>1578</v>
      </c>
      <c r="C705" s="45" t="str">
        <f t="shared" si="10"/>
        <v>DET58111K34</v>
      </c>
      <c r="D705" s="10" t="s">
        <v>1586</v>
      </c>
      <c r="E705" s="10" t="s">
        <v>1587</v>
      </c>
      <c r="F705" s="9" t="s">
        <v>364</v>
      </c>
      <c r="G705" s="9" t="s">
        <v>924</v>
      </c>
      <c r="H705" s="12">
        <v>900</v>
      </c>
      <c r="I705" s="12">
        <v>5100</v>
      </c>
      <c r="J705" s="13">
        <v>0</v>
      </c>
      <c r="K705" s="13">
        <v>0</v>
      </c>
      <c r="L705" s="13">
        <v>1621</v>
      </c>
      <c r="M705" s="13">
        <v>3662</v>
      </c>
      <c r="N705" s="13">
        <v>4049</v>
      </c>
      <c r="O705" s="13">
        <v>4939</v>
      </c>
      <c r="P705" s="13">
        <v>5225</v>
      </c>
      <c r="Q705" s="13">
        <v>3881</v>
      </c>
      <c r="R705" s="13">
        <v>3998</v>
      </c>
      <c r="S705" s="13">
        <v>5578</v>
      </c>
      <c r="T705" s="13">
        <v>5720</v>
      </c>
      <c r="U705" s="13">
        <v>5275</v>
      </c>
      <c r="V705" s="13">
        <v>3831</v>
      </c>
      <c r="W705" s="13">
        <v>5720</v>
      </c>
      <c r="X705" s="13">
        <v>5553</v>
      </c>
      <c r="Y705" s="13">
        <v>5871</v>
      </c>
      <c r="Z705" s="13">
        <v>6410</v>
      </c>
      <c r="AA705" s="13">
        <v>0</v>
      </c>
      <c r="AB705" s="13">
        <v>1126</v>
      </c>
      <c r="AC705" s="13">
        <v>5653</v>
      </c>
      <c r="AD705" s="13">
        <v>5653</v>
      </c>
    </row>
    <row r="706" spans="1:30" ht="15.75" thickBot="1" x14ac:dyDescent="0.3">
      <c r="A706" s="9" t="s">
        <v>1082</v>
      </c>
      <c r="B706" s="9" t="s">
        <v>1578</v>
      </c>
      <c r="C706" s="45" t="str">
        <f t="shared" si="10"/>
        <v>DET58111K35</v>
      </c>
      <c r="D706" s="10" t="s">
        <v>1588</v>
      </c>
      <c r="E706" s="10" t="s">
        <v>1587</v>
      </c>
      <c r="F706" s="9" t="s">
        <v>364</v>
      </c>
      <c r="G706" s="9" t="s">
        <v>924</v>
      </c>
      <c r="H706" s="12">
        <v>900</v>
      </c>
      <c r="I706" s="12">
        <v>4052</v>
      </c>
      <c r="J706" s="13">
        <v>0</v>
      </c>
      <c r="K706" s="13">
        <v>0</v>
      </c>
      <c r="L706" s="13">
        <v>1621</v>
      </c>
      <c r="M706" s="13">
        <v>3662</v>
      </c>
      <c r="N706" s="13">
        <v>4049</v>
      </c>
      <c r="O706" s="13">
        <v>4939</v>
      </c>
      <c r="P706" s="13">
        <v>5225</v>
      </c>
      <c r="Q706" s="13">
        <v>3881</v>
      </c>
      <c r="R706" s="13">
        <v>3998</v>
      </c>
      <c r="S706" s="13">
        <v>5578</v>
      </c>
      <c r="T706" s="13">
        <v>5720</v>
      </c>
      <c r="U706" s="13">
        <v>5275</v>
      </c>
      <c r="V706" s="13">
        <v>3831</v>
      </c>
      <c r="W706" s="13">
        <v>5720</v>
      </c>
      <c r="X706" s="13">
        <v>5553</v>
      </c>
      <c r="Y706" s="13">
        <v>5871</v>
      </c>
      <c r="Z706" s="13">
        <v>6410</v>
      </c>
      <c r="AA706" s="13">
        <v>0</v>
      </c>
      <c r="AB706" s="13">
        <v>1126</v>
      </c>
      <c r="AC706" s="13">
        <v>5653</v>
      </c>
      <c r="AD706" s="13">
        <v>5653</v>
      </c>
    </row>
    <row r="707" spans="1:30" ht="15.75" thickBot="1" x14ac:dyDescent="0.3">
      <c r="A707" s="9" t="s">
        <v>1082</v>
      </c>
      <c r="B707" s="9" t="s">
        <v>1578</v>
      </c>
      <c r="C707" s="45" t="str">
        <f t="shared" si="10"/>
        <v>DET68586410AA</v>
      </c>
      <c r="D707" s="10" t="s">
        <v>1589</v>
      </c>
      <c r="E707" s="10" t="s">
        <v>1590</v>
      </c>
      <c r="F707" s="9" t="s">
        <v>394</v>
      </c>
      <c r="G707" s="9" t="s">
        <v>924</v>
      </c>
      <c r="H707" s="12">
        <v>550</v>
      </c>
      <c r="I707" s="12">
        <v>6141</v>
      </c>
      <c r="J707" s="13">
        <v>0</v>
      </c>
      <c r="K707" s="13">
        <v>0</v>
      </c>
      <c r="L707" s="13">
        <v>0</v>
      </c>
      <c r="M707" s="13">
        <v>0</v>
      </c>
      <c r="N707" s="13">
        <v>0</v>
      </c>
      <c r="O707" s="13">
        <v>0</v>
      </c>
      <c r="P707" s="13">
        <v>0</v>
      </c>
      <c r="Q707" s="13">
        <v>0</v>
      </c>
      <c r="R707" s="13">
        <v>540</v>
      </c>
      <c r="S707" s="13">
        <v>864</v>
      </c>
      <c r="T707" s="13">
        <v>1010</v>
      </c>
      <c r="U707" s="13">
        <v>1042</v>
      </c>
      <c r="V707" s="13">
        <v>864</v>
      </c>
      <c r="W707" s="13">
        <v>756</v>
      </c>
      <c r="X707" s="13">
        <v>648</v>
      </c>
      <c r="Y707" s="13">
        <v>648</v>
      </c>
      <c r="Z707" s="13">
        <v>362</v>
      </c>
      <c r="AA707" s="13">
        <v>1728</v>
      </c>
      <c r="AB707" s="13">
        <v>1620</v>
      </c>
      <c r="AC707" s="13">
        <v>1512</v>
      </c>
      <c r="AD707" s="13">
        <v>1404</v>
      </c>
    </row>
    <row r="708" spans="1:30" ht="15.75" thickBot="1" x14ac:dyDescent="0.3">
      <c r="A708" s="9" t="s">
        <v>1082</v>
      </c>
      <c r="B708" s="9" t="s">
        <v>1578</v>
      </c>
      <c r="C708" s="45" t="str">
        <f t="shared" si="10"/>
        <v>DET68586411AA</v>
      </c>
      <c r="D708" s="10" t="s">
        <v>1591</v>
      </c>
      <c r="E708" s="10" t="s">
        <v>1590</v>
      </c>
      <c r="F708" s="9" t="s">
        <v>394</v>
      </c>
      <c r="G708" s="9" t="s">
        <v>924</v>
      </c>
      <c r="H708" s="12">
        <v>550</v>
      </c>
      <c r="I708" s="12">
        <v>6156</v>
      </c>
      <c r="J708" s="13">
        <v>0</v>
      </c>
      <c r="K708" s="13">
        <v>0</v>
      </c>
      <c r="L708" s="13">
        <v>0</v>
      </c>
      <c r="M708" s="13">
        <v>0</v>
      </c>
      <c r="N708" s="13">
        <v>0</v>
      </c>
      <c r="O708" s="13">
        <v>0</v>
      </c>
      <c r="P708" s="13">
        <v>0</v>
      </c>
      <c r="Q708" s="13">
        <v>0</v>
      </c>
      <c r="R708" s="13">
        <v>540</v>
      </c>
      <c r="S708" s="13">
        <v>864</v>
      </c>
      <c r="T708" s="13">
        <v>1010</v>
      </c>
      <c r="U708" s="13">
        <v>1042</v>
      </c>
      <c r="V708" s="13">
        <v>864</v>
      </c>
      <c r="W708" s="13">
        <v>756</v>
      </c>
      <c r="X708" s="13">
        <v>648</v>
      </c>
      <c r="Y708" s="13">
        <v>648</v>
      </c>
      <c r="Z708" s="13">
        <v>362</v>
      </c>
      <c r="AA708" s="13">
        <v>1728</v>
      </c>
      <c r="AB708" s="13">
        <v>1620</v>
      </c>
      <c r="AC708" s="13">
        <v>1512</v>
      </c>
      <c r="AD708" s="13">
        <v>1404</v>
      </c>
    </row>
    <row r="709" spans="1:30" ht="15.75" thickBot="1" x14ac:dyDescent="0.3">
      <c r="A709" s="9" t="s">
        <v>1082</v>
      </c>
      <c r="B709" s="9" t="s">
        <v>1578</v>
      </c>
      <c r="C709" s="45" t="str">
        <f t="shared" si="10"/>
        <v>DET7P026OS</v>
      </c>
      <c r="D709" s="10" t="s">
        <v>1592</v>
      </c>
      <c r="E709" s="10" t="s">
        <v>946</v>
      </c>
      <c r="F709" s="9" t="s">
        <v>364</v>
      </c>
      <c r="G709" s="9" t="s">
        <v>924</v>
      </c>
      <c r="H709" s="12">
        <v>900</v>
      </c>
      <c r="I709" s="12">
        <v>3761</v>
      </c>
      <c r="J709" s="13">
        <v>4821</v>
      </c>
      <c r="K709" s="13">
        <v>1728</v>
      </c>
      <c r="L709" s="13">
        <v>1296</v>
      </c>
      <c r="M709" s="13">
        <v>2164</v>
      </c>
      <c r="N709" s="13">
        <v>2160</v>
      </c>
      <c r="O709" s="13">
        <v>2592</v>
      </c>
      <c r="P709" s="13">
        <v>864</v>
      </c>
      <c r="Q709" s="13">
        <v>1728</v>
      </c>
      <c r="R709" s="13">
        <v>1296</v>
      </c>
      <c r="S709" s="13">
        <v>1296</v>
      </c>
      <c r="T709" s="13">
        <v>2160</v>
      </c>
      <c r="U709" s="13">
        <v>0</v>
      </c>
      <c r="V709" s="13">
        <v>0</v>
      </c>
      <c r="W709" s="13">
        <v>1728</v>
      </c>
      <c r="X709" s="13">
        <v>1296</v>
      </c>
      <c r="Y709" s="13">
        <v>1728</v>
      </c>
      <c r="Z709" s="13">
        <v>1300</v>
      </c>
      <c r="AA709" s="13">
        <v>1296</v>
      </c>
      <c r="AB709" s="13">
        <v>1296</v>
      </c>
      <c r="AC709" s="13">
        <v>1728</v>
      </c>
      <c r="AD709" s="13">
        <v>1728</v>
      </c>
    </row>
    <row r="710" spans="1:30" ht="15.75" thickBot="1" x14ac:dyDescent="0.3">
      <c r="A710" s="9" t="s">
        <v>1082</v>
      </c>
      <c r="B710" s="9" t="s">
        <v>1578</v>
      </c>
      <c r="C710" s="45" t="str">
        <f t="shared" ref="C710:C773" si="11">TRIM(D710)</f>
        <v>DETE105A88N1</v>
      </c>
      <c r="D710" s="10" t="s">
        <v>1593</v>
      </c>
      <c r="E710" s="10" t="s">
        <v>1594</v>
      </c>
      <c r="F710" s="9" t="s">
        <v>261</v>
      </c>
      <c r="G710" s="9" t="s">
        <v>924</v>
      </c>
      <c r="H710" s="12">
        <v>900</v>
      </c>
      <c r="I710" s="12">
        <v>6914</v>
      </c>
      <c r="J710" s="13">
        <v>0</v>
      </c>
      <c r="K710" s="13">
        <v>0</v>
      </c>
      <c r="L710" s="13">
        <v>0</v>
      </c>
      <c r="M710" s="13">
        <v>0</v>
      </c>
      <c r="N710" s="13">
        <v>528</v>
      </c>
      <c r="O710" s="13">
        <v>1565</v>
      </c>
      <c r="P710" s="13">
        <v>1958</v>
      </c>
      <c r="Q710" s="13">
        <v>173</v>
      </c>
      <c r="R710" s="13">
        <v>989</v>
      </c>
      <c r="S710" s="13">
        <v>1507</v>
      </c>
      <c r="T710" s="13">
        <v>1584</v>
      </c>
      <c r="U710" s="13">
        <v>1488</v>
      </c>
      <c r="V710" s="13">
        <v>1300</v>
      </c>
      <c r="W710" s="13">
        <v>2064</v>
      </c>
      <c r="X710" s="13">
        <v>1997</v>
      </c>
      <c r="Y710" s="13">
        <v>1997</v>
      </c>
      <c r="Z710" s="13">
        <v>2457</v>
      </c>
      <c r="AA710" s="13">
        <v>0</v>
      </c>
      <c r="AB710" s="13">
        <v>413</v>
      </c>
      <c r="AC710" s="13">
        <v>2074</v>
      </c>
      <c r="AD710" s="13">
        <v>2073</v>
      </c>
    </row>
    <row r="711" spans="1:30" ht="15.75" thickBot="1" x14ac:dyDescent="0.3">
      <c r="A711" s="9" t="s">
        <v>1082</v>
      </c>
      <c r="B711" s="9" t="s">
        <v>1578</v>
      </c>
      <c r="C711" s="45" t="str">
        <f t="shared" si="11"/>
        <v>DETE105A89N1</v>
      </c>
      <c r="D711" s="10" t="s">
        <v>1595</v>
      </c>
      <c r="E711" s="10" t="s">
        <v>1596</v>
      </c>
      <c r="F711" s="9" t="s">
        <v>261</v>
      </c>
      <c r="G711" s="9" t="s">
        <v>924</v>
      </c>
      <c r="H711" s="12">
        <v>900</v>
      </c>
      <c r="I711" s="12">
        <v>4474</v>
      </c>
      <c r="J711" s="13">
        <v>0</v>
      </c>
      <c r="K711" s="13">
        <v>0</v>
      </c>
      <c r="L711" s="13">
        <v>0</v>
      </c>
      <c r="M711" s="13">
        <v>0</v>
      </c>
      <c r="N711" s="13">
        <v>528</v>
      </c>
      <c r="O711" s="13">
        <v>1565</v>
      </c>
      <c r="P711" s="13">
        <v>1958</v>
      </c>
      <c r="Q711" s="13">
        <v>173</v>
      </c>
      <c r="R711" s="13">
        <v>989</v>
      </c>
      <c r="S711" s="13">
        <v>1507</v>
      </c>
      <c r="T711" s="13">
        <v>1584</v>
      </c>
      <c r="U711" s="13">
        <v>1488</v>
      </c>
      <c r="V711" s="13">
        <v>1300</v>
      </c>
      <c r="W711" s="13">
        <v>2064</v>
      </c>
      <c r="X711" s="13">
        <v>1997</v>
      </c>
      <c r="Y711" s="13">
        <v>1997</v>
      </c>
      <c r="Z711" s="13">
        <v>2457</v>
      </c>
      <c r="AA711" s="13">
        <v>0</v>
      </c>
      <c r="AB711" s="13">
        <v>413</v>
      </c>
      <c r="AC711" s="13">
        <v>2074</v>
      </c>
      <c r="AD711" s="13">
        <v>2073</v>
      </c>
    </row>
    <row r="712" spans="1:30" ht="15.75" thickBot="1" x14ac:dyDescent="0.3">
      <c r="A712" s="9" t="s">
        <v>1082</v>
      </c>
      <c r="B712" s="9" t="s">
        <v>1578</v>
      </c>
      <c r="C712" s="45" t="str">
        <f t="shared" si="11"/>
        <v>DETE106B52BA</v>
      </c>
      <c r="D712" s="10" t="s">
        <v>1597</v>
      </c>
      <c r="E712" s="10" t="s">
        <v>1598</v>
      </c>
      <c r="F712" s="9" t="s">
        <v>261</v>
      </c>
      <c r="G712" s="9" t="s">
        <v>924</v>
      </c>
      <c r="H712" s="12">
        <v>900</v>
      </c>
      <c r="I712" s="12">
        <v>1857</v>
      </c>
      <c r="J712" s="13">
        <v>0</v>
      </c>
      <c r="K712" s="13">
        <v>0</v>
      </c>
      <c r="L712" s="13">
        <v>839</v>
      </c>
      <c r="M712" s="13">
        <v>1100</v>
      </c>
      <c r="N712" s="13">
        <v>1144</v>
      </c>
      <c r="O712" s="13">
        <v>1364</v>
      </c>
      <c r="P712" s="13">
        <v>1419</v>
      </c>
      <c r="Q712" s="13">
        <v>924</v>
      </c>
      <c r="R712" s="13">
        <v>1001</v>
      </c>
      <c r="S712" s="13">
        <v>1496</v>
      </c>
      <c r="T712" s="13">
        <v>1551</v>
      </c>
      <c r="U712" s="13">
        <v>1496</v>
      </c>
      <c r="V712" s="13">
        <v>1298</v>
      </c>
      <c r="W712" s="13">
        <v>2079</v>
      </c>
      <c r="X712" s="13">
        <v>1969</v>
      </c>
      <c r="Y712" s="13">
        <v>1991</v>
      </c>
      <c r="Z712" s="13">
        <v>2508</v>
      </c>
      <c r="AA712" s="13">
        <v>0</v>
      </c>
      <c r="AB712" s="13">
        <v>407</v>
      </c>
      <c r="AC712" s="13">
        <v>2046</v>
      </c>
      <c r="AD712" s="13">
        <v>2057</v>
      </c>
    </row>
    <row r="713" spans="1:30" ht="15.75" thickBot="1" x14ac:dyDescent="0.3">
      <c r="A713" s="9" t="s">
        <v>1082</v>
      </c>
      <c r="B713" s="9" t="s">
        <v>1578</v>
      </c>
      <c r="C713" s="45" t="str">
        <f t="shared" si="11"/>
        <v>DETE410A22A</v>
      </c>
      <c r="D713" s="10" t="s">
        <v>1599</v>
      </c>
      <c r="E713" s="10" t="s">
        <v>1600</v>
      </c>
      <c r="F713" s="9" t="s">
        <v>261</v>
      </c>
      <c r="G713" s="9" t="s">
        <v>924</v>
      </c>
      <c r="H713" s="12">
        <v>900</v>
      </c>
      <c r="I713" s="12">
        <v>8386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520</v>
      </c>
      <c r="P713" s="13">
        <v>1796</v>
      </c>
      <c r="Q713" s="13">
        <v>448</v>
      </c>
      <c r="R713" s="13">
        <v>1004</v>
      </c>
      <c r="S713" s="13">
        <v>1534</v>
      </c>
      <c r="T713" s="13">
        <v>1656</v>
      </c>
      <c r="U713" s="13">
        <v>1496</v>
      </c>
      <c r="V713" s="13">
        <v>1276</v>
      </c>
      <c r="W713" s="13">
        <v>2064</v>
      </c>
      <c r="X713" s="13">
        <v>2008</v>
      </c>
      <c r="Y713" s="13">
        <v>1992</v>
      </c>
      <c r="Z713" s="13">
        <v>2464</v>
      </c>
      <c r="AA713" s="13">
        <v>0</v>
      </c>
      <c r="AB713" s="13">
        <v>412</v>
      </c>
      <c r="AC713" s="13">
        <v>2068</v>
      </c>
      <c r="AD713" s="13">
        <v>2064</v>
      </c>
    </row>
    <row r="714" spans="1:30" ht="15.75" thickBot="1" x14ac:dyDescent="0.3">
      <c r="A714" s="9" t="s">
        <v>1082</v>
      </c>
      <c r="B714" s="9" t="s">
        <v>1578</v>
      </c>
      <c r="C714" s="45" t="str">
        <f t="shared" si="11"/>
        <v>DETE410A23A</v>
      </c>
      <c r="D714" s="10" t="s">
        <v>1601</v>
      </c>
      <c r="E714" s="10" t="s">
        <v>1602</v>
      </c>
      <c r="F714" s="9" t="s">
        <v>494</v>
      </c>
      <c r="G714" s="9" t="s">
        <v>924</v>
      </c>
      <c r="H714" s="12">
        <v>900</v>
      </c>
      <c r="I714" s="12">
        <v>5727</v>
      </c>
      <c r="J714" s="13">
        <v>0</v>
      </c>
      <c r="K714" s="13">
        <v>0</v>
      </c>
      <c r="L714" s="13">
        <v>0</v>
      </c>
      <c r="M714" s="13">
        <v>0</v>
      </c>
      <c r="N714" s="13">
        <v>0</v>
      </c>
      <c r="O714" s="13">
        <v>520</v>
      </c>
      <c r="P714" s="13">
        <v>1796</v>
      </c>
      <c r="Q714" s="13">
        <v>448</v>
      </c>
      <c r="R714" s="13">
        <v>1004</v>
      </c>
      <c r="S714" s="13">
        <v>1534</v>
      </c>
      <c r="T714" s="13">
        <v>1656</v>
      </c>
      <c r="U714" s="13">
        <v>1496</v>
      </c>
      <c r="V714" s="13">
        <v>1276</v>
      </c>
      <c r="W714" s="13">
        <v>2064</v>
      </c>
      <c r="X714" s="13">
        <v>2008</v>
      </c>
      <c r="Y714" s="13">
        <v>1992</v>
      </c>
      <c r="Z714" s="13">
        <v>2464</v>
      </c>
      <c r="AA714" s="13">
        <v>0</v>
      </c>
      <c r="AB714" s="13">
        <v>412</v>
      </c>
      <c r="AC714" s="13">
        <v>2068</v>
      </c>
      <c r="AD714" s="13">
        <v>2064</v>
      </c>
    </row>
    <row r="715" spans="1:30" ht="15.75" thickBot="1" x14ac:dyDescent="0.3">
      <c r="A715" s="9" t="s">
        <v>1082</v>
      </c>
      <c r="B715" s="9" t="s">
        <v>1578</v>
      </c>
      <c r="C715" s="45" t="str">
        <f t="shared" si="11"/>
        <v>DETS200B38OS</v>
      </c>
      <c r="D715" s="10" t="s">
        <v>1603</v>
      </c>
      <c r="E715" s="10" t="s">
        <v>1604</v>
      </c>
      <c r="F715" s="9" t="s">
        <v>364</v>
      </c>
      <c r="G715" s="9" t="s">
        <v>924</v>
      </c>
      <c r="H715" s="12">
        <v>900</v>
      </c>
      <c r="I715" s="12">
        <v>3647</v>
      </c>
      <c r="J715" s="13">
        <v>5765</v>
      </c>
      <c r="K715" s="13">
        <v>1080</v>
      </c>
      <c r="L715" s="13">
        <v>2215</v>
      </c>
      <c r="M715" s="13">
        <v>2160</v>
      </c>
      <c r="N715" s="13">
        <v>2160</v>
      </c>
      <c r="O715" s="13">
        <v>2160</v>
      </c>
      <c r="P715" s="13">
        <v>2160</v>
      </c>
      <c r="Q715" s="13">
        <v>2160</v>
      </c>
      <c r="R715" s="13">
        <v>2160</v>
      </c>
      <c r="S715" s="13">
        <v>2160</v>
      </c>
      <c r="T715" s="13">
        <v>2160</v>
      </c>
      <c r="U715" s="13">
        <v>0</v>
      </c>
      <c r="V715" s="13">
        <v>1080</v>
      </c>
      <c r="W715" s="13">
        <v>2160</v>
      </c>
      <c r="X715" s="13">
        <v>2160</v>
      </c>
      <c r="Y715" s="13">
        <v>1080</v>
      </c>
      <c r="Z715" s="13">
        <v>3298</v>
      </c>
      <c r="AA715" s="13">
        <v>1080</v>
      </c>
      <c r="AB715" s="13">
        <v>2160</v>
      </c>
      <c r="AC715" s="13">
        <v>2160</v>
      </c>
      <c r="AD715" s="13">
        <v>2160</v>
      </c>
    </row>
    <row r="716" spans="1:30" ht="15.75" thickBot="1" x14ac:dyDescent="0.3">
      <c r="A716" s="9" t="s">
        <v>1082</v>
      </c>
      <c r="B716" s="9" t="s">
        <v>1578</v>
      </c>
      <c r="C716" s="45" t="str">
        <f t="shared" si="11"/>
        <v>DETS444A20OS</v>
      </c>
      <c r="D716" s="10" t="s">
        <v>1605</v>
      </c>
      <c r="E716" s="10" t="s">
        <v>1606</v>
      </c>
      <c r="F716" s="9" t="s">
        <v>364</v>
      </c>
      <c r="G716" s="9" t="s">
        <v>924</v>
      </c>
      <c r="H716" s="12">
        <v>900</v>
      </c>
      <c r="I716" s="12">
        <v>12179</v>
      </c>
      <c r="J716" s="13">
        <v>14158</v>
      </c>
      <c r="K716" s="13">
        <v>3564</v>
      </c>
      <c r="L716" s="13">
        <v>2772</v>
      </c>
      <c r="M716" s="13">
        <v>3696</v>
      </c>
      <c r="N716" s="13">
        <v>3432</v>
      </c>
      <c r="O716" s="13">
        <v>3300</v>
      </c>
      <c r="P716" s="13">
        <v>3828</v>
      </c>
      <c r="Q716" s="13">
        <v>807</v>
      </c>
      <c r="R716" s="13">
        <v>1056</v>
      </c>
      <c r="S716" s="13">
        <v>3432</v>
      </c>
      <c r="T716" s="13">
        <v>3432</v>
      </c>
      <c r="U716" s="13">
        <v>3300</v>
      </c>
      <c r="V716" s="13">
        <v>3300</v>
      </c>
      <c r="W716" s="13">
        <v>2772</v>
      </c>
      <c r="X716" s="13">
        <v>3168</v>
      </c>
      <c r="Y716" s="13">
        <v>3828</v>
      </c>
      <c r="Z716" s="13">
        <v>3432</v>
      </c>
      <c r="AA716" s="13">
        <v>3300</v>
      </c>
      <c r="AB716" s="13">
        <v>3828</v>
      </c>
      <c r="AC716" s="13">
        <v>2904</v>
      </c>
      <c r="AD716" s="13">
        <v>3696</v>
      </c>
    </row>
    <row r="717" spans="1:30" ht="15.75" thickBot="1" x14ac:dyDescent="0.3">
      <c r="A717" s="9" t="s">
        <v>1082</v>
      </c>
      <c r="B717" s="9" t="s">
        <v>1578</v>
      </c>
      <c r="C717" s="45" t="str">
        <f t="shared" si="11"/>
        <v>DETX200B38OS</v>
      </c>
      <c r="D717" s="10" t="s">
        <v>1607</v>
      </c>
      <c r="E717" s="10" t="s">
        <v>1608</v>
      </c>
      <c r="F717" s="9" t="s">
        <v>364</v>
      </c>
      <c r="G717" s="9" t="s">
        <v>924</v>
      </c>
      <c r="H717" s="12">
        <v>900</v>
      </c>
      <c r="I717" s="12">
        <v>2073</v>
      </c>
      <c r="J717" s="13">
        <v>3978</v>
      </c>
      <c r="K717" s="13">
        <v>900</v>
      </c>
      <c r="L717" s="13">
        <v>900</v>
      </c>
      <c r="M717" s="13">
        <v>1260</v>
      </c>
      <c r="N717" s="13">
        <v>1260</v>
      </c>
      <c r="O717" s="13">
        <v>1260</v>
      </c>
      <c r="P717" s="13">
        <v>900</v>
      </c>
      <c r="Q717" s="13">
        <v>1080</v>
      </c>
      <c r="R717" s="13">
        <v>1260</v>
      </c>
      <c r="S717" s="13">
        <v>900</v>
      </c>
      <c r="T717" s="13">
        <v>1440</v>
      </c>
      <c r="U717" s="13">
        <v>0</v>
      </c>
      <c r="V717" s="13">
        <v>360</v>
      </c>
      <c r="W717" s="13">
        <v>1080</v>
      </c>
      <c r="X717" s="13">
        <v>1260</v>
      </c>
      <c r="Y717" s="13">
        <v>900</v>
      </c>
      <c r="Z717" s="13">
        <v>1260</v>
      </c>
      <c r="AA717" s="13">
        <v>720</v>
      </c>
      <c r="AB717" s="13">
        <v>1260</v>
      </c>
      <c r="AC717" s="13">
        <v>1080</v>
      </c>
      <c r="AD717" s="13">
        <v>1080</v>
      </c>
    </row>
    <row r="718" spans="1:30" ht="15.75" thickBot="1" x14ac:dyDescent="0.3">
      <c r="A718" s="9" t="s">
        <v>1082</v>
      </c>
      <c r="B718" s="9" t="s">
        <v>1578</v>
      </c>
      <c r="C718" s="45" t="str">
        <f t="shared" si="11"/>
        <v>DETX200B39OS</v>
      </c>
      <c r="D718" s="10" t="s">
        <v>1609</v>
      </c>
      <c r="E718" s="10" t="s">
        <v>1608</v>
      </c>
      <c r="F718" s="9" t="s">
        <v>364</v>
      </c>
      <c r="G718" s="9" t="s">
        <v>924</v>
      </c>
      <c r="H718" s="12">
        <v>900</v>
      </c>
      <c r="I718" s="12">
        <v>43</v>
      </c>
      <c r="J718" s="13">
        <v>3978</v>
      </c>
      <c r="K718" s="13">
        <v>900</v>
      </c>
      <c r="L718" s="13">
        <v>900</v>
      </c>
      <c r="M718" s="13">
        <v>1260</v>
      </c>
      <c r="N718" s="13">
        <v>1260</v>
      </c>
      <c r="O718" s="13">
        <v>1260</v>
      </c>
      <c r="P718" s="13">
        <v>900</v>
      </c>
      <c r="Q718" s="13">
        <v>1080</v>
      </c>
      <c r="R718" s="13">
        <v>1260</v>
      </c>
      <c r="S718" s="13">
        <v>900</v>
      </c>
      <c r="T718" s="13">
        <v>1440</v>
      </c>
      <c r="U718" s="13">
        <v>0</v>
      </c>
      <c r="V718" s="13">
        <v>360</v>
      </c>
      <c r="W718" s="13">
        <v>1080</v>
      </c>
      <c r="X718" s="13">
        <v>1260</v>
      </c>
      <c r="Y718" s="13">
        <v>900</v>
      </c>
      <c r="Z718" s="13">
        <v>1260</v>
      </c>
      <c r="AA718" s="13">
        <v>720</v>
      </c>
      <c r="AB718" s="13">
        <v>1260</v>
      </c>
      <c r="AC718" s="13">
        <v>1080</v>
      </c>
      <c r="AD718" s="13">
        <v>1080</v>
      </c>
    </row>
    <row r="719" spans="1:30" ht="15.75" thickBot="1" x14ac:dyDescent="0.3">
      <c r="A719" s="9" t="s">
        <v>1082</v>
      </c>
      <c r="B719" s="9" t="s">
        <v>1578</v>
      </c>
      <c r="C719" s="45" t="str">
        <f t="shared" si="11"/>
        <v>M2DB S502A74 AD</v>
      </c>
      <c r="D719" s="10" t="s">
        <v>1610</v>
      </c>
      <c r="E719" s="10" t="s">
        <v>1611</v>
      </c>
      <c r="F719" s="9" t="s">
        <v>364</v>
      </c>
      <c r="G719" s="9" t="s">
        <v>924</v>
      </c>
      <c r="H719" s="12">
        <v>900</v>
      </c>
      <c r="I719" s="12">
        <v>3500</v>
      </c>
      <c r="J719" s="13">
        <v>0</v>
      </c>
      <c r="K719" s="13">
        <v>500</v>
      </c>
      <c r="L719" s="13">
        <v>3000</v>
      </c>
      <c r="M719" s="13">
        <v>2600</v>
      </c>
      <c r="N719" s="13">
        <v>3300</v>
      </c>
      <c r="O719" s="13">
        <v>4100</v>
      </c>
      <c r="P719" s="13">
        <v>2600</v>
      </c>
      <c r="Q719" s="13">
        <v>2900</v>
      </c>
      <c r="R719" s="13">
        <v>2800</v>
      </c>
      <c r="S719" s="13">
        <v>4000</v>
      </c>
      <c r="T719" s="13">
        <v>4000</v>
      </c>
      <c r="U719" s="13">
        <v>3600</v>
      </c>
      <c r="V719" s="13">
        <v>2300</v>
      </c>
      <c r="W719" s="13">
        <v>3500</v>
      </c>
      <c r="X719" s="13">
        <v>3400</v>
      </c>
      <c r="Y719" s="13">
        <v>3400</v>
      </c>
      <c r="Z719" s="13">
        <v>4000</v>
      </c>
      <c r="AA719" s="13">
        <v>0</v>
      </c>
      <c r="AB719" s="13">
        <v>700</v>
      </c>
      <c r="AC719" s="13">
        <v>3500</v>
      </c>
      <c r="AD719" s="13">
        <v>3500</v>
      </c>
    </row>
    <row r="720" spans="1:30" ht="15.75" thickBot="1" x14ac:dyDescent="0.3">
      <c r="A720" s="9" t="s">
        <v>1082</v>
      </c>
      <c r="B720" s="9" t="s">
        <v>1578</v>
      </c>
      <c r="C720" s="45" t="str">
        <f t="shared" si="11"/>
        <v>M2DB X502A74 AD</v>
      </c>
      <c r="D720" s="10" t="s">
        <v>1612</v>
      </c>
      <c r="E720" s="10" t="s">
        <v>1611</v>
      </c>
      <c r="F720" s="9" t="s">
        <v>364</v>
      </c>
      <c r="G720" s="9" t="s">
        <v>924</v>
      </c>
      <c r="H720" s="12">
        <v>900</v>
      </c>
      <c r="I720" s="12">
        <v>500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0</v>
      </c>
      <c r="Q720" s="13">
        <v>0</v>
      </c>
      <c r="R720" s="13">
        <v>0</v>
      </c>
      <c r="S720" s="13">
        <v>0</v>
      </c>
      <c r="T720" s="13">
        <v>0</v>
      </c>
      <c r="U720" s="13">
        <v>0</v>
      </c>
      <c r="V720" s="13">
        <v>0</v>
      </c>
      <c r="W720" s="13">
        <v>2</v>
      </c>
      <c r="X720" s="13">
        <v>0</v>
      </c>
      <c r="Y720" s="13">
        <v>100</v>
      </c>
      <c r="Z720" s="13">
        <v>400</v>
      </c>
      <c r="AA720" s="13">
        <v>0</v>
      </c>
      <c r="AB720" s="13">
        <v>0</v>
      </c>
      <c r="AC720" s="13">
        <v>0</v>
      </c>
      <c r="AD720" s="13">
        <v>0</v>
      </c>
    </row>
    <row r="721" spans="1:30" ht="15.75" thickBot="1" x14ac:dyDescent="0.3">
      <c r="A721" s="9" t="s">
        <v>1082</v>
      </c>
      <c r="B721" s="9" t="s">
        <v>1578</v>
      </c>
      <c r="C721" s="45" t="str">
        <f t="shared" si="11"/>
        <v>N1WB E50291 AA</v>
      </c>
      <c r="D721" s="10" t="s">
        <v>1613</v>
      </c>
      <c r="E721" s="10" t="s">
        <v>1614</v>
      </c>
      <c r="F721" s="9" t="s">
        <v>261</v>
      </c>
      <c r="G721" s="9" t="s">
        <v>924</v>
      </c>
      <c r="H721" s="12">
        <v>900</v>
      </c>
      <c r="I721" s="12">
        <v>9211</v>
      </c>
      <c r="J721" s="13">
        <v>0</v>
      </c>
      <c r="K721" s="13">
        <v>0</v>
      </c>
      <c r="L721" s="13">
        <v>0</v>
      </c>
      <c r="M721" s="13">
        <v>0</v>
      </c>
      <c r="N721" s="13">
        <v>0</v>
      </c>
      <c r="O721" s="13">
        <v>0</v>
      </c>
      <c r="P721" s="13">
        <v>0</v>
      </c>
      <c r="Q721" s="13">
        <v>0</v>
      </c>
      <c r="R721" s="13">
        <v>785</v>
      </c>
      <c r="S721" s="13">
        <v>1680</v>
      </c>
      <c r="T721" s="13">
        <v>1596</v>
      </c>
      <c r="U721" s="13">
        <v>1260</v>
      </c>
      <c r="V721" s="13">
        <v>1428</v>
      </c>
      <c r="W721" s="13">
        <v>2100</v>
      </c>
      <c r="X721" s="13">
        <v>2016</v>
      </c>
      <c r="Y721" s="13">
        <v>1932</v>
      </c>
      <c r="Z721" s="13">
        <v>2352</v>
      </c>
      <c r="AA721" s="13">
        <v>0</v>
      </c>
      <c r="AB721" s="13">
        <v>420</v>
      </c>
      <c r="AC721" s="13">
        <v>2100</v>
      </c>
      <c r="AD721" s="13">
        <v>2100</v>
      </c>
    </row>
    <row r="722" spans="1:30" ht="15.75" thickBot="1" x14ac:dyDescent="0.3">
      <c r="A722" s="9" t="s">
        <v>1082</v>
      </c>
      <c r="B722" s="9" t="s">
        <v>1578</v>
      </c>
      <c r="C722" s="45" t="str">
        <f t="shared" si="11"/>
        <v>PC00427B</v>
      </c>
      <c r="D722" s="10" t="s">
        <v>1615</v>
      </c>
      <c r="E722" s="10" t="s">
        <v>1616</v>
      </c>
      <c r="F722" s="9" t="s">
        <v>1117</v>
      </c>
      <c r="G722" s="9" t="s">
        <v>924</v>
      </c>
      <c r="H722" s="12">
        <v>900</v>
      </c>
      <c r="I722" s="12">
        <v>12613</v>
      </c>
      <c r="J722" s="13">
        <v>0</v>
      </c>
      <c r="K722" s="13">
        <v>0</v>
      </c>
      <c r="L722" s="13">
        <v>0</v>
      </c>
      <c r="M722" s="13">
        <v>0</v>
      </c>
      <c r="N722" s="13">
        <v>987</v>
      </c>
      <c r="O722" s="13">
        <v>2400</v>
      </c>
      <c r="P722" s="13">
        <v>3200</v>
      </c>
      <c r="Q722" s="13">
        <v>2400</v>
      </c>
      <c r="R722" s="13">
        <v>2400</v>
      </c>
      <c r="S722" s="13">
        <v>3200</v>
      </c>
      <c r="T722" s="13">
        <v>2400</v>
      </c>
      <c r="U722" s="13">
        <v>2400</v>
      </c>
      <c r="V722" s="13">
        <v>2400</v>
      </c>
      <c r="W722" s="13">
        <v>2400</v>
      </c>
      <c r="X722" s="13">
        <v>1600</v>
      </c>
      <c r="Y722" s="13">
        <v>4000</v>
      </c>
      <c r="Z722" s="13">
        <v>1600</v>
      </c>
      <c r="AA722" s="13">
        <v>0</v>
      </c>
      <c r="AB722" s="13">
        <v>2400</v>
      </c>
      <c r="AC722" s="13">
        <v>2400</v>
      </c>
      <c r="AD722" s="13">
        <v>3200</v>
      </c>
    </row>
    <row r="723" spans="1:30" ht="15.75" thickBot="1" x14ac:dyDescent="0.3">
      <c r="A723" s="9" t="s">
        <v>1082</v>
      </c>
      <c r="B723" s="9" t="s">
        <v>1578</v>
      </c>
      <c r="C723" s="45" t="str">
        <f t="shared" si="11"/>
        <v>PC26174A</v>
      </c>
      <c r="D723" s="10" t="s">
        <v>1617</v>
      </c>
      <c r="E723" s="10" t="s">
        <v>1618</v>
      </c>
      <c r="F723" s="9" t="s">
        <v>1117</v>
      </c>
      <c r="G723" s="9" t="s">
        <v>924</v>
      </c>
      <c r="H723" s="12">
        <v>900</v>
      </c>
      <c r="I723" s="12">
        <v>13882</v>
      </c>
      <c r="J723" s="13">
        <v>0</v>
      </c>
      <c r="K723" s="13">
        <v>0</v>
      </c>
      <c r="L723" s="13">
        <v>0</v>
      </c>
      <c r="M723" s="13">
        <v>0</v>
      </c>
      <c r="N723" s="13">
        <v>0</v>
      </c>
      <c r="O723" s="13">
        <v>0</v>
      </c>
      <c r="P723" s="13">
        <v>1654</v>
      </c>
      <c r="Q723" s="13">
        <v>3000</v>
      </c>
      <c r="R723" s="13">
        <v>3000</v>
      </c>
      <c r="S723" s="13">
        <v>3000</v>
      </c>
      <c r="T723" s="13">
        <v>3000</v>
      </c>
      <c r="U723" s="13">
        <v>0</v>
      </c>
      <c r="V723" s="13">
        <v>3000</v>
      </c>
      <c r="W723" s="13">
        <v>3000</v>
      </c>
      <c r="X723" s="13">
        <v>3000</v>
      </c>
      <c r="Y723" s="13">
        <v>3000</v>
      </c>
      <c r="Z723" s="13">
        <v>3000</v>
      </c>
      <c r="AA723" s="13">
        <v>0</v>
      </c>
      <c r="AB723" s="13">
        <v>0</v>
      </c>
      <c r="AC723" s="13">
        <v>3000</v>
      </c>
      <c r="AD723" s="13">
        <v>3000</v>
      </c>
    </row>
    <row r="724" spans="1:30" ht="15.75" thickBot="1" x14ac:dyDescent="0.3">
      <c r="A724" s="9" t="s">
        <v>1082</v>
      </c>
      <c r="B724" s="9" t="s">
        <v>1578</v>
      </c>
      <c r="C724" s="45" t="str">
        <f t="shared" si="11"/>
        <v>PC26175A</v>
      </c>
      <c r="D724" s="10" t="s">
        <v>1619</v>
      </c>
      <c r="E724" s="10" t="s">
        <v>1618</v>
      </c>
      <c r="F724" s="9" t="s">
        <v>1117</v>
      </c>
      <c r="G724" s="9" t="s">
        <v>924</v>
      </c>
      <c r="H724" s="12">
        <v>900</v>
      </c>
      <c r="I724" s="12">
        <v>16346</v>
      </c>
      <c r="J724" s="13">
        <v>0</v>
      </c>
      <c r="K724" s="13">
        <v>0</v>
      </c>
      <c r="L724" s="13">
        <v>0</v>
      </c>
      <c r="M724" s="13">
        <v>0</v>
      </c>
      <c r="N724" s="13">
        <v>0</v>
      </c>
      <c r="O724" s="13">
        <v>0</v>
      </c>
      <c r="P724" s="13">
        <v>1654</v>
      </c>
      <c r="Q724" s="13">
        <v>3000</v>
      </c>
      <c r="R724" s="13">
        <v>3000</v>
      </c>
      <c r="S724" s="13">
        <v>3000</v>
      </c>
      <c r="T724" s="13">
        <v>3000</v>
      </c>
      <c r="U724" s="13">
        <v>0</v>
      </c>
      <c r="V724" s="13">
        <v>3000</v>
      </c>
      <c r="W724" s="13">
        <v>3000</v>
      </c>
      <c r="X724" s="13">
        <v>3000</v>
      </c>
      <c r="Y724" s="13">
        <v>3000</v>
      </c>
      <c r="Z724" s="13">
        <v>3000</v>
      </c>
      <c r="AA724" s="13">
        <v>0</v>
      </c>
      <c r="AB724" s="13">
        <v>0</v>
      </c>
      <c r="AC724" s="13">
        <v>3000</v>
      </c>
      <c r="AD724" s="13">
        <v>3000</v>
      </c>
    </row>
    <row r="725" spans="1:30" ht="15.75" thickBot="1" x14ac:dyDescent="0.3">
      <c r="A725" s="9" t="s">
        <v>1082</v>
      </c>
      <c r="B725" s="9" t="s">
        <v>1578</v>
      </c>
      <c r="C725" s="45" t="str">
        <f t="shared" si="11"/>
        <v>PC26590A</v>
      </c>
      <c r="D725" s="10" t="s">
        <v>1620</v>
      </c>
      <c r="E725" s="10" t="s">
        <v>1621</v>
      </c>
      <c r="F725" s="9" t="s">
        <v>1117</v>
      </c>
      <c r="G725" s="9" t="s">
        <v>924</v>
      </c>
      <c r="H725" s="12">
        <v>900</v>
      </c>
      <c r="I725" s="12">
        <v>11565</v>
      </c>
      <c r="J725" s="13">
        <v>0</v>
      </c>
      <c r="K725" s="13">
        <v>0</v>
      </c>
      <c r="L725" s="13">
        <v>0</v>
      </c>
      <c r="M725" s="13">
        <v>435</v>
      </c>
      <c r="N725" s="13">
        <v>2000</v>
      </c>
      <c r="O725" s="13">
        <v>2000</v>
      </c>
      <c r="P725" s="13">
        <v>2000</v>
      </c>
      <c r="Q725" s="13">
        <v>4000</v>
      </c>
      <c r="R725" s="13">
        <v>2000</v>
      </c>
      <c r="S725" s="13">
        <v>2000</v>
      </c>
      <c r="T725" s="13">
        <v>4000</v>
      </c>
      <c r="U725" s="13">
        <v>2000</v>
      </c>
      <c r="V725" s="13">
        <v>2000</v>
      </c>
      <c r="W725" s="13">
        <v>2000</v>
      </c>
      <c r="X725" s="13">
        <v>2000</v>
      </c>
      <c r="Y725" s="13">
        <v>4000</v>
      </c>
      <c r="Z725" s="13">
        <v>2000</v>
      </c>
      <c r="AA725" s="13">
        <v>0</v>
      </c>
      <c r="AB725" s="13">
        <v>2000</v>
      </c>
      <c r="AC725" s="13">
        <v>2000</v>
      </c>
      <c r="AD725" s="13">
        <v>4000</v>
      </c>
    </row>
    <row r="726" spans="1:30" ht="15.75" thickBot="1" x14ac:dyDescent="0.3">
      <c r="A726" s="9" t="s">
        <v>1082</v>
      </c>
      <c r="B726" s="9" t="s">
        <v>1578</v>
      </c>
      <c r="C726" s="45" t="str">
        <f t="shared" si="11"/>
        <v>PC26591A</v>
      </c>
      <c r="D726" s="10" t="s">
        <v>1622</v>
      </c>
      <c r="E726" s="10" t="s">
        <v>1623</v>
      </c>
      <c r="F726" s="9" t="s">
        <v>1117</v>
      </c>
      <c r="G726" s="9" t="s">
        <v>924</v>
      </c>
      <c r="H726" s="12">
        <v>900</v>
      </c>
      <c r="I726" s="12">
        <v>14402</v>
      </c>
      <c r="J726" s="13">
        <v>0</v>
      </c>
      <c r="K726" s="13">
        <v>0</v>
      </c>
      <c r="L726" s="13">
        <v>0</v>
      </c>
      <c r="M726" s="13">
        <v>435</v>
      </c>
      <c r="N726" s="13">
        <v>2000</v>
      </c>
      <c r="O726" s="13">
        <v>2000</v>
      </c>
      <c r="P726" s="13">
        <v>2000</v>
      </c>
      <c r="Q726" s="13">
        <v>4000</v>
      </c>
      <c r="R726" s="13">
        <v>2000</v>
      </c>
      <c r="S726" s="13">
        <v>2000</v>
      </c>
      <c r="T726" s="13">
        <v>4000</v>
      </c>
      <c r="U726" s="13">
        <v>2000</v>
      </c>
      <c r="V726" s="13">
        <v>2000</v>
      </c>
      <c r="W726" s="13">
        <v>2000</v>
      </c>
      <c r="X726" s="13">
        <v>2000</v>
      </c>
      <c r="Y726" s="13">
        <v>4000</v>
      </c>
      <c r="Z726" s="13">
        <v>2000</v>
      </c>
      <c r="AA726" s="13">
        <v>0</v>
      </c>
      <c r="AB726" s="13">
        <v>2000</v>
      </c>
      <c r="AC726" s="13">
        <v>2000</v>
      </c>
      <c r="AD726" s="13">
        <v>4000</v>
      </c>
    </row>
    <row r="727" spans="1:30" ht="15.75" thickBot="1" x14ac:dyDescent="0.3">
      <c r="A727" s="9" t="s">
        <v>1082</v>
      </c>
      <c r="B727" s="9" t="s">
        <v>1578</v>
      </c>
      <c r="C727" s="45" t="str">
        <f t="shared" si="11"/>
        <v>PC30490A</v>
      </c>
      <c r="D727" s="10" t="s">
        <v>1624</v>
      </c>
      <c r="E727" s="10" t="s">
        <v>1625</v>
      </c>
      <c r="F727" s="9" t="s">
        <v>1117</v>
      </c>
      <c r="G727" s="9" t="s">
        <v>924</v>
      </c>
      <c r="H727" s="12">
        <v>900</v>
      </c>
      <c r="I727" s="12">
        <v>11664</v>
      </c>
      <c r="J727" s="13">
        <v>0</v>
      </c>
      <c r="K727" s="13">
        <v>0</v>
      </c>
      <c r="L727" s="13">
        <v>0</v>
      </c>
      <c r="M727" s="13">
        <v>336</v>
      </c>
      <c r="N727" s="13">
        <v>2000</v>
      </c>
      <c r="O727" s="13">
        <v>3000</v>
      </c>
      <c r="P727" s="13">
        <v>3000</v>
      </c>
      <c r="Q727" s="13">
        <v>2701</v>
      </c>
      <c r="R727" s="13">
        <v>2299</v>
      </c>
      <c r="S727" s="13">
        <v>3000</v>
      </c>
      <c r="T727" s="13">
        <v>2701</v>
      </c>
      <c r="U727" s="13">
        <v>2000</v>
      </c>
      <c r="V727" s="13">
        <v>2299</v>
      </c>
      <c r="W727" s="13">
        <v>2701</v>
      </c>
      <c r="X727" s="13">
        <v>2000</v>
      </c>
      <c r="Y727" s="13">
        <v>3299</v>
      </c>
      <c r="Z727" s="13">
        <v>2000</v>
      </c>
      <c r="AA727" s="13">
        <v>0</v>
      </c>
      <c r="AB727" s="13">
        <v>2000</v>
      </c>
      <c r="AC727" s="13">
        <v>2701</v>
      </c>
      <c r="AD727" s="13">
        <v>2299</v>
      </c>
    </row>
    <row r="728" spans="1:30" ht="15.75" thickBot="1" x14ac:dyDescent="0.3">
      <c r="A728" s="9" t="s">
        <v>1082</v>
      </c>
      <c r="B728" s="9" t="s">
        <v>1578</v>
      </c>
      <c r="C728" s="45" t="str">
        <f t="shared" si="11"/>
        <v>PC30491A</v>
      </c>
      <c r="D728" s="10" t="s">
        <v>1626</v>
      </c>
      <c r="E728" s="10" t="s">
        <v>1627</v>
      </c>
      <c r="F728" s="9" t="s">
        <v>1117</v>
      </c>
      <c r="G728" s="9" t="s">
        <v>924</v>
      </c>
      <c r="H728" s="12">
        <v>900</v>
      </c>
      <c r="I728" s="12">
        <v>10963</v>
      </c>
      <c r="J728" s="13">
        <v>0</v>
      </c>
      <c r="K728" s="13">
        <v>0</v>
      </c>
      <c r="L728" s="13">
        <v>0</v>
      </c>
      <c r="M728" s="13">
        <v>336</v>
      </c>
      <c r="N728" s="13">
        <v>2000</v>
      </c>
      <c r="O728" s="13">
        <v>3000</v>
      </c>
      <c r="P728" s="13">
        <v>3000</v>
      </c>
      <c r="Q728" s="13">
        <v>2701</v>
      </c>
      <c r="R728" s="13">
        <v>2299</v>
      </c>
      <c r="S728" s="13">
        <v>3000</v>
      </c>
      <c r="T728" s="13">
        <v>2701</v>
      </c>
      <c r="U728" s="13">
        <v>2000</v>
      </c>
      <c r="V728" s="13">
        <v>2299</v>
      </c>
      <c r="W728" s="13">
        <v>2701</v>
      </c>
      <c r="X728" s="13">
        <v>2000</v>
      </c>
      <c r="Y728" s="13">
        <v>3299</v>
      </c>
      <c r="Z728" s="13">
        <v>2000</v>
      </c>
      <c r="AA728" s="13">
        <v>0</v>
      </c>
      <c r="AB728" s="13">
        <v>2000</v>
      </c>
      <c r="AC728" s="13">
        <v>2701</v>
      </c>
      <c r="AD728" s="13">
        <v>2299</v>
      </c>
    </row>
    <row r="729" spans="1:30" ht="15.75" thickBot="1" x14ac:dyDescent="0.3">
      <c r="A729" s="9" t="s">
        <v>1082</v>
      </c>
      <c r="B729" s="9" t="s">
        <v>1578</v>
      </c>
      <c r="C729" s="45" t="str">
        <f t="shared" si="11"/>
        <v>PUR61111C98 A</v>
      </c>
      <c r="D729" s="10" t="s">
        <v>1628</v>
      </c>
      <c r="E729" s="10" t="s">
        <v>1629</v>
      </c>
      <c r="F729" s="9" t="s">
        <v>364</v>
      </c>
      <c r="G729" s="9" t="s">
        <v>924</v>
      </c>
      <c r="H729" s="12">
        <v>1800</v>
      </c>
      <c r="I729" s="12">
        <v>6168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</row>
    <row r="730" spans="1:30" ht="15.75" thickBot="1" x14ac:dyDescent="0.3">
      <c r="A730" s="9" t="s">
        <v>1082</v>
      </c>
      <c r="B730" s="9" t="s">
        <v>1578</v>
      </c>
      <c r="C730" s="45" t="str">
        <f t="shared" si="11"/>
        <v>PURS45130 A</v>
      </c>
      <c r="D730" s="10" t="s">
        <v>1630</v>
      </c>
      <c r="E730" s="10" t="s">
        <v>1631</v>
      </c>
      <c r="F730" s="9" t="s">
        <v>364</v>
      </c>
      <c r="G730" s="9" t="s">
        <v>924</v>
      </c>
      <c r="H730" s="12">
        <v>900</v>
      </c>
      <c r="I730" s="12">
        <v>7225</v>
      </c>
      <c r="J730" s="13">
        <v>0</v>
      </c>
      <c r="K730" s="13">
        <v>0</v>
      </c>
      <c r="L730" s="13">
        <v>1275</v>
      </c>
      <c r="M730" s="13">
        <v>4500</v>
      </c>
      <c r="N730" s="13">
        <v>2480</v>
      </c>
      <c r="O730" s="13">
        <v>2520</v>
      </c>
      <c r="P730" s="13">
        <v>4480</v>
      </c>
      <c r="Q730" s="13">
        <v>4020</v>
      </c>
      <c r="R730" s="13">
        <v>4000</v>
      </c>
      <c r="S730" s="13">
        <v>2480</v>
      </c>
      <c r="T730" s="13">
        <v>7020</v>
      </c>
      <c r="U730" s="13">
        <v>0</v>
      </c>
      <c r="V730" s="13">
        <v>3000</v>
      </c>
      <c r="W730" s="13">
        <v>4980</v>
      </c>
      <c r="X730" s="13">
        <v>1020</v>
      </c>
      <c r="Y730" s="13">
        <v>0</v>
      </c>
      <c r="Z730" s="13">
        <v>3000</v>
      </c>
      <c r="AA730" s="13">
        <v>3500</v>
      </c>
      <c r="AB730" s="13">
        <v>3500</v>
      </c>
      <c r="AC730" s="13">
        <v>3000</v>
      </c>
      <c r="AD730" s="13">
        <v>1480</v>
      </c>
    </row>
    <row r="731" spans="1:30" ht="15.75" thickBot="1" x14ac:dyDescent="0.3">
      <c r="A731" s="9" t="s">
        <v>1082</v>
      </c>
      <c r="B731" s="9" t="s">
        <v>1578</v>
      </c>
      <c r="C731" s="45" t="str">
        <f t="shared" si="11"/>
        <v>PURS45131 A</v>
      </c>
      <c r="D731" s="10" t="s">
        <v>1632</v>
      </c>
      <c r="E731" s="10" t="s">
        <v>1633</v>
      </c>
      <c r="F731" s="9" t="s">
        <v>364</v>
      </c>
      <c r="G731" s="9" t="s">
        <v>924</v>
      </c>
      <c r="H731" s="12">
        <v>900</v>
      </c>
      <c r="I731" s="12">
        <v>7245</v>
      </c>
      <c r="J731" s="13">
        <v>0</v>
      </c>
      <c r="K731" s="13">
        <v>0</v>
      </c>
      <c r="L731" s="13">
        <v>1275</v>
      </c>
      <c r="M731" s="13">
        <v>4500</v>
      </c>
      <c r="N731" s="13">
        <v>2480</v>
      </c>
      <c r="O731" s="13">
        <v>2520</v>
      </c>
      <c r="P731" s="13">
        <v>4480</v>
      </c>
      <c r="Q731" s="13">
        <v>4020</v>
      </c>
      <c r="R731" s="13">
        <v>4000</v>
      </c>
      <c r="S731" s="13">
        <v>2480</v>
      </c>
      <c r="T731" s="13">
        <v>7020</v>
      </c>
      <c r="U731" s="13">
        <v>0</v>
      </c>
      <c r="V731" s="13">
        <v>3000</v>
      </c>
      <c r="W731" s="13">
        <v>4980</v>
      </c>
      <c r="X731" s="13">
        <v>1020</v>
      </c>
      <c r="Y731" s="13">
        <v>0</v>
      </c>
      <c r="Z731" s="13">
        <v>3000</v>
      </c>
      <c r="AA731" s="13">
        <v>3500</v>
      </c>
      <c r="AB731" s="13">
        <v>3500</v>
      </c>
      <c r="AC731" s="13">
        <v>3000</v>
      </c>
      <c r="AD731" s="13">
        <v>1480</v>
      </c>
    </row>
    <row r="732" spans="1:30" ht="15.75" thickBot="1" x14ac:dyDescent="0.3">
      <c r="A732" s="9" t="s">
        <v>1082</v>
      </c>
      <c r="B732" s="9" t="s">
        <v>1578</v>
      </c>
      <c r="C732" s="45" t="str">
        <f t="shared" si="11"/>
        <v>REPACKS502D12</v>
      </c>
      <c r="D732" s="10" t="s">
        <v>1634</v>
      </c>
      <c r="E732" s="10" t="s">
        <v>954</v>
      </c>
      <c r="F732" s="9" t="s">
        <v>364</v>
      </c>
      <c r="G732" s="9" t="s">
        <v>924</v>
      </c>
      <c r="H732" s="12">
        <v>900</v>
      </c>
      <c r="I732" s="12">
        <v>11399</v>
      </c>
      <c r="J732" s="13">
        <v>0</v>
      </c>
      <c r="K732" s="13">
        <v>0</v>
      </c>
      <c r="L732" s="13">
        <v>0</v>
      </c>
      <c r="M732" s="13">
        <v>445</v>
      </c>
      <c r="N732" s="13">
        <v>3444</v>
      </c>
      <c r="O732" s="13">
        <v>3780</v>
      </c>
      <c r="P732" s="13">
        <v>2772</v>
      </c>
      <c r="Q732" s="13">
        <v>2520</v>
      </c>
      <c r="R732" s="13">
        <v>3948</v>
      </c>
      <c r="S732" s="13">
        <v>3864</v>
      </c>
      <c r="T732" s="13">
        <v>4032</v>
      </c>
      <c r="U732" s="13">
        <v>2100</v>
      </c>
      <c r="V732" s="13">
        <v>3528</v>
      </c>
      <c r="W732" s="13">
        <v>3528</v>
      </c>
      <c r="X732" s="13">
        <v>2940</v>
      </c>
      <c r="Y732" s="13">
        <v>5124</v>
      </c>
      <c r="Z732" s="13">
        <v>0</v>
      </c>
      <c r="AA732" s="13">
        <v>0</v>
      </c>
      <c r="AB732" s="13">
        <v>3444</v>
      </c>
      <c r="AC732" s="13">
        <v>3528</v>
      </c>
      <c r="AD732" s="13">
        <v>3192</v>
      </c>
    </row>
    <row r="733" spans="1:30" ht="15.75" thickBot="1" x14ac:dyDescent="0.3">
      <c r="A733" s="9" t="s">
        <v>1082</v>
      </c>
      <c r="B733" s="9" t="s">
        <v>1578</v>
      </c>
      <c r="C733" s="45" t="str">
        <f t="shared" si="11"/>
        <v>REPACKX502D12</v>
      </c>
      <c r="D733" s="10" t="s">
        <v>1635</v>
      </c>
      <c r="E733" s="10" t="s">
        <v>954</v>
      </c>
      <c r="F733" s="9" t="s">
        <v>364</v>
      </c>
      <c r="G733" s="9" t="s">
        <v>924</v>
      </c>
      <c r="H733" s="12">
        <v>900</v>
      </c>
      <c r="I733" s="12">
        <v>2948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</row>
    <row r="734" spans="1:30" ht="15.75" thickBot="1" x14ac:dyDescent="0.3">
      <c r="A734" s="9" t="s">
        <v>1082</v>
      </c>
      <c r="B734" s="9" t="s">
        <v>1636</v>
      </c>
      <c r="C734" s="45" t="str">
        <f t="shared" si="11"/>
        <v>DET21101A16A</v>
      </c>
      <c r="D734" s="10" t="s">
        <v>1637</v>
      </c>
      <c r="E734" s="10" t="s">
        <v>1638</v>
      </c>
      <c r="F734" s="9" t="s">
        <v>494</v>
      </c>
      <c r="G734" s="9" t="s">
        <v>924</v>
      </c>
      <c r="H734" s="12">
        <v>900</v>
      </c>
      <c r="I734" s="12">
        <v>4095</v>
      </c>
      <c r="J734" s="13">
        <v>0</v>
      </c>
      <c r="K734" s="13">
        <v>0</v>
      </c>
      <c r="L734" s="13">
        <v>0</v>
      </c>
      <c r="M734" s="13">
        <v>0</v>
      </c>
      <c r="N734" s="13">
        <v>879</v>
      </c>
      <c r="O734" s="13">
        <v>1383</v>
      </c>
      <c r="P734" s="13">
        <v>1414</v>
      </c>
      <c r="Q734" s="13">
        <v>1020</v>
      </c>
      <c r="R734" s="13">
        <v>1040</v>
      </c>
      <c r="S734" s="13">
        <v>1487</v>
      </c>
      <c r="T734" s="13">
        <v>1601</v>
      </c>
      <c r="U734" s="13">
        <v>1467</v>
      </c>
      <c r="V734" s="13">
        <v>1289</v>
      </c>
      <c r="W734" s="13">
        <v>2080</v>
      </c>
      <c r="X734" s="13">
        <v>2008</v>
      </c>
      <c r="Y734" s="13">
        <v>1986</v>
      </c>
      <c r="Z734" s="13">
        <v>2454</v>
      </c>
      <c r="AA734" s="13">
        <v>0</v>
      </c>
      <c r="AB734" s="13">
        <v>406</v>
      </c>
      <c r="AC734" s="13">
        <v>2049</v>
      </c>
      <c r="AD734" s="13">
        <v>2090</v>
      </c>
    </row>
    <row r="735" spans="1:30" ht="15.75" thickBot="1" x14ac:dyDescent="0.3">
      <c r="A735" s="9" t="s">
        <v>1082</v>
      </c>
      <c r="B735" s="9" t="s">
        <v>1636</v>
      </c>
      <c r="C735" s="45" t="str">
        <f t="shared" si="11"/>
        <v>DET21101A17A</v>
      </c>
      <c r="D735" s="10" t="s">
        <v>1639</v>
      </c>
      <c r="E735" s="10" t="s">
        <v>1640</v>
      </c>
      <c r="F735" s="9" t="s">
        <v>494</v>
      </c>
      <c r="G735" s="9" t="s">
        <v>924</v>
      </c>
      <c r="H735" s="12">
        <v>900</v>
      </c>
      <c r="I735" s="12">
        <v>4411</v>
      </c>
      <c r="J735" s="13">
        <v>0</v>
      </c>
      <c r="K735" s="13">
        <v>0</v>
      </c>
      <c r="L735" s="13">
        <v>0</v>
      </c>
      <c r="M735" s="13">
        <v>0</v>
      </c>
      <c r="N735" s="13">
        <v>879</v>
      </c>
      <c r="O735" s="13">
        <v>1383</v>
      </c>
      <c r="P735" s="13">
        <v>1414</v>
      </c>
      <c r="Q735" s="13">
        <v>1020</v>
      </c>
      <c r="R735" s="13">
        <v>1040</v>
      </c>
      <c r="S735" s="13">
        <v>1487</v>
      </c>
      <c r="T735" s="13">
        <v>1601</v>
      </c>
      <c r="U735" s="13">
        <v>1467</v>
      </c>
      <c r="V735" s="13">
        <v>1289</v>
      </c>
      <c r="W735" s="13">
        <v>2080</v>
      </c>
      <c r="X735" s="13">
        <v>2008</v>
      </c>
      <c r="Y735" s="13">
        <v>1986</v>
      </c>
      <c r="Z735" s="13">
        <v>2454</v>
      </c>
      <c r="AA735" s="13">
        <v>0</v>
      </c>
      <c r="AB735" s="13">
        <v>406</v>
      </c>
      <c r="AC735" s="13">
        <v>2049</v>
      </c>
      <c r="AD735" s="13">
        <v>2090</v>
      </c>
    </row>
    <row r="736" spans="1:30" ht="15.75" thickBot="1" x14ac:dyDescent="0.3">
      <c r="A736" s="9" t="s">
        <v>1082</v>
      </c>
      <c r="B736" s="9" t="s">
        <v>1636</v>
      </c>
      <c r="C736" s="45" t="str">
        <f t="shared" si="11"/>
        <v>DETE104B02A</v>
      </c>
      <c r="D736" s="10" t="s">
        <v>1641</v>
      </c>
      <c r="E736" s="10" t="s">
        <v>1642</v>
      </c>
      <c r="F736" s="9" t="s">
        <v>261</v>
      </c>
      <c r="G736" s="9" t="s">
        <v>924</v>
      </c>
      <c r="H736" s="12">
        <v>900</v>
      </c>
      <c r="I736" s="12">
        <v>12215</v>
      </c>
      <c r="J736" s="13">
        <v>0</v>
      </c>
      <c r="K736" s="13">
        <v>0</v>
      </c>
      <c r="L736" s="13">
        <v>0</v>
      </c>
      <c r="M736" s="13">
        <v>0</v>
      </c>
      <c r="N736" s="13">
        <v>0</v>
      </c>
      <c r="O736" s="13">
        <v>668</v>
      </c>
      <c r="P736" s="13">
        <v>1960</v>
      </c>
      <c r="Q736" s="13">
        <v>2330</v>
      </c>
      <c r="R736" s="13">
        <v>3040</v>
      </c>
      <c r="S736" s="13">
        <v>3350</v>
      </c>
      <c r="T736" s="13">
        <v>2900</v>
      </c>
      <c r="U736" s="13">
        <v>2680</v>
      </c>
      <c r="V736" s="13">
        <v>4440</v>
      </c>
      <c r="W736" s="13">
        <v>4100</v>
      </c>
      <c r="X736" s="13">
        <v>4070</v>
      </c>
      <c r="Y736" s="13">
        <v>3440</v>
      </c>
      <c r="Z736" s="13">
        <v>0</v>
      </c>
      <c r="AA736" s="13">
        <v>1840</v>
      </c>
      <c r="AB736" s="13">
        <v>4140</v>
      </c>
      <c r="AC736" s="13">
        <v>4040</v>
      </c>
      <c r="AD736" s="13">
        <v>3960</v>
      </c>
    </row>
    <row r="737" spans="1:30" ht="15.75" thickBot="1" x14ac:dyDescent="0.3">
      <c r="A737" s="9" t="s">
        <v>1643</v>
      </c>
      <c r="B737" s="9" t="s">
        <v>1644</v>
      </c>
      <c r="C737" s="45" t="str">
        <f t="shared" si="11"/>
        <v>MB3B 10723 AJ</v>
      </c>
      <c r="D737" s="10" t="s">
        <v>1645</v>
      </c>
      <c r="E737" s="10" t="s">
        <v>1646</v>
      </c>
      <c r="F737" s="9" t="s">
        <v>261</v>
      </c>
      <c r="G737" s="9" t="s">
        <v>924</v>
      </c>
      <c r="H737" s="12">
        <v>80</v>
      </c>
      <c r="I737" s="12">
        <v>167</v>
      </c>
      <c r="J737" s="13">
        <v>73</v>
      </c>
      <c r="K737" s="13">
        <v>264</v>
      </c>
      <c r="L737" s="13">
        <v>120</v>
      </c>
      <c r="M737" s="13">
        <v>168</v>
      </c>
      <c r="N737" s="13">
        <v>96</v>
      </c>
      <c r="O737" s="13">
        <v>72</v>
      </c>
      <c r="P737" s="13">
        <v>264</v>
      </c>
      <c r="Q737" s="13">
        <v>242</v>
      </c>
      <c r="R737" s="13">
        <v>240</v>
      </c>
      <c r="S737" s="13">
        <v>264</v>
      </c>
      <c r="T737" s="13">
        <v>240</v>
      </c>
      <c r="U737" s="13">
        <v>144</v>
      </c>
      <c r="V737" s="13">
        <v>264</v>
      </c>
      <c r="W737" s="13">
        <v>240</v>
      </c>
      <c r="X737" s="13">
        <v>240</v>
      </c>
      <c r="Y737" s="13">
        <v>432</v>
      </c>
      <c r="Z737" s="13">
        <v>2</v>
      </c>
      <c r="AA737" s="13">
        <v>0</v>
      </c>
      <c r="AB737" s="13">
        <v>240</v>
      </c>
      <c r="AC737" s="13">
        <v>264</v>
      </c>
      <c r="AD737" s="13">
        <v>240</v>
      </c>
    </row>
    <row r="738" spans="1:30" ht="15.75" thickBot="1" x14ac:dyDescent="0.3">
      <c r="A738" s="9" t="s">
        <v>1643</v>
      </c>
      <c r="B738" s="9" t="s">
        <v>1644</v>
      </c>
      <c r="C738" s="45" t="str">
        <f t="shared" si="11"/>
        <v>MB3B 10723 GJ</v>
      </c>
      <c r="D738" s="10" t="s">
        <v>1647</v>
      </c>
      <c r="E738" s="10" t="s">
        <v>1646</v>
      </c>
      <c r="F738" s="9" t="s">
        <v>261</v>
      </c>
      <c r="G738" s="9" t="s">
        <v>924</v>
      </c>
      <c r="H738" s="12">
        <v>80</v>
      </c>
      <c r="I738" s="12">
        <v>440</v>
      </c>
      <c r="J738" s="13">
        <v>880</v>
      </c>
      <c r="K738" s="13">
        <v>1464</v>
      </c>
      <c r="L738" s="13">
        <v>744</v>
      </c>
      <c r="M738" s="13">
        <v>1032</v>
      </c>
      <c r="N738" s="13">
        <v>1224</v>
      </c>
      <c r="O738" s="13">
        <v>1423</v>
      </c>
      <c r="P738" s="13">
        <v>816</v>
      </c>
      <c r="Q738" s="13">
        <v>720</v>
      </c>
      <c r="R738" s="13">
        <v>1224</v>
      </c>
      <c r="S738" s="13">
        <v>1320</v>
      </c>
      <c r="T738" s="13">
        <v>1344</v>
      </c>
      <c r="U738" s="13">
        <v>864</v>
      </c>
      <c r="V738" s="13">
        <v>1824</v>
      </c>
      <c r="W738" s="13">
        <v>1824</v>
      </c>
      <c r="X738" s="13">
        <v>1440</v>
      </c>
      <c r="Y738" s="13">
        <v>2352</v>
      </c>
      <c r="Z738" s="13">
        <v>6</v>
      </c>
      <c r="AA738" s="13">
        <v>288</v>
      </c>
      <c r="AB738" s="13">
        <v>1848</v>
      </c>
      <c r="AC738" s="13">
        <v>1848</v>
      </c>
      <c r="AD738" s="13">
        <v>1656</v>
      </c>
    </row>
    <row r="739" spans="1:30" ht="15.75" thickBot="1" x14ac:dyDescent="0.3">
      <c r="A739" s="9" t="s">
        <v>1643</v>
      </c>
      <c r="B739" s="9" t="s">
        <v>1648</v>
      </c>
      <c r="C739" s="45" t="str">
        <f t="shared" si="11"/>
        <v>M2DB S200B38 AC</v>
      </c>
      <c r="D739" s="10" t="s">
        <v>1649</v>
      </c>
      <c r="E739" s="10" t="s">
        <v>1650</v>
      </c>
      <c r="F739" s="9" t="s">
        <v>364</v>
      </c>
      <c r="G739" s="9" t="s">
        <v>924</v>
      </c>
      <c r="H739" s="11">
        <v>205.71420000000001</v>
      </c>
      <c r="I739" s="12">
        <v>1090</v>
      </c>
      <c r="J739" s="13">
        <v>1070</v>
      </c>
      <c r="K739" s="13">
        <v>3240</v>
      </c>
      <c r="L739" s="13">
        <v>1080</v>
      </c>
      <c r="M739" s="13">
        <v>2160</v>
      </c>
      <c r="N739" s="13">
        <v>2160</v>
      </c>
      <c r="O739" s="13">
        <v>2160</v>
      </c>
      <c r="P739" s="13">
        <v>1080</v>
      </c>
      <c r="Q739" s="13">
        <v>2215</v>
      </c>
      <c r="R739" s="13">
        <v>2160</v>
      </c>
      <c r="S739" s="13">
        <v>2160</v>
      </c>
      <c r="T739" s="13">
        <v>2160</v>
      </c>
      <c r="U739" s="13">
        <v>2160</v>
      </c>
      <c r="V739" s="13">
        <v>2160</v>
      </c>
      <c r="W739" s="13">
        <v>2160</v>
      </c>
      <c r="X739" s="13">
        <v>2160</v>
      </c>
      <c r="Y739" s="13">
        <v>2160</v>
      </c>
      <c r="Z739" s="13">
        <v>0</v>
      </c>
      <c r="AA739" s="13">
        <v>1080</v>
      </c>
      <c r="AB739" s="13">
        <v>2160</v>
      </c>
      <c r="AC739" s="13">
        <v>2160</v>
      </c>
      <c r="AD739" s="13">
        <v>1080</v>
      </c>
    </row>
    <row r="740" spans="1:30" ht="15.75" thickBot="1" x14ac:dyDescent="0.3">
      <c r="A740" s="9" t="s">
        <v>1643</v>
      </c>
      <c r="B740" s="9" t="s">
        <v>1648</v>
      </c>
      <c r="C740" s="45" t="str">
        <f t="shared" si="11"/>
        <v>M2DB X200B38 AC</v>
      </c>
      <c r="D740" s="10" t="s">
        <v>1651</v>
      </c>
      <c r="E740" s="10" t="s">
        <v>1652</v>
      </c>
      <c r="F740" s="9" t="s">
        <v>364</v>
      </c>
      <c r="G740" s="9" t="s">
        <v>924</v>
      </c>
      <c r="H740" s="11">
        <v>205.71420000000001</v>
      </c>
      <c r="I740" s="12">
        <v>1064</v>
      </c>
      <c r="J740" s="13">
        <v>16</v>
      </c>
      <c r="K740" s="13">
        <v>1440</v>
      </c>
      <c r="L740" s="13">
        <v>720</v>
      </c>
      <c r="M740" s="13">
        <v>900</v>
      </c>
      <c r="N740" s="13">
        <v>1080</v>
      </c>
      <c r="O740" s="13">
        <v>1260</v>
      </c>
      <c r="P740" s="13">
        <v>900</v>
      </c>
      <c r="Q740" s="13">
        <v>900</v>
      </c>
      <c r="R740" s="13">
        <v>1260</v>
      </c>
      <c r="S740" s="13">
        <v>1260</v>
      </c>
      <c r="T740" s="13">
        <v>1260</v>
      </c>
      <c r="U740" s="13">
        <v>900</v>
      </c>
      <c r="V740" s="13">
        <v>1135</v>
      </c>
      <c r="W740" s="13">
        <v>1260</v>
      </c>
      <c r="X740" s="13">
        <v>900</v>
      </c>
      <c r="Y740" s="13">
        <v>1440</v>
      </c>
      <c r="Z740" s="13">
        <v>0</v>
      </c>
      <c r="AA740" s="13">
        <v>360</v>
      </c>
      <c r="AB740" s="13">
        <v>1080</v>
      </c>
      <c r="AC740" s="13">
        <v>1440</v>
      </c>
      <c r="AD740" s="13">
        <v>720</v>
      </c>
    </row>
    <row r="741" spans="1:30" ht="15.75" thickBot="1" x14ac:dyDescent="0.3">
      <c r="A741" s="9" t="s">
        <v>1643</v>
      </c>
      <c r="B741" s="9" t="s">
        <v>1648</v>
      </c>
      <c r="C741" s="45" t="str">
        <f t="shared" si="11"/>
        <v>M2DB X200B39 AC</v>
      </c>
      <c r="D741" s="10" t="s">
        <v>1653</v>
      </c>
      <c r="E741" s="10" t="s">
        <v>1652</v>
      </c>
      <c r="F741" s="9" t="s">
        <v>364</v>
      </c>
      <c r="G741" s="9" t="s">
        <v>924</v>
      </c>
      <c r="H741" s="11">
        <v>205.71420000000001</v>
      </c>
      <c r="I741" s="12">
        <v>1081</v>
      </c>
      <c r="J741" s="13">
        <v>0</v>
      </c>
      <c r="K741" s="13">
        <v>1259</v>
      </c>
      <c r="L741" s="13">
        <v>720</v>
      </c>
      <c r="M741" s="13">
        <v>900</v>
      </c>
      <c r="N741" s="13">
        <v>1080</v>
      </c>
      <c r="O741" s="13">
        <v>1260</v>
      </c>
      <c r="P741" s="13">
        <v>900</v>
      </c>
      <c r="Q741" s="13">
        <v>900</v>
      </c>
      <c r="R741" s="13">
        <v>1260</v>
      </c>
      <c r="S741" s="13">
        <v>1260</v>
      </c>
      <c r="T741" s="13">
        <v>1260</v>
      </c>
      <c r="U741" s="13">
        <v>900</v>
      </c>
      <c r="V741" s="13">
        <v>1080</v>
      </c>
      <c r="W741" s="13">
        <v>1260</v>
      </c>
      <c r="X741" s="13">
        <v>900</v>
      </c>
      <c r="Y741" s="13">
        <v>1440</v>
      </c>
      <c r="Z741" s="13">
        <v>0</v>
      </c>
      <c r="AA741" s="13">
        <v>360</v>
      </c>
      <c r="AB741" s="13">
        <v>1080</v>
      </c>
      <c r="AC741" s="13">
        <v>1260</v>
      </c>
      <c r="AD741" s="13">
        <v>900</v>
      </c>
    </row>
    <row r="742" spans="1:30" ht="15.75" thickBot="1" x14ac:dyDescent="0.3">
      <c r="A742" s="9" t="s">
        <v>1643</v>
      </c>
      <c r="B742" s="9" t="s">
        <v>1654</v>
      </c>
      <c r="C742" s="45" t="str">
        <f t="shared" si="11"/>
        <v>ASYCS14A18OS</v>
      </c>
      <c r="D742" s="10" t="s">
        <v>1655</v>
      </c>
      <c r="E742" s="10" t="s">
        <v>1656</v>
      </c>
      <c r="F742" s="9" t="s">
        <v>364</v>
      </c>
      <c r="G742" s="9" t="s">
        <v>924</v>
      </c>
      <c r="H742" s="12">
        <v>102</v>
      </c>
      <c r="I742" s="12">
        <v>1377</v>
      </c>
      <c r="J742" s="13">
        <v>13720</v>
      </c>
      <c r="K742" s="13">
        <v>3432</v>
      </c>
      <c r="L742" s="13">
        <v>2772</v>
      </c>
      <c r="M742" s="13">
        <v>3168</v>
      </c>
      <c r="N742" s="13">
        <v>3843</v>
      </c>
      <c r="O742" s="13">
        <v>4488</v>
      </c>
      <c r="P742" s="13">
        <v>3564</v>
      </c>
      <c r="Q742" s="13">
        <v>2772</v>
      </c>
      <c r="R742" s="13">
        <v>3696</v>
      </c>
      <c r="S742" s="13">
        <v>3432</v>
      </c>
      <c r="T742" s="13">
        <v>3300</v>
      </c>
      <c r="U742" s="13">
        <v>3828</v>
      </c>
      <c r="V742" s="13">
        <v>807</v>
      </c>
      <c r="W742" s="13">
        <v>1056</v>
      </c>
      <c r="X742" s="13">
        <v>3432</v>
      </c>
      <c r="Y742" s="13">
        <v>3432</v>
      </c>
      <c r="Z742" s="13">
        <v>3300</v>
      </c>
      <c r="AA742" s="13">
        <v>3300</v>
      </c>
      <c r="AB742" s="13">
        <v>2772</v>
      </c>
      <c r="AC742" s="13">
        <v>3168</v>
      </c>
      <c r="AD742" s="13">
        <v>3828</v>
      </c>
    </row>
    <row r="743" spans="1:30" ht="15.75" thickBot="1" x14ac:dyDescent="0.3">
      <c r="A743" s="9" t="s">
        <v>1643</v>
      </c>
      <c r="B743" s="9" t="s">
        <v>1657</v>
      </c>
      <c r="C743" s="45" t="str">
        <f t="shared" si="11"/>
        <v>ASYHS111K34W20</v>
      </c>
      <c r="D743" s="10" t="s">
        <v>1658</v>
      </c>
      <c r="E743" s="10" t="s">
        <v>1659</v>
      </c>
      <c r="F743" s="9" t="s">
        <v>364</v>
      </c>
      <c r="G743" s="9" t="s">
        <v>924</v>
      </c>
      <c r="H743" s="11">
        <v>189.4736</v>
      </c>
      <c r="I743" s="12">
        <v>4018</v>
      </c>
      <c r="J743" s="13">
        <v>0</v>
      </c>
      <c r="K743" s="13">
        <v>0</v>
      </c>
      <c r="L743" s="13">
        <v>5072</v>
      </c>
      <c r="M743" s="13">
        <v>3662</v>
      </c>
      <c r="N743" s="13">
        <v>4049</v>
      </c>
      <c r="O743" s="13">
        <v>4939</v>
      </c>
      <c r="P743" s="13">
        <v>5225</v>
      </c>
      <c r="Q743" s="13">
        <v>3881</v>
      </c>
      <c r="R743" s="13">
        <v>3998</v>
      </c>
      <c r="S743" s="13">
        <v>5578</v>
      </c>
      <c r="T743" s="13">
        <v>5720</v>
      </c>
      <c r="U743" s="13">
        <v>5275</v>
      </c>
      <c r="V743" s="13">
        <v>3831</v>
      </c>
      <c r="W743" s="13">
        <v>5720</v>
      </c>
      <c r="X743" s="13">
        <v>5553</v>
      </c>
      <c r="Y743" s="13">
        <v>5871</v>
      </c>
      <c r="Z743" s="13">
        <v>6410</v>
      </c>
      <c r="AA743" s="13">
        <v>0</v>
      </c>
      <c r="AB743" s="13">
        <v>1126</v>
      </c>
      <c r="AC743" s="13">
        <v>5653</v>
      </c>
      <c r="AD743" s="13">
        <v>5653</v>
      </c>
    </row>
    <row r="744" spans="1:30" ht="15.75" thickBot="1" x14ac:dyDescent="0.3">
      <c r="A744" s="9" t="s">
        <v>1643</v>
      </c>
      <c r="B744" s="9" t="s">
        <v>1657</v>
      </c>
      <c r="C744" s="45" t="str">
        <f t="shared" si="11"/>
        <v>ASYHS111K35W20</v>
      </c>
      <c r="D744" s="10" t="s">
        <v>1660</v>
      </c>
      <c r="E744" s="10" t="s">
        <v>1661</v>
      </c>
      <c r="F744" s="9" t="s">
        <v>364</v>
      </c>
      <c r="G744" s="9" t="s">
        <v>924</v>
      </c>
      <c r="H744" s="11">
        <v>258.99279999999999</v>
      </c>
      <c r="I744" s="12">
        <v>3417</v>
      </c>
      <c r="J744" s="13">
        <v>0</v>
      </c>
      <c r="K744" s="13">
        <v>330</v>
      </c>
      <c r="L744" s="13">
        <v>5343</v>
      </c>
      <c r="M744" s="13">
        <v>3662</v>
      </c>
      <c r="N744" s="13">
        <v>4049</v>
      </c>
      <c r="O744" s="13">
        <v>4939</v>
      </c>
      <c r="P744" s="13">
        <v>5225</v>
      </c>
      <c r="Q744" s="13">
        <v>3881</v>
      </c>
      <c r="R744" s="13">
        <v>3998</v>
      </c>
      <c r="S744" s="13">
        <v>5578</v>
      </c>
      <c r="T744" s="13">
        <v>5720</v>
      </c>
      <c r="U744" s="13">
        <v>5275</v>
      </c>
      <c r="V744" s="13">
        <v>3831</v>
      </c>
      <c r="W744" s="13">
        <v>5720</v>
      </c>
      <c r="X744" s="13">
        <v>5553</v>
      </c>
      <c r="Y744" s="13">
        <v>5871</v>
      </c>
      <c r="Z744" s="13">
        <v>6410</v>
      </c>
      <c r="AA744" s="13">
        <v>0</v>
      </c>
      <c r="AB744" s="13">
        <v>1126</v>
      </c>
      <c r="AC744" s="13">
        <v>5653</v>
      </c>
      <c r="AD744" s="13">
        <v>5653</v>
      </c>
    </row>
    <row r="745" spans="1:30" ht="15.75" thickBot="1" x14ac:dyDescent="0.3">
      <c r="A745" s="9" t="s">
        <v>1643</v>
      </c>
      <c r="B745" s="9" t="s">
        <v>1657</v>
      </c>
      <c r="C745" s="45" t="str">
        <f t="shared" si="11"/>
        <v>ASYHS11714W16</v>
      </c>
      <c r="D745" s="10" t="s">
        <v>1662</v>
      </c>
      <c r="E745" s="10" t="s">
        <v>1663</v>
      </c>
      <c r="F745" s="9" t="s">
        <v>261</v>
      </c>
      <c r="G745" s="9" t="s">
        <v>924</v>
      </c>
      <c r="H745" s="12">
        <v>306</v>
      </c>
      <c r="I745" s="12">
        <v>5807</v>
      </c>
      <c r="J745" s="13">
        <v>0</v>
      </c>
      <c r="K745" s="13">
        <v>0</v>
      </c>
      <c r="L745" s="13">
        <v>0</v>
      </c>
      <c r="M745" s="13">
        <v>0</v>
      </c>
      <c r="N745" s="13">
        <v>0</v>
      </c>
      <c r="O745" s="13">
        <v>477</v>
      </c>
      <c r="P745" s="13">
        <v>1898</v>
      </c>
      <c r="Q745" s="13">
        <v>722</v>
      </c>
      <c r="R745" s="13">
        <v>1176</v>
      </c>
      <c r="S745" s="13">
        <v>996</v>
      </c>
      <c r="T745" s="13">
        <v>1617</v>
      </c>
      <c r="U745" s="13">
        <v>1478</v>
      </c>
      <c r="V745" s="13">
        <v>1197</v>
      </c>
      <c r="W745" s="13">
        <v>2201</v>
      </c>
      <c r="X745" s="13">
        <v>1798</v>
      </c>
      <c r="Y745" s="13">
        <v>1902</v>
      </c>
      <c r="Z745" s="13">
        <v>2503</v>
      </c>
      <c r="AA745" s="13">
        <v>0</v>
      </c>
      <c r="AB745" s="13">
        <v>467</v>
      </c>
      <c r="AC745" s="13">
        <v>2234</v>
      </c>
      <c r="AD745" s="13">
        <v>1865</v>
      </c>
    </row>
    <row r="746" spans="1:30" ht="15.75" thickBot="1" x14ac:dyDescent="0.3">
      <c r="A746" s="9" t="s">
        <v>1643</v>
      </c>
      <c r="B746" s="9" t="s">
        <v>1657</v>
      </c>
      <c r="C746" s="45" t="str">
        <f t="shared" si="11"/>
        <v>ASYHS11B04W2</v>
      </c>
      <c r="D746" s="10" t="s">
        <v>1664</v>
      </c>
      <c r="E746" s="10" t="s">
        <v>1665</v>
      </c>
      <c r="F746" s="9" t="s">
        <v>261</v>
      </c>
      <c r="G746" s="9" t="s">
        <v>924</v>
      </c>
      <c r="H746" s="12">
        <v>383</v>
      </c>
      <c r="I746" s="12">
        <v>5745</v>
      </c>
      <c r="J746" s="13">
        <v>0</v>
      </c>
      <c r="K746" s="13">
        <v>0</v>
      </c>
      <c r="L746" s="13">
        <v>0</v>
      </c>
      <c r="M746" s="13">
        <v>0</v>
      </c>
      <c r="N746" s="13">
        <v>0</v>
      </c>
      <c r="O746" s="13">
        <v>838</v>
      </c>
      <c r="P746" s="13">
        <v>1895</v>
      </c>
      <c r="Q746" s="13">
        <v>371</v>
      </c>
      <c r="R746" s="13">
        <v>1043</v>
      </c>
      <c r="S746" s="13">
        <v>1516</v>
      </c>
      <c r="T746" s="13">
        <v>1663</v>
      </c>
      <c r="U746" s="13">
        <v>1485</v>
      </c>
      <c r="V746" s="13">
        <v>1285</v>
      </c>
      <c r="W746" s="13">
        <v>2068</v>
      </c>
      <c r="X746" s="13">
        <v>1998</v>
      </c>
      <c r="Y746" s="13">
        <v>1991</v>
      </c>
      <c r="Z746" s="13">
        <v>2472</v>
      </c>
      <c r="AA746" s="13">
        <v>0</v>
      </c>
      <c r="AB746" s="13">
        <v>412</v>
      </c>
      <c r="AC746" s="13">
        <v>2063</v>
      </c>
      <c r="AD746" s="13">
        <v>2055</v>
      </c>
    </row>
    <row r="747" spans="1:30" ht="15.75" thickBot="1" x14ac:dyDescent="0.3">
      <c r="A747" s="9" t="s">
        <v>1643</v>
      </c>
      <c r="B747" s="9" t="s">
        <v>1657</v>
      </c>
      <c r="C747" s="45" t="str">
        <f t="shared" si="11"/>
        <v>ASYHS15K02W21</v>
      </c>
      <c r="D747" s="10" t="s">
        <v>1666</v>
      </c>
      <c r="E747" s="10" t="s">
        <v>1667</v>
      </c>
      <c r="F747" s="9" t="s">
        <v>261</v>
      </c>
      <c r="G747" s="9" t="s">
        <v>924</v>
      </c>
      <c r="H747" s="12">
        <v>450</v>
      </c>
      <c r="I747" s="12">
        <v>2798</v>
      </c>
      <c r="J747" s="13">
        <v>0</v>
      </c>
      <c r="K747" s="13">
        <v>0</v>
      </c>
      <c r="L747" s="13">
        <v>839</v>
      </c>
      <c r="M747" s="13">
        <v>1050</v>
      </c>
      <c r="N747" s="13">
        <v>1210</v>
      </c>
      <c r="O747" s="13">
        <v>1340</v>
      </c>
      <c r="P747" s="13">
        <v>980</v>
      </c>
      <c r="Q747" s="13">
        <v>1160</v>
      </c>
      <c r="R747" s="13">
        <v>1520</v>
      </c>
      <c r="S747" s="13">
        <v>1680</v>
      </c>
      <c r="T747" s="13">
        <v>1450</v>
      </c>
      <c r="U747" s="13">
        <v>1340</v>
      </c>
      <c r="V747" s="13">
        <v>2220</v>
      </c>
      <c r="W747" s="13">
        <v>2050</v>
      </c>
      <c r="X747" s="13">
        <v>2040</v>
      </c>
      <c r="Y747" s="13">
        <v>1720</v>
      </c>
      <c r="Z747" s="13">
        <v>0</v>
      </c>
      <c r="AA747" s="13">
        <v>920</v>
      </c>
      <c r="AB747" s="13">
        <v>2070</v>
      </c>
      <c r="AC747" s="13">
        <v>2020</v>
      </c>
      <c r="AD747" s="13">
        <v>1980</v>
      </c>
    </row>
    <row r="748" spans="1:30" ht="15.75" thickBot="1" x14ac:dyDescent="0.3">
      <c r="A748" s="9" t="s">
        <v>1643</v>
      </c>
      <c r="B748" s="9" t="s">
        <v>1657</v>
      </c>
      <c r="C748" s="45" t="str">
        <f t="shared" si="11"/>
        <v>ASYHS25A65W2</v>
      </c>
      <c r="D748" s="10" t="s">
        <v>1668</v>
      </c>
      <c r="E748" s="10" t="s">
        <v>1669</v>
      </c>
      <c r="F748" s="9" t="s">
        <v>261</v>
      </c>
      <c r="G748" s="9" t="s">
        <v>924</v>
      </c>
      <c r="H748" s="12">
        <v>340</v>
      </c>
      <c r="I748" s="12">
        <v>431</v>
      </c>
      <c r="J748" s="13">
        <v>0</v>
      </c>
      <c r="K748" s="13">
        <v>1114</v>
      </c>
      <c r="L748" s="13">
        <v>1391</v>
      </c>
      <c r="M748" s="13">
        <v>1021</v>
      </c>
      <c r="N748" s="13">
        <v>1108</v>
      </c>
      <c r="O748" s="13">
        <v>1518</v>
      </c>
      <c r="P748" s="13">
        <v>1895</v>
      </c>
      <c r="Q748" s="13">
        <v>371</v>
      </c>
      <c r="R748" s="13">
        <v>1043</v>
      </c>
      <c r="S748" s="13">
        <v>1516</v>
      </c>
      <c r="T748" s="13">
        <v>1663</v>
      </c>
      <c r="U748" s="13">
        <v>1485</v>
      </c>
      <c r="V748" s="13">
        <v>1285</v>
      </c>
      <c r="W748" s="13">
        <v>2068</v>
      </c>
      <c r="X748" s="13">
        <v>1998</v>
      </c>
      <c r="Y748" s="13">
        <v>1991</v>
      </c>
      <c r="Z748" s="13">
        <v>2472</v>
      </c>
      <c r="AA748" s="13">
        <v>0</v>
      </c>
      <c r="AB748" s="13">
        <v>412</v>
      </c>
      <c r="AC748" s="13">
        <v>2063</v>
      </c>
      <c r="AD748" s="13">
        <v>2055</v>
      </c>
    </row>
    <row r="749" spans="1:30" ht="15.75" thickBot="1" x14ac:dyDescent="0.3">
      <c r="A749" s="9" t="s">
        <v>1643</v>
      </c>
      <c r="B749" s="9" t="s">
        <v>1657</v>
      </c>
      <c r="C749" s="45" t="str">
        <f t="shared" si="11"/>
        <v>KB3B 16B144 AB</v>
      </c>
      <c r="D749" s="10" t="s">
        <v>1670</v>
      </c>
      <c r="E749" s="10" t="s">
        <v>1671</v>
      </c>
      <c r="F749" s="9" t="s">
        <v>494</v>
      </c>
      <c r="G749" s="9" t="s">
        <v>924</v>
      </c>
      <c r="H749" s="12">
        <v>60</v>
      </c>
      <c r="I749" s="8"/>
      <c r="J749" s="13">
        <v>0</v>
      </c>
      <c r="K749" s="13">
        <v>0</v>
      </c>
      <c r="L749" s="13">
        <v>0</v>
      </c>
      <c r="M749" s="13">
        <v>0</v>
      </c>
      <c r="N749" s="13">
        <v>0</v>
      </c>
      <c r="O749" s="13">
        <v>0</v>
      </c>
      <c r="P749" s="13">
        <v>0</v>
      </c>
      <c r="Q749" s="13">
        <v>0</v>
      </c>
      <c r="R749" s="13">
        <v>0</v>
      </c>
      <c r="S749" s="13">
        <v>0</v>
      </c>
      <c r="T749" s="13">
        <v>0</v>
      </c>
      <c r="U749" s="13">
        <v>0</v>
      </c>
      <c r="V749" s="13">
        <v>0</v>
      </c>
      <c r="W749" s="13">
        <v>0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13">
        <v>0</v>
      </c>
      <c r="AD749" s="13">
        <v>0</v>
      </c>
    </row>
    <row r="750" spans="1:30" ht="15.75" thickBot="1" x14ac:dyDescent="0.3">
      <c r="A750" s="9" t="s">
        <v>1643</v>
      </c>
      <c r="B750" s="9" t="s">
        <v>1672</v>
      </c>
      <c r="C750" s="45" t="str">
        <f t="shared" si="11"/>
        <v>ASYHS20777W14P703</v>
      </c>
      <c r="D750" s="10" t="s">
        <v>1673</v>
      </c>
      <c r="E750" s="10" t="s">
        <v>1674</v>
      </c>
      <c r="F750" s="9" t="s">
        <v>261</v>
      </c>
      <c r="G750" s="9" t="s">
        <v>924</v>
      </c>
      <c r="H750" s="11">
        <v>174.75720000000001</v>
      </c>
      <c r="I750" s="12">
        <v>1951</v>
      </c>
      <c r="J750" s="13">
        <v>0</v>
      </c>
      <c r="K750" s="13">
        <v>2466</v>
      </c>
      <c r="L750" s="13">
        <v>5389</v>
      </c>
      <c r="M750" s="13">
        <v>3661</v>
      </c>
      <c r="N750" s="13">
        <v>4096</v>
      </c>
      <c r="O750" s="13">
        <v>5074</v>
      </c>
      <c r="P750" s="13">
        <v>6929</v>
      </c>
      <c r="Q750" s="13">
        <v>1994</v>
      </c>
      <c r="R750" s="13">
        <v>3961</v>
      </c>
      <c r="S750" s="13">
        <v>5620</v>
      </c>
      <c r="T750" s="13">
        <v>5708</v>
      </c>
      <c r="U750" s="13">
        <v>5274</v>
      </c>
      <c r="V750" s="13">
        <v>3808</v>
      </c>
      <c r="W750" s="13">
        <v>5734</v>
      </c>
      <c r="X750" s="13">
        <v>5556</v>
      </c>
      <c r="Y750" s="13">
        <v>5627</v>
      </c>
      <c r="Z750" s="13">
        <v>6641</v>
      </c>
      <c r="AA750" s="13">
        <v>0</v>
      </c>
      <c r="AB750" s="13">
        <v>1133</v>
      </c>
      <c r="AC750" s="13">
        <v>5683</v>
      </c>
      <c r="AD750" s="13">
        <v>5652</v>
      </c>
    </row>
    <row r="751" spans="1:30" ht="15.75" thickBot="1" x14ac:dyDescent="0.3">
      <c r="A751" s="9" t="s">
        <v>1643</v>
      </c>
      <c r="B751" s="9" t="s">
        <v>1672</v>
      </c>
      <c r="C751" s="45" t="str">
        <f t="shared" si="11"/>
        <v>ASYHS24B02W21W22</v>
      </c>
      <c r="D751" s="10" t="s">
        <v>1675</v>
      </c>
      <c r="E751" s="10" t="s">
        <v>1676</v>
      </c>
      <c r="F751" s="9" t="s">
        <v>261</v>
      </c>
      <c r="G751" s="9" t="s">
        <v>924</v>
      </c>
      <c r="H751" s="12">
        <v>259</v>
      </c>
      <c r="I751" s="12">
        <v>1669</v>
      </c>
      <c r="J751" s="13">
        <v>0</v>
      </c>
      <c r="K751" s="13">
        <v>1063</v>
      </c>
      <c r="L751" s="13">
        <v>4690</v>
      </c>
      <c r="M751" s="13">
        <v>2050</v>
      </c>
      <c r="N751" s="13">
        <v>2410</v>
      </c>
      <c r="O751" s="13">
        <v>2670</v>
      </c>
      <c r="P751" s="13">
        <v>1960</v>
      </c>
      <c r="Q751" s="13">
        <v>2330</v>
      </c>
      <c r="R751" s="13">
        <v>3040</v>
      </c>
      <c r="S751" s="13">
        <v>3350</v>
      </c>
      <c r="T751" s="13">
        <v>2900</v>
      </c>
      <c r="U751" s="13">
        <v>2680</v>
      </c>
      <c r="V751" s="13">
        <v>4440</v>
      </c>
      <c r="W751" s="13">
        <v>4100</v>
      </c>
      <c r="X751" s="13">
        <v>4070</v>
      </c>
      <c r="Y751" s="13">
        <v>3440</v>
      </c>
      <c r="Z751" s="13">
        <v>0</v>
      </c>
      <c r="AA751" s="13">
        <v>1840</v>
      </c>
      <c r="AB751" s="13">
        <v>4140</v>
      </c>
      <c r="AC751" s="13">
        <v>4040</v>
      </c>
      <c r="AD751" s="13">
        <v>3960</v>
      </c>
    </row>
    <row r="752" spans="1:30" ht="15.75" thickBot="1" x14ac:dyDescent="0.3">
      <c r="A752" s="9" t="s">
        <v>1643</v>
      </c>
      <c r="B752" s="9" t="s">
        <v>1672</v>
      </c>
      <c r="C752" s="45" t="str">
        <f t="shared" si="11"/>
        <v>ASYHS30776W14P703</v>
      </c>
      <c r="D752" s="10" t="s">
        <v>1677</v>
      </c>
      <c r="E752" s="10" t="s">
        <v>1674</v>
      </c>
      <c r="F752" s="9" t="s">
        <v>261</v>
      </c>
      <c r="G752" s="9" t="s">
        <v>924</v>
      </c>
      <c r="H752" s="11">
        <v>174.75720000000001</v>
      </c>
      <c r="I752" s="12">
        <v>1223</v>
      </c>
      <c r="J752" s="13">
        <v>0</v>
      </c>
      <c r="K752" s="13">
        <v>3494</v>
      </c>
      <c r="L752" s="13">
        <v>5389</v>
      </c>
      <c r="M752" s="13">
        <v>3661</v>
      </c>
      <c r="N752" s="13">
        <v>4096</v>
      </c>
      <c r="O752" s="13">
        <v>5074</v>
      </c>
      <c r="P752" s="13">
        <v>6929</v>
      </c>
      <c r="Q752" s="13">
        <v>1994</v>
      </c>
      <c r="R752" s="13">
        <v>3961</v>
      </c>
      <c r="S752" s="13">
        <v>5620</v>
      </c>
      <c r="T752" s="13">
        <v>5708</v>
      </c>
      <c r="U752" s="13">
        <v>5274</v>
      </c>
      <c r="V752" s="13">
        <v>3808</v>
      </c>
      <c r="W752" s="13">
        <v>5734</v>
      </c>
      <c r="X752" s="13">
        <v>5556</v>
      </c>
      <c r="Y752" s="13">
        <v>5627</v>
      </c>
      <c r="Z752" s="13">
        <v>6641</v>
      </c>
      <c r="AA752" s="13">
        <v>0</v>
      </c>
      <c r="AB752" s="13">
        <v>1133</v>
      </c>
      <c r="AC752" s="13">
        <v>5683</v>
      </c>
      <c r="AD752" s="13">
        <v>5652</v>
      </c>
    </row>
    <row r="753" spans="1:30" ht="15.75" thickBot="1" x14ac:dyDescent="0.3">
      <c r="A753" s="9" t="s">
        <v>1643</v>
      </c>
      <c r="B753" s="9" t="s">
        <v>1678</v>
      </c>
      <c r="C753" s="45" t="str">
        <f t="shared" si="11"/>
        <v>ASYHS31212W9</v>
      </c>
      <c r="D753" s="10" t="s">
        <v>1679</v>
      </c>
      <c r="E753" s="10" t="s">
        <v>1680</v>
      </c>
      <c r="F753" s="9" t="s">
        <v>261</v>
      </c>
      <c r="G753" s="9" t="s">
        <v>924</v>
      </c>
      <c r="H753" s="11">
        <v>255.31909999999999</v>
      </c>
      <c r="I753" s="12">
        <v>1605</v>
      </c>
      <c r="J753" s="13">
        <v>0</v>
      </c>
      <c r="K753" s="13">
        <v>0</v>
      </c>
      <c r="L753" s="13">
        <v>1246</v>
      </c>
      <c r="M753" s="13">
        <v>988</v>
      </c>
      <c r="N753" s="13">
        <v>1144</v>
      </c>
      <c r="O753" s="13">
        <v>1364</v>
      </c>
      <c r="P753" s="13">
        <v>1432</v>
      </c>
      <c r="Q753" s="13">
        <v>988</v>
      </c>
      <c r="R753" s="13">
        <v>1048</v>
      </c>
      <c r="S753" s="13">
        <v>1500</v>
      </c>
      <c r="T753" s="13">
        <v>1580</v>
      </c>
      <c r="U753" s="13">
        <v>1484</v>
      </c>
      <c r="V753" s="13">
        <v>1292</v>
      </c>
      <c r="W753" s="13">
        <v>2064</v>
      </c>
      <c r="X753" s="13">
        <v>2004</v>
      </c>
      <c r="Y753" s="13">
        <v>1980</v>
      </c>
      <c r="Z753" s="13">
        <v>2480</v>
      </c>
      <c r="AA753" s="13">
        <v>0</v>
      </c>
      <c r="AB753" s="13">
        <v>408</v>
      </c>
      <c r="AC753" s="13">
        <v>2056</v>
      </c>
      <c r="AD753" s="13">
        <v>2076</v>
      </c>
    </row>
    <row r="754" spans="1:30" ht="15.75" thickBot="1" x14ac:dyDescent="0.3">
      <c r="A754" s="9" t="s">
        <v>1643</v>
      </c>
      <c r="B754" s="9" t="s">
        <v>1678</v>
      </c>
      <c r="C754" s="45" t="str">
        <f t="shared" si="11"/>
        <v>ASYHS31213W8</v>
      </c>
      <c r="D754" s="10" t="s">
        <v>1681</v>
      </c>
      <c r="E754" s="10" t="s">
        <v>1682</v>
      </c>
      <c r="F754" s="9" t="s">
        <v>261</v>
      </c>
      <c r="G754" s="9" t="s">
        <v>924</v>
      </c>
      <c r="H754" s="11">
        <v>255.31909999999999</v>
      </c>
      <c r="I754" s="12">
        <v>1573</v>
      </c>
      <c r="J754" s="13">
        <v>0</v>
      </c>
      <c r="K754" s="13">
        <v>0</v>
      </c>
      <c r="L754" s="13">
        <v>1042</v>
      </c>
      <c r="M754" s="13">
        <v>952</v>
      </c>
      <c r="N754" s="13">
        <v>1192</v>
      </c>
      <c r="O754" s="13">
        <v>1488</v>
      </c>
      <c r="P754" s="13">
        <v>1796</v>
      </c>
      <c r="Q754" s="13">
        <v>448</v>
      </c>
      <c r="R754" s="13">
        <v>1004</v>
      </c>
      <c r="S754" s="13">
        <v>1512</v>
      </c>
      <c r="T754" s="13">
        <v>1568</v>
      </c>
      <c r="U754" s="13">
        <v>1496</v>
      </c>
      <c r="V754" s="13">
        <v>1276</v>
      </c>
      <c r="W754" s="13">
        <v>2064</v>
      </c>
      <c r="X754" s="13">
        <v>2008</v>
      </c>
      <c r="Y754" s="13">
        <v>1992</v>
      </c>
      <c r="Z754" s="13">
        <v>2464</v>
      </c>
      <c r="AA754" s="13">
        <v>0</v>
      </c>
      <c r="AB754" s="13">
        <v>412</v>
      </c>
      <c r="AC754" s="13">
        <v>2068</v>
      </c>
      <c r="AD754" s="13">
        <v>2064</v>
      </c>
    </row>
    <row r="755" spans="1:30" ht="15.75" thickBot="1" x14ac:dyDescent="0.3">
      <c r="A755" s="9" t="s">
        <v>1643</v>
      </c>
      <c r="B755" s="9" t="s">
        <v>1678</v>
      </c>
      <c r="C755" s="45" t="str">
        <f t="shared" si="11"/>
        <v>ASYHS34A68W163</v>
      </c>
      <c r="D755" s="10" t="s">
        <v>1683</v>
      </c>
      <c r="E755" s="10" t="s">
        <v>1684</v>
      </c>
      <c r="F755" s="9" t="s">
        <v>261</v>
      </c>
      <c r="G755" s="9" t="s">
        <v>924</v>
      </c>
      <c r="H755" s="12">
        <v>145</v>
      </c>
      <c r="I755" s="12">
        <v>2174</v>
      </c>
      <c r="J755" s="13">
        <v>0</v>
      </c>
      <c r="K755" s="13">
        <v>0</v>
      </c>
      <c r="L755" s="13">
        <v>489</v>
      </c>
      <c r="M755" s="13">
        <v>1029</v>
      </c>
      <c r="N755" s="13">
        <v>1088</v>
      </c>
      <c r="O755" s="13">
        <v>1504</v>
      </c>
      <c r="P755" s="13">
        <v>1898</v>
      </c>
      <c r="Q755" s="13">
        <v>722</v>
      </c>
      <c r="R755" s="13">
        <v>1176</v>
      </c>
      <c r="S755" s="13">
        <v>996</v>
      </c>
      <c r="T755" s="13">
        <v>1617</v>
      </c>
      <c r="U755" s="13">
        <v>1478</v>
      </c>
      <c r="V755" s="13">
        <v>1197</v>
      </c>
      <c r="W755" s="13">
        <v>2201</v>
      </c>
      <c r="X755" s="13">
        <v>1798</v>
      </c>
      <c r="Y755" s="13">
        <v>1902</v>
      </c>
      <c r="Z755" s="13">
        <v>2503</v>
      </c>
      <c r="AA755" s="13">
        <v>0</v>
      </c>
      <c r="AB755" s="13">
        <v>467</v>
      </c>
      <c r="AC755" s="13">
        <v>2234</v>
      </c>
      <c r="AD755" s="13">
        <v>1865</v>
      </c>
    </row>
    <row r="756" spans="1:30" ht="15.75" thickBot="1" x14ac:dyDescent="0.3">
      <c r="A756" s="9" t="s">
        <v>1643</v>
      </c>
      <c r="B756" s="9" t="s">
        <v>1678</v>
      </c>
      <c r="C756" s="45" t="str">
        <f t="shared" si="11"/>
        <v>ASYHS3E41212W9</v>
      </c>
      <c r="D756" s="10" t="s">
        <v>1685</v>
      </c>
      <c r="E756" s="10" t="s">
        <v>1680</v>
      </c>
      <c r="F756" s="9" t="s">
        <v>261</v>
      </c>
      <c r="G756" s="9" t="s">
        <v>924</v>
      </c>
      <c r="H756" s="11">
        <v>255.31909999999999</v>
      </c>
      <c r="I756" s="8"/>
      <c r="J756" s="13">
        <v>0</v>
      </c>
      <c r="K756" s="13">
        <v>0</v>
      </c>
      <c r="L756" s="13">
        <v>0</v>
      </c>
      <c r="M756" s="13">
        <v>0</v>
      </c>
      <c r="N756" s="13">
        <v>0</v>
      </c>
      <c r="O756" s="13">
        <v>0</v>
      </c>
      <c r="P756" s="13">
        <v>0</v>
      </c>
      <c r="Q756" s="13">
        <v>0</v>
      </c>
      <c r="R756" s="13">
        <v>0</v>
      </c>
      <c r="S756" s="13">
        <v>22</v>
      </c>
      <c r="T756" s="13">
        <v>88</v>
      </c>
      <c r="U756" s="13">
        <v>0</v>
      </c>
      <c r="V756" s="13">
        <v>0</v>
      </c>
      <c r="W756" s="13">
        <v>0</v>
      </c>
      <c r="X756" s="13">
        <v>0</v>
      </c>
      <c r="Y756" s="13">
        <v>0</v>
      </c>
      <c r="Z756" s="13">
        <v>0</v>
      </c>
      <c r="AA756" s="13">
        <v>0</v>
      </c>
      <c r="AB756" s="13">
        <v>0</v>
      </c>
      <c r="AC756" s="13">
        <v>0</v>
      </c>
      <c r="AD756" s="13">
        <v>0</v>
      </c>
    </row>
    <row r="757" spans="1:30" ht="15.75" thickBot="1" x14ac:dyDescent="0.3">
      <c r="A757" s="9" t="s">
        <v>1643</v>
      </c>
      <c r="B757" s="9" t="s">
        <v>1678</v>
      </c>
      <c r="C757" s="45" t="str">
        <f t="shared" si="11"/>
        <v>ASYHS3E41213W8</v>
      </c>
      <c r="D757" s="10" t="s">
        <v>1686</v>
      </c>
      <c r="E757" s="10" t="s">
        <v>1682</v>
      </c>
      <c r="F757" s="9" t="s">
        <v>261</v>
      </c>
      <c r="G757" s="9" t="s">
        <v>924</v>
      </c>
      <c r="H757" s="11">
        <v>255.31909999999999</v>
      </c>
      <c r="I757" s="8"/>
      <c r="J757" s="13">
        <v>0</v>
      </c>
      <c r="K757" s="13">
        <v>0</v>
      </c>
      <c r="L757" s="13">
        <v>0</v>
      </c>
      <c r="M757" s="13">
        <v>0</v>
      </c>
      <c r="N757" s="13">
        <v>0</v>
      </c>
      <c r="O757" s="13">
        <v>0</v>
      </c>
      <c r="P757" s="13">
        <v>0</v>
      </c>
      <c r="Q757" s="13">
        <v>0</v>
      </c>
      <c r="R757" s="13">
        <v>0</v>
      </c>
      <c r="S757" s="13">
        <v>22</v>
      </c>
      <c r="T757" s="13">
        <v>88</v>
      </c>
      <c r="U757" s="13">
        <v>0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0</v>
      </c>
      <c r="AB757" s="13">
        <v>0</v>
      </c>
      <c r="AC757" s="13">
        <v>0</v>
      </c>
      <c r="AD757" s="13">
        <v>0</v>
      </c>
    </row>
    <row r="758" spans="1:30" ht="15.75" thickBot="1" x14ac:dyDescent="0.3">
      <c r="A758" s="9" t="s">
        <v>1643</v>
      </c>
      <c r="B758" s="9" t="s">
        <v>1678</v>
      </c>
      <c r="C758" s="45" t="str">
        <f t="shared" si="11"/>
        <v>ASYHS60B62W22</v>
      </c>
      <c r="D758" s="10" t="s">
        <v>1687</v>
      </c>
      <c r="E758" s="10" t="s">
        <v>1674</v>
      </c>
      <c r="F758" s="9" t="s">
        <v>261</v>
      </c>
      <c r="G758" s="9" t="s">
        <v>924</v>
      </c>
      <c r="H758" s="12">
        <v>145</v>
      </c>
      <c r="I758" s="12">
        <v>1437</v>
      </c>
      <c r="J758" s="13">
        <v>0</v>
      </c>
      <c r="K758" s="13">
        <v>18</v>
      </c>
      <c r="L758" s="13">
        <v>2330</v>
      </c>
      <c r="M758" s="13">
        <v>1000</v>
      </c>
      <c r="N758" s="13">
        <v>1200</v>
      </c>
      <c r="O758" s="13">
        <v>1330</v>
      </c>
      <c r="P758" s="13">
        <v>980</v>
      </c>
      <c r="Q758" s="13">
        <v>1170</v>
      </c>
      <c r="R758" s="13">
        <v>1520</v>
      </c>
      <c r="S758" s="13">
        <v>1670</v>
      </c>
      <c r="T758" s="13">
        <v>1450</v>
      </c>
      <c r="U758" s="13">
        <v>1340</v>
      </c>
      <c r="V758" s="13">
        <v>2220</v>
      </c>
      <c r="W758" s="13">
        <v>2050</v>
      </c>
      <c r="X758" s="13">
        <v>2030</v>
      </c>
      <c r="Y758" s="13">
        <v>1720</v>
      </c>
      <c r="Z758" s="13">
        <v>0</v>
      </c>
      <c r="AA758" s="13">
        <v>920</v>
      </c>
      <c r="AB758" s="13">
        <v>2070</v>
      </c>
      <c r="AC758" s="13">
        <v>2020</v>
      </c>
      <c r="AD758" s="13">
        <v>1980</v>
      </c>
    </row>
    <row r="759" spans="1:30" ht="15.75" thickBot="1" x14ac:dyDescent="0.3">
      <c r="A759" s="9" t="s">
        <v>1643</v>
      </c>
      <c r="B759" s="9" t="s">
        <v>1678</v>
      </c>
      <c r="C759" s="45" t="str">
        <f t="shared" si="11"/>
        <v>ASYHS60B63W21</v>
      </c>
      <c r="D759" s="10" t="s">
        <v>1688</v>
      </c>
      <c r="E759" s="10" t="s">
        <v>1689</v>
      </c>
      <c r="F759" s="9" t="s">
        <v>261</v>
      </c>
      <c r="G759" s="9" t="s">
        <v>924</v>
      </c>
      <c r="H759" s="12">
        <v>145</v>
      </c>
      <c r="I759" s="12">
        <v>2038</v>
      </c>
      <c r="J759" s="13">
        <v>0</v>
      </c>
      <c r="K759" s="13">
        <v>0</v>
      </c>
      <c r="L759" s="13">
        <v>1599</v>
      </c>
      <c r="M759" s="13">
        <v>1050</v>
      </c>
      <c r="N759" s="13">
        <v>1210</v>
      </c>
      <c r="O759" s="13">
        <v>1340</v>
      </c>
      <c r="P759" s="13">
        <v>980</v>
      </c>
      <c r="Q759" s="13">
        <v>1160</v>
      </c>
      <c r="R759" s="13">
        <v>1520</v>
      </c>
      <c r="S759" s="13">
        <v>1680</v>
      </c>
      <c r="T759" s="13">
        <v>1450</v>
      </c>
      <c r="U759" s="13">
        <v>1340</v>
      </c>
      <c r="V759" s="13">
        <v>2220</v>
      </c>
      <c r="W759" s="13">
        <v>2050</v>
      </c>
      <c r="X759" s="13">
        <v>2040</v>
      </c>
      <c r="Y759" s="13">
        <v>1720</v>
      </c>
      <c r="Z759" s="13">
        <v>0</v>
      </c>
      <c r="AA759" s="13">
        <v>920</v>
      </c>
      <c r="AB759" s="13">
        <v>2070</v>
      </c>
      <c r="AC759" s="13">
        <v>2020</v>
      </c>
      <c r="AD759" s="13">
        <v>1980</v>
      </c>
    </row>
    <row r="760" spans="1:30" ht="15.75" thickBot="1" x14ac:dyDescent="0.3">
      <c r="A760" s="9" t="s">
        <v>1643</v>
      </c>
      <c r="B760" s="9" t="s">
        <v>1678</v>
      </c>
      <c r="C760" s="45" t="str">
        <f t="shared" si="11"/>
        <v>ASYHS69A30W15P703</v>
      </c>
      <c r="D760" s="10" t="s">
        <v>1690</v>
      </c>
      <c r="E760" s="10" t="s">
        <v>1691</v>
      </c>
      <c r="F760" s="9" t="s">
        <v>261</v>
      </c>
      <c r="G760" s="9" t="s">
        <v>924</v>
      </c>
      <c r="H760" s="12">
        <v>159</v>
      </c>
      <c r="I760" s="12">
        <v>1099</v>
      </c>
      <c r="J760" s="13">
        <v>0</v>
      </c>
      <c r="K760" s="13">
        <v>0</v>
      </c>
      <c r="L760" s="13">
        <v>2381</v>
      </c>
      <c r="M760" s="13">
        <v>600</v>
      </c>
      <c r="N760" s="13">
        <v>1320</v>
      </c>
      <c r="O760" s="13">
        <v>1320</v>
      </c>
      <c r="P760" s="13">
        <v>960</v>
      </c>
      <c r="Q760" s="13">
        <v>1080</v>
      </c>
      <c r="R760" s="13">
        <v>1560</v>
      </c>
      <c r="S760" s="13">
        <v>1680</v>
      </c>
      <c r="T760" s="13">
        <v>1440</v>
      </c>
      <c r="U760" s="13">
        <v>1320</v>
      </c>
      <c r="V760" s="13">
        <v>2280</v>
      </c>
      <c r="W760" s="13">
        <v>2040</v>
      </c>
      <c r="X760" s="13">
        <v>2040</v>
      </c>
      <c r="Y760" s="13">
        <v>1680</v>
      </c>
      <c r="Z760" s="13">
        <v>0</v>
      </c>
      <c r="AA760" s="13">
        <v>960</v>
      </c>
      <c r="AB760" s="13">
        <v>2040</v>
      </c>
      <c r="AC760" s="13">
        <v>2040</v>
      </c>
      <c r="AD760" s="13">
        <v>1920</v>
      </c>
    </row>
    <row r="761" spans="1:30" ht="15.75" thickBot="1" x14ac:dyDescent="0.3">
      <c r="A761" s="9" t="s">
        <v>1643</v>
      </c>
      <c r="B761" s="9" t="s">
        <v>1678</v>
      </c>
      <c r="C761" s="45" t="str">
        <f t="shared" si="11"/>
        <v>ASYHS69A31W15P703</v>
      </c>
      <c r="D761" s="10" t="s">
        <v>1692</v>
      </c>
      <c r="E761" s="10" t="s">
        <v>1693</v>
      </c>
      <c r="F761" s="9" t="s">
        <v>261</v>
      </c>
      <c r="G761" s="9" t="s">
        <v>924</v>
      </c>
      <c r="H761" s="12">
        <v>159</v>
      </c>
      <c r="I761" s="12">
        <v>1275</v>
      </c>
      <c r="J761" s="13">
        <v>0</v>
      </c>
      <c r="K761" s="13">
        <v>0</v>
      </c>
      <c r="L761" s="13">
        <v>1485</v>
      </c>
      <c r="M761" s="13">
        <v>840</v>
      </c>
      <c r="N761" s="13">
        <v>1200</v>
      </c>
      <c r="O761" s="13">
        <v>1320</v>
      </c>
      <c r="P761" s="13">
        <v>960</v>
      </c>
      <c r="Q761" s="13">
        <v>1200</v>
      </c>
      <c r="R761" s="13">
        <v>1440</v>
      </c>
      <c r="S761" s="13">
        <v>1680</v>
      </c>
      <c r="T761" s="13">
        <v>1440</v>
      </c>
      <c r="U761" s="13">
        <v>1440</v>
      </c>
      <c r="V761" s="13">
        <v>2160</v>
      </c>
      <c r="W761" s="13">
        <v>2040</v>
      </c>
      <c r="X761" s="13">
        <v>2040</v>
      </c>
      <c r="Y761" s="13">
        <v>1800</v>
      </c>
      <c r="Z761" s="13">
        <v>0</v>
      </c>
      <c r="AA761" s="13">
        <v>840</v>
      </c>
      <c r="AB761" s="13">
        <v>2160</v>
      </c>
      <c r="AC761" s="13">
        <v>1920</v>
      </c>
      <c r="AD761" s="13">
        <v>2040</v>
      </c>
    </row>
    <row r="762" spans="1:30" ht="15.75" thickBot="1" x14ac:dyDescent="0.3">
      <c r="A762" s="9" t="s">
        <v>1643</v>
      </c>
      <c r="B762" s="9" t="s">
        <v>1694</v>
      </c>
      <c r="C762" s="45" t="str">
        <f t="shared" si="11"/>
        <v>ASYHS40522W21W22</v>
      </c>
      <c r="D762" s="10" t="s">
        <v>1695</v>
      </c>
      <c r="E762" s="10" t="s">
        <v>1696</v>
      </c>
      <c r="F762" s="9" t="s">
        <v>261</v>
      </c>
      <c r="G762" s="9" t="s">
        <v>924</v>
      </c>
      <c r="H762" s="11">
        <v>138.99610000000001</v>
      </c>
      <c r="I762" s="12">
        <v>1483</v>
      </c>
      <c r="J762" s="13">
        <v>0</v>
      </c>
      <c r="K762" s="13">
        <v>1249</v>
      </c>
      <c r="L762" s="13">
        <v>4690</v>
      </c>
      <c r="M762" s="13">
        <v>2050</v>
      </c>
      <c r="N762" s="13">
        <v>2410</v>
      </c>
      <c r="O762" s="13">
        <v>2670</v>
      </c>
      <c r="P762" s="13">
        <v>1960</v>
      </c>
      <c r="Q762" s="13">
        <v>2330</v>
      </c>
      <c r="R762" s="13">
        <v>3040</v>
      </c>
      <c r="S762" s="13">
        <v>3350</v>
      </c>
      <c r="T762" s="13">
        <v>2900</v>
      </c>
      <c r="U762" s="13">
        <v>2680</v>
      </c>
      <c r="V762" s="13">
        <v>4440</v>
      </c>
      <c r="W762" s="13">
        <v>4100</v>
      </c>
      <c r="X762" s="13">
        <v>4070</v>
      </c>
      <c r="Y762" s="13">
        <v>3440</v>
      </c>
      <c r="Z762" s="13">
        <v>0</v>
      </c>
      <c r="AA762" s="13">
        <v>1840</v>
      </c>
      <c r="AB762" s="13">
        <v>4140</v>
      </c>
      <c r="AC762" s="13">
        <v>4040</v>
      </c>
      <c r="AD762" s="13">
        <v>3960</v>
      </c>
    </row>
    <row r="763" spans="1:30" ht="15.75" thickBot="1" x14ac:dyDescent="0.3">
      <c r="A763" s="9" t="s">
        <v>1643</v>
      </c>
      <c r="B763" s="9" t="s">
        <v>1694</v>
      </c>
      <c r="C763" s="45" t="str">
        <f t="shared" si="11"/>
        <v>ASYHS40L76W22</v>
      </c>
      <c r="D763" s="10" t="s">
        <v>1697</v>
      </c>
      <c r="E763" s="10" t="s">
        <v>1698</v>
      </c>
      <c r="F763" s="9" t="s">
        <v>261</v>
      </c>
      <c r="G763" s="9" t="s">
        <v>924</v>
      </c>
      <c r="H763" s="11">
        <v>314.41039999999998</v>
      </c>
      <c r="I763" s="12">
        <v>3046</v>
      </c>
      <c r="J763" s="13">
        <v>0</v>
      </c>
      <c r="K763" s="13">
        <v>0</v>
      </c>
      <c r="L763" s="13">
        <v>739</v>
      </c>
      <c r="M763" s="13">
        <v>1000</v>
      </c>
      <c r="N763" s="13">
        <v>1200</v>
      </c>
      <c r="O763" s="13">
        <v>1330</v>
      </c>
      <c r="P763" s="13">
        <v>980</v>
      </c>
      <c r="Q763" s="13">
        <v>1170</v>
      </c>
      <c r="R763" s="13">
        <v>1520</v>
      </c>
      <c r="S763" s="13">
        <v>1670</v>
      </c>
      <c r="T763" s="13">
        <v>1450</v>
      </c>
      <c r="U763" s="13">
        <v>1340</v>
      </c>
      <c r="V763" s="13">
        <v>2220</v>
      </c>
      <c r="W763" s="13">
        <v>2050</v>
      </c>
      <c r="X763" s="13">
        <v>2030</v>
      </c>
      <c r="Y763" s="13">
        <v>1720</v>
      </c>
      <c r="Z763" s="13">
        <v>0</v>
      </c>
      <c r="AA763" s="13">
        <v>920</v>
      </c>
      <c r="AB763" s="13">
        <v>2070</v>
      </c>
      <c r="AC763" s="13">
        <v>2020</v>
      </c>
      <c r="AD763" s="13">
        <v>1980</v>
      </c>
    </row>
    <row r="764" spans="1:30" ht="15.75" thickBot="1" x14ac:dyDescent="0.3">
      <c r="A764" s="9" t="s">
        <v>1643</v>
      </c>
      <c r="B764" s="9" t="s">
        <v>1694</v>
      </c>
      <c r="C764" s="45" t="str">
        <f t="shared" si="11"/>
        <v>ASYHS40L77W21</v>
      </c>
      <c r="D764" s="10" t="s">
        <v>1699</v>
      </c>
      <c r="E764" s="10" t="s">
        <v>1698</v>
      </c>
      <c r="F764" s="9" t="s">
        <v>261</v>
      </c>
      <c r="G764" s="9" t="s">
        <v>924</v>
      </c>
      <c r="H764" s="11">
        <v>314.41039999999998</v>
      </c>
      <c r="I764" s="12">
        <v>2072</v>
      </c>
      <c r="J764" s="13">
        <v>0</v>
      </c>
      <c r="K764" s="13">
        <v>0</v>
      </c>
      <c r="L764" s="13">
        <v>1565</v>
      </c>
      <c r="M764" s="13">
        <v>1050</v>
      </c>
      <c r="N764" s="13">
        <v>1210</v>
      </c>
      <c r="O764" s="13">
        <v>1340</v>
      </c>
      <c r="P764" s="13">
        <v>980</v>
      </c>
      <c r="Q764" s="13">
        <v>1160</v>
      </c>
      <c r="R764" s="13">
        <v>1520</v>
      </c>
      <c r="S764" s="13">
        <v>1680</v>
      </c>
      <c r="T764" s="13">
        <v>1450</v>
      </c>
      <c r="U764" s="13">
        <v>1340</v>
      </c>
      <c r="V764" s="13">
        <v>2220</v>
      </c>
      <c r="W764" s="13">
        <v>2050</v>
      </c>
      <c r="X764" s="13">
        <v>2040</v>
      </c>
      <c r="Y764" s="13">
        <v>1720</v>
      </c>
      <c r="Z764" s="13">
        <v>0</v>
      </c>
      <c r="AA764" s="13">
        <v>920</v>
      </c>
      <c r="AB764" s="13">
        <v>2070</v>
      </c>
      <c r="AC764" s="13">
        <v>2020</v>
      </c>
      <c r="AD764" s="13">
        <v>1980</v>
      </c>
    </row>
    <row r="765" spans="1:30" ht="15.75" thickBot="1" x14ac:dyDescent="0.3">
      <c r="A765" s="9" t="s">
        <v>1643</v>
      </c>
      <c r="B765" s="9" t="s">
        <v>1694</v>
      </c>
      <c r="C765" s="45" t="str">
        <f t="shared" si="11"/>
        <v>ASYHS46386W16</v>
      </c>
      <c r="D765" s="10" t="s">
        <v>1700</v>
      </c>
      <c r="E765" s="10" t="s">
        <v>1701</v>
      </c>
      <c r="F765" s="9" t="s">
        <v>261</v>
      </c>
      <c r="G765" s="9" t="s">
        <v>924</v>
      </c>
      <c r="H765" s="12">
        <v>360</v>
      </c>
      <c r="I765" s="12">
        <v>2449</v>
      </c>
      <c r="J765" s="13">
        <v>0</v>
      </c>
      <c r="K765" s="13">
        <v>0</v>
      </c>
      <c r="L765" s="13">
        <v>1085</v>
      </c>
      <c r="M765" s="13">
        <v>1000</v>
      </c>
      <c r="N765" s="13">
        <v>1200</v>
      </c>
      <c r="O765" s="13">
        <v>1330</v>
      </c>
      <c r="P765" s="13">
        <v>980</v>
      </c>
      <c r="Q765" s="13">
        <v>1170</v>
      </c>
      <c r="R765" s="13">
        <v>1520</v>
      </c>
      <c r="S765" s="13">
        <v>1670</v>
      </c>
      <c r="T765" s="13">
        <v>1450</v>
      </c>
      <c r="U765" s="13">
        <v>1340</v>
      </c>
      <c r="V765" s="13">
        <v>2220</v>
      </c>
      <c r="W765" s="13">
        <v>2050</v>
      </c>
      <c r="X765" s="13">
        <v>2030</v>
      </c>
      <c r="Y765" s="13">
        <v>1720</v>
      </c>
      <c r="Z765" s="13">
        <v>0</v>
      </c>
      <c r="AA765" s="13">
        <v>920</v>
      </c>
      <c r="AB765" s="13">
        <v>2070</v>
      </c>
      <c r="AC765" s="13">
        <v>2020</v>
      </c>
      <c r="AD765" s="13">
        <v>1980</v>
      </c>
    </row>
    <row r="766" spans="1:30" ht="15.75" thickBot="1" x14ac:dyDescent="0.3">
      <c r="A766" s="9" t="s">
        <v>1643</v>
      </c>
      <c r="B766" s="9" t="s">
        <v>1694</v>
      </c>
      <c r="C766" s="45" t="str">
        <f t="shared" si="11"/>
        <v>ASYHS46387W16</v>
      </c>
      <c r="D766" s="10" t="s">
        <v>1702</v>
      </c>
      <c r="E766" s="10" t="s">
        <v>1703</v>
      </c>
      <c r="F766" s="9" t="s">
        <v>261</v>
      </c>
      <c r="G766" s="9" t="s">
        <v>924</v>
      </c>
      <c r="H766" s="12">
        <v>360</v>
      </c>
      <c r="I766" s="12">
        <v>2593</v>
      </c>
      <c r="J766" s="13">
        <v>0</v>
      </c>
      <c r="K766" s="13">
        <v>0</v>
      </c>
      <c r="L766" s="13">
        <v>541</v>
      </c>
      <c r="M766" s="13">
        <v>1050</v>
      </c>
      <c r="N766" s="13">
        <v>1210</v>
      </c>
      <c r="O766" s="13">
        <v>1340</v>
      </c>
      <c r="P766" s="13">
        <v>980</v>
      </c>
      <c r="Q766" s="13">
        <v>1160</v>
      </c>
      <c r="R766" s="13">
        <v>1520</v>
      </c>
      <c r="S766" s="13">
        <v>1680</v>
      </c>
      <c r="T766" s="13">
        <v>1450</v>
      </c>
      <c r="U766" s="13">
        <v>1340</v>
      </c>
      <c r="V766" s="13">
        <v>2220</v>
      </c>
      <c r="W766" s="13">
        <v>2050</v>
      </c>
      <c r="X766" s="13">
        <v>2040</v>
      </c>
      <c r="Y766" s="13">
        <v>1720</v>
      </c>
      <c r="Z766" s="13">
        <v>0</v>
      </c>
      <c r="AA766" s="13">
        <v>920</v>
      </c>
      <c r="AB766" s="13">
        <v>2070</v>
      </c>
      <c r="AC766" s="13">
        <v>2020</v>
      </c>
      <c r="AD766" s="13">
        <v>1980</v>
      </c>
    </row>
    <row r="767" spans="1:30" ht="15.75" thickBot="1" x14ac:dyDescent="0.3">
      <c r="A767" s="9" t="s">
        <v>1643</v>
      </c>
      <c r="B767" s="9" t="s">
        <v>1694</v>
      </c>
      <c r="C767" s="45" t="str">
        <f t="shared" si="11"/>
        <v>ASYHS49D58W16</v>
      </c>
      <c r="D767" s="10" t="s">
        <v>1704</v>
      </c>
      <c r="E767" s="10" t="s">
        <v>1705</v>
      </c>
      <c r="F767" s="9" t="s">
        <v>261</v>
      </c>
      <c r="G767" s="9" t="s">
        <v>924</v>
      </c>
      <c r="H767" s="11">
        <v>158.59030000000001</v>
      </c>
      <c r="I767" s="12">
        <v>2515</v>
      </c>
      <c r="J767" s="13">
        <v>0</v>
      </c>
      <c r="K767" s="13">
        <v>0</v>
      </c>
      <c r="L767" s="13">
        <v>1019</v>
      </c>
      <c r="M767" s="13">
        <v>1000</v>
      </c>
      <c r="N767" s="13">
        <v>1200</v>
      </c>
      <c r="O767" s="13">
        <v>1330</v>
      </c>
      <c r="P767" s="13">
        <v>980</v>
      </c>
      <c r="Q767" s="13">
        <v>1170</v>
      </c>
      <c r="R767" s="13">
        <v>1520</v>
      </c>
      <c r="S767" s="13">
        <v>1670</v>
      </c>
      <c r="T767" s="13">
        <v>1450</v>
      </c>
      <c r="U767" s="13">
        <v>1340</v>
      </c>
      <c r="V767" s="13">
        <v>2220</v>
      </c>
      <c r="W767" s="13">
        <v>2050</v>
      </c>
      <c r="X767" s="13">
        <v>2030</v>
      </c>
      <c r="Y767" s="13">
        <v>1720</v>
      </c>
      <c r="Z767" s="13">
        <v>0</v>
      </c>
      <c r="AA767" s="13">
        <v>920</v>
      </c>
      <c r="AB767" s="13">
        <v>2070</v>
      </c>
      <c r="AC767" s="13">
        <v>2020</v>
      </c>
      <c r="AD767" s="13">
        <v>1980</v>
      </c>
    </row>
    <row r="768" spans="1:30" ht="15.75" thickBot="1" x14ac:dyDescent="0.3">
      <c r="A768" s="9" t="s">
        <v>1643</v>
      </c>
      <c r="B768" s="9" t="s">
        <v>1694</v>
      </c>
      <c r="C768" s="45" t="str">
        <f t="shared" si="11"/>
        <v>ASYHS49D59W16</v>
      </c>
      <c r="D768" s="10" t="s">
        <v>1706</v>
      </c>
      <c r="E768" s="10" t="s">
        <v>1707</v>
      </c>
      <c r="F768" s="9" t="s">
        <v>261</v>
      </c>
      <c r="G768" s="9" t="s">
        <v>924</v>
      </c>
      <c r="H768" s="11">
        <v>158.59030000000001</v>
      </c>
      <c r="I768" s="12">
        <v>1142</v>
      </c>
      <c r="J768" s="13">
        <v>0</v>
      </c>
      <c r="K768" s="13">
        <v>0</v>
      </c>
      <c r="L768" s="13">
        <v>1492</v>
      </c>
      <c r="M768" s="13">
        <v>1050</v>
      </c>
      <c r="N768" s="13">
        <v>1210</v>
      </c>
      <c r="O768" s="13">
        <v>1340</v>
      </c>
      <c r="P768" s="13">
        <v>980</v>
      </c>
      <c r="Q768" s="13">
        <v>1160</v>
      </c>
      <c r="R768" s="13">
        <v>1520</v>
      </c>
      <c r="S768" s="13">
        <v>1680</v>
      </c>
      <c r="T768" s="13">
        <v>1450</v>
      </c>
      <c r="U768" s="13">
        <v>1340</v>
      </c>
      <c r="V768" s="13">
        <v>2220</v>
      </c>
      <c r="W768" s="13">
        <v>2050</v>
      </c>
      <c r="X768" s="13">
        <v>2040</v>
      </c>
      <c r="Y768" s="13">
        <v>1720</v>
      </c>
      <c r="Z768" s="13">
        <v>0</v>
      </c>
      <c r="AA768" s="13">
        <v>920</v>
      </c>
      <c r="AB768" s="13">
        <v>2070</v>
      </c>
      <c r="AC768" s="13">
        <v>2020</v>
      </c>
      <c r="AD768" s="13">
        <v>1980</v>
      </c>
    </row>
    <row r="769" spans="1:30" ht="15.75" thickBot="1" x14ac:dyDescent="0.3">
      <c r="A769" s="9" t="s">
        <v>1643</v>
      </c>
      <c r="B769" s="9" t="s">
        <v>1708</v>
      </c>
      <c r="C769" s="45" t="str">
        <f t="shared" si="11"/>
        <v>ASYHS52C04W16P703</v>
      </c>
      <c r="D769" s="10" t="s">
        <v>1709</v>
      </c>
      <c r="E769" s="10" t="s">
        <v>1710</v>
      </c>
      <c r="F769" s="9" t="s">
        <v>261</v>
      </c>
      <c r="G769" s="9" t="s">
        <v>924</v>
      </c>
      <c r="H769" s="11">
        <v>514.28570000000002</v>
      </c>
      <c r="I769" s="12">
        <v>5877</v>
      </c>
      <c r="J769" s="13">
        <v>0</v>
      </c>
      <c r="K769" s="13">
        <v>0</v>
      </c>
      <c r="L769" s="13">
        <v>4306</v>
      </c>
      <c r="M769" s="13">
        <v>3796</v>
      </c>
      <c r="N769" s="13">
        <v>4056</v>
      </c>
      <c r="O769" s="13">
        <v>4836</v>
      </c>
      <c r="P769" s="13">
        <v>5174</v>
      </c>
      <c r="Q769" s="13">
        <v>3926</v>
      </c>
      <c r="R769" s="13">
        <v>3926</v>
      </c>
      <c r="S769" s="13">
        <v>5616</v>
      </c>
      <c r="T769" s="13">
        <v>5720</v>
      </c>
      <c r="U769" s="13">
        <v>5252</v>
      </c>
      <c r="V769" s="13">
        <v>3848</v>
      </c>
      <c r="W769" s="13">
        <v>5720</v>
      </c>
      <c r="X769" s="13">
        <v>5538</v>
      </c>
      <c r="Y769" s="13">
        <v>5538</v>
      </c>
      <c r="Z769" s="13">
        <v>6760</v>
      </c>
      <c r="AA769" s="13">
        <v>0</v>
      </c>
      <c r="AB769" s="13">
        <v>1118</v>
      </c>
      <c r="AC769" s="13">
        <v>5642</v>
      </c>
      <c r="AD769" s="13">
        <v>5720</v>
      </c>
    </row>
    <row r="770" spans="1:30" ht="15.75" thickBot="1" x14ac:dyDescent="0.3">
      <c r="A770" s="9" t="s">
        <v>1643</v>
      </c>
      <c r="B770" s="9" t="s">
        <v>1708</v>
      </c>
      <c r="C770" s="45" t="str">
        <f t="shared" si="11"/>
        <v>ASYHS52C05W16P703</v>
      </c>
      <c r="D770" s="10" t="s">
        <v>1711</v>
      </c>
      <c r="E770" s="10" t="s">
        <v>1712</v>
      </c>
      <c r="F770" s="9" t="s">
        <v>261</v>
      </c>
      <c r="G770" s="9" t="s">
        <v>924</v>
      </c>
      <c r="H770" s="11">
        <v>514.28570000000002</v>
      </c>
      <c r="I770" s="12">
        <v>2974</v>
      </c>
      <c r="J770" s="13">
        <v>0</v>
      </c>
      <c r="K770" s="13">
        <v>1445</v>
      </c>
      <c r="L770" s="13">
        <v>5382</v>
      </c>
      <c r="M770" s="13">
        <v>3588</v>
      </c>
      <c r="N770" s="13">
        <v>4056</v>
      </c>
      <c r="O770" s="13">
        <v>4914</v>
      </c>
      <c r="P770" s="13">
        <v>5434</v>
      </c>
      <c r="Q770" s="13">
        <v>3718</v>
      </c>
      <c r="R770" s="13">
        <v>3926</v>
      </c>
      <c r="S770" s="13">
        <v>5616</v>
      </c>
      <c r="T770" s="13">
        <v>5746</v>
      </c>
      <c r="U770" s="13">
        <v>5330</v>
      </c>
      <c r="V770" s="13">
        <v>3744</v>
      </c>
      <c r="W770" s="13">
        <v>5720</v>
      </c>
      <c r="X770" s="13">
        <v>5538</v>
      </c>
      <c r="Y770" s="13">
        <v>5538</v>
      </c>
      <c r="Z770" s="13">
        <v>6760</v>
      </c>
      <c r="AA770" s="13">
        <v>0</v>
      </c>
      <c r="AB770" s="13">
        <v>1144</v>
      </c>
      <c r="AC770" s="13">
        <v>5720</v>
      </c>
      <c r="AD770" s="13">
        <v>5616</v>
      </c>
    </row>
    <row r="771" spans="1:30" ht="15.75" thickBot="1" x14ac:dyDescent="0.3">
      <c r="A771" s="9" t="s">
        <v>1643</v>
      </c>
      <c r="B771" s="9" t="s">
        <v>1708</v>
      </c>
      <c r="C771" s="45" t="str">
        <f t="shared" si="11"/>
        <v>ASYHS52K76W16P703</v>
      </c>
      <c r="D771" s="10" t="s">
        <v>1713</v>
      </c>
      <c r="E771" s="10" t="s">
        <v>1714</v>
      </c>
      <c r="F771" s="9" t="s">
        <v>261</v>
      </c>
      <c r="G771" s="9" t="s">
        <v>924</v>
      </c>
      <c r="H771" s="11">
        <v>514.28570000000002</v>
      </c>
      <c r="I771" s="12">
        <v>1979</v>
      </c>
      <c r="J771" s="13">
        <v>0</v>
      </c>
      <c r="K771" s="13">
        <v>2770</v>
      </c>
      <c r="L771" s="13">
        <v>5434</v>
      </c>
      <c r="M771" s="13">
        <v>3796</v>
      </c>
      <c r="N771" s="13">
        <v>4056</v>
      </c>
      <c r="O771" s="13">
        <v>4836</v>
      </c>
      <c r="P771" s="13">
        <v>5174</v>
      </c>
      <c r="Q771" s="13">
        <v>3926</v>
      </c>
      <c r="R771" s="13">
        <v>3926</v>
      </c>
      <c r="S771" s="13">
        <v>5616</v>
      </c>
      <c r="T771" s="13">
        <v>5720</v>
      </c>
      <c r="U771" s="13">
        <v>5252</v>
      </c>
      <c r="V771" s="13">
        <v>3848</v>
      </c>
      <c r="W771" s="13">
        <v>5720</v>
      </c>
      <c r="X771" s="13">
        <v>5538</v>
      </c>
      <c r="Y771" s="13">
        <v>5538</v>
      </c>
      <c r="Z771" s="13">
        <v>6760</v>
      </c>
      <c r="AA771" s="13">
        <v>0</v>
      </c>
      <c r="AB771" s="13">
        <v>1118</v>
      </c>
      <c r="AC771" s="13">
        <v>5642</v>
      </c>
      <c r="AD771" s="13">
        <v>5720</v>
      </c>
    </row>
    <row r="772" spans="1:30" ht="15.75" thickBot="1" x14ac:dyDescent="0.3">
      <c r="A772" s="9" t="s">
        <v>1643</v>
      </c>
      <c r="B772" s="9" t="s">
        <v>1708</v>
      </c>
      <c r="C772" s="45" t="str">
        <f t="shared" si="11"/>
        <v>ASYHS52K77W16P703</v>
      </c>
      <c r="D772" s="10" t="s">
        <v>1715</v>
      </c>
      <c r="E772" s="10" t="s">
        <v>1716</v>
      </c>
      <c r="F772" s="9" t="s">
        <v>261</v>
      </c>
      <c r="G772" s="9" t="s">
        <v>924</v>
      </c>
      <c r="H772" s="11">
        <v>514.28570000000002</v>
      </c>
      <c r="I772" s="12">
        <v>1313</v>
      </c>
      <c r="J772" s="13">
        <v>0</v>
      </c>
      <c r="K772" s="13">
        <v>3106</v>
      </c>
      <c r="L772" s="13">
        <v>5382</v>
      </c>
      <c r="M772" s="13">
        <v>3588</v>
      </c>
      <c r="N772" s="13">
        <v>4056</v>
      </c>
      <c r="O772" s="13">
        <v>4914</v>
      </c>
      <c r="P772" s="13">
        <v>5434</v>
      </c>
      <c r="Q772" s="13">
        <v>3718</v>
      </c>
      <c r="R772" s="13">
        <v>3926</v>
      </c>
      <c r="S772" s="13">
        <v>5616</v>
      </c>
      <c r="T772" s="13">
        <v>5746</v>
      </c>
      <c r="U772" s="13">
        <v>5330</v>
      </c>
      <c r="V772" s="13">
        <v>3744</v>
      </c>
      <c r="W772" s="13">
        <v>5720</v>
      </c>
      <c r="X772" s="13">
        <v>5538</v>
      </c>
      <c r="Y772" s="13">
        <v>5538</v>
      </c>
      <c r="Z772" s="13">
        <v>6760</v>
      </c>
      <c r="AA772" s="13">
        <v>0</v>
      </c>
      <c r="AB772" s="13">
        <v>1144</v>
      </c>
      <c r="AC772" s="13">
        <v>5720</v>
      </c>
      <c r="AD772" s="13">
        <v>5616</v>
      </c>
    </row>
    <row r="773" spans="1:30" ht="15.75" thickBot="1" x14ac:dyDescent="0.3">
      <c r="A773" s="9" t="s">
        <v>1643</v>
      </c>
      <c r="B773" s="9" t="s">
        <v>1717</v>
      </c>
      <c r="C773" s="45" t="str">
        <f t="shared" si="11"/>
        <v>ASYHS54366W16</v>
      </c>
      <c r="D773" s="10" t="s">
        <v>1718</v>
      </c>
      <c r="E773" s="10" t="s">
        <v>1719</v>
      </c>
      <c r="F773" s="9" t="s">
        <v>261</v>
      </c>
      <c r="G773" s="9" t="s">
        <v>924</v>
      </c>
      <c r="H773" s="12">
        <v>259</v>
      </c>
      <c r="I773" s="12">
        <v>2060</v>
      </c>
      <c r="J773" s="13">
        <v>0</v>
      </c>
      <c r="K773" s="13">
        <v>0</v>
      </c>
      <c r="L773" s="13">
        <v>603</v>
      </c>
      <c r="M773" s="13">
        <v>1029</v>
      </c>
      <c r="N773" s="13">
        <v>1088</v>
      </c>
      <c r="O773" s="13">
        <v>1504</v>
      </c>
      <c r="P773" s="13">
        <v>1898</v>
      </c>
      <c r="Q773" s="13">
        <v>722</v>
      </c>
      <c r="R773" s="13">
        <v>1176</v>
      </c>
      <c r="S773" s="13">
        <v>996</v>
      </c>
      <c r="T773" s="13">
        <v>1617</v>
      </c>
      <c r="U773" s="13">
        <v>1478</v>
      </c>
      <c r="V773" s="13">
        <v>1197</v>
      </c>
      <c r="W773" s="13">
        <v>2201</v>
      </c>
      <c r="X773" s="13">
        <v>1798</v>
      </c>
      <c r="Y773" s="13">
        <v>1902</v>
      </c>
      <c r="Z773" s="13">
        <v>2503</v>
      </c>
      <c r="AA773" s="13">
        <v>0</v>
      </c>
      <c r="AB773" s="13">
        <v>467</v>
      </c>
      <c r="AC773" s="13">
        <v>2234</v>
      </c>
      <c r="AD773" s="13">
        <v>1865</v>
      </c>
    </row>
    <row r="774" spans="1:30" ht="15.75" thickBot="1" x14ac:dyDescent="0.3">
      <c r="A774" s="9" t="s">
        <v>1643</v>
      </c>
      <c r="B774" s="9" t="s">
        <v>1717</v>
      </c>
      <c r="C774" s="45" t="str">
        <f t="shared" ref="C774:C837" si="12">TRIM(D774)</f>
        <v>ASYHS54367W16</v>
      </c>
      <c r="D774" s="10" t="s">
        <v>1720</v>
      </c>
      <c r="E774" s="10" t="s">
        <v>1719</v>
      </c>
      <c r="F774" s="9" t="s">
        <v>261</v>
      </c>
      <c r="G774" s="9" t="s">
        <v>924</v>
      </c>
      <c r="H774" s="12">
        <v>259</v>
      </c>
      <c r="I774" s="12">
        <v>3402</v>
      </c>
      <c r="J774" s="13">
        <v>0</v>
      </c>
      <c r="K774" s="13">
        <v>0</v>
      </c>
      <c r="L774" s="13">
        <v>0</v>
      </c>
      <c r="M774" s="13">
        <v>6</v>
      </c>
      <c r="N774" s="13">
        <v>1069</v>
      </c>
      <c r="O774" s="13">
        <v>1663</v>
      </c>
      <c r="P774" s="13">
        <v>2149</v>
      </c>
      <c r="Q774" s="13">
        <v>648</v>
      </c>
      <c r="R774" s="13">
        <v>303</v>
      </c>
      <c r="S774" s="13">
        <v>1512</v>
      </c>
      <c r="T774" s="13">
        <v>1517</v>
      </c>
      <c r="U774" s="13">
        <v>1469</v>
      </c>
      <c r="V774" s="13">
        <v>1355</v>
      </c>
      <c r="W774" s="13">
        <v>2036</v>
      </c>
      <c r="X774" s="13">
        <v>1993</v>
      </c>
      <c r="Y774" s="13">
        <v>1965</v>
      </c>
      <c r="Z774" s="13">
        <v>2592</v>
      </c>
      <c r="AA774" s="13">
        <v>0</v>
      </c>
      <c r="AB774" s="13">
        <v>405</v>
      </c>
      <c r="AC774" s="13">
        <v>2025</v>
      </c>
      <c r="AD774" s="13">
        <v>2009</v>
      </c>
    </row>
    <row r="775" spans="1:30" ht="15.75" thickBot="1" x14ac:dyDescent="0.3">
      <c r="A775" s="9" t="s">
        <v>1643</v>
      </c>
      <c r="B775" s="9" t="s">
        <v>1717</v>
      </c>
      <c r="C775" s="45" t="str">
        <f t="shared" si="12"/>
        <v>ASYHS61022W22</v>
      </c>
      <c r="D775" s="10" t="s">
        <v>1721</v>
      </c>
      <c r="E775" s="10" t="s">
        <v>1722</v>
      </c>
      <c r="F775" s="9" t="s">
        <v>261</v>
      </c>
      <c r="G775" s="9" t="s">
        <v>924</v>
      </c>
      <c r="H775" s="12">
        <v>259</v>
      </c>
      <c r="I775" s="12">
        <v>1582</v>
      </c>
      <c r="J775" s="13">
        <v>0</v>
      </c>
      <c r="K775" s="13">
        <v>0</v>
      </c>
      <c r="L775" s="13">
        <v>2203</v>
      </c>
      <c r="M775" s="13">
        <v>1000</v>
      </c>
      <c r="N775" s="13">
        <v>1200</v>
      </c>
      <c r="O775" s="13">
        <v>1330</v>
      </c>
      <c r="P775" s="13">
        <v>980</v>
      </c>
      <c r="Q775" s="13">
        <v>1170</v>
      </c>
      <c r="R775" s="13">
        <v>1520</v>
      </c>
      <c r="S775" s="13">
        <v>1670</v>
      </c>
      <c r="T775" s="13">
        <v>1450</v>
      </c>
      <c r="U775" s="13">
        <v>1340</v>
      </c>
      <c r="V775" s="13">
        <v>2220</v>
      </c>
      <c r="W775" s="13">
        <v>2050</v>
      </c>
      <c r="X775" s="13">
        <v>2030</v>
      </c>
      <c r="Y775" s="13">
        <v>1720</v>
      </c>
      <c r="Z775" s="13">
        <v>0</v>
      </c>
      <c r="AA775" s="13">
        <v>920</v>
      </c>
      <c r="AB775" s="13">
        <v>2070</v>
      </c>
      <c r="AC775" s="13">
        <v>2020</v>
      </c>
      <c r="AD775" s="13">
        <v>1980</v>
      </c>
    </row>
    <row r="776" spans="1:30" ht="15.75" thickBot="1" x14ac:dyDescent="0.3">
      <c r="A776" s="9" t="s">
        <v>1643</v>
      </c>
      <c r="B776" s="9" t="s">
        <v>1717</v>
      </c>
      <c r="C776" s="45" t="str">
        <f t="shared" si="12"/>
        <v>ASYHS61023W21</v>
      </c>
      <c r="D776" s="10" t="s">
        <v>1723</v>
      </c>
      <c r="E776" s="10" t="s">
        <v>1724</v>
      </c>
      <c r="F776" s="9" t="s">
        <v>261</v>
      </c>
      <c r="G776" s="9" t="s">
        <v>924</v>
      </c>
      <c r="H776" s="12">
        <v>259</v>
      </c>
      <c r="I776" s="12">
        <v>1518</v>
      </c>
      <c r="J776" s="13">
        <v>0</v>
      </c>
      <c r="K776" s="13">
        <v>0</v>
      </c>
      <c r="L776" s="13">
        <v>2119</v>
      </c>
      <c r="M776" s="13">
        <v>1050</v>
      </c>
      <c r="N776" s="13">
        <v>1210</v>
      </c>
      <c r="O776" s="13">
        <v>1340</v>
      </c>
      <c r="P776" s="13">
        <v>980</v>
      </c>
      <c r="Q776" s="13">
        <v>1160</v>
      </c>
      <c r="R776" s="13">
        <v>1520</v>
      </c>
      <c r="S776" s="13">
        <v>1680</v>
      </c>
      <c r="T776" s="13">
        <v>1450</v>
      </c>
      <c r="U776" s="13">
        <v>1340</v>
      </c>
      <c r="V776" s="13">
        <v>2220</v>
      </c>
      <c r="W776" s="13">
        <v>2050</v>
      </c>
      <c r="X776" s="13">
        <v>2040</v>
      </c>
      <c r="Y776" s="13">
        <v>1720</v>
      </c>
      <c r="Z776" s="13">
        <v>0</v>
      </c>
      <c r="AA776" s="13">
        <v>920</v>
      </c>
      <c r="AB776" s="13">
        <v>2070</v>
      </c>
      <c r="AC776" s="13">
        <v>2020</v>
      </c>
      <c r="AD776" s="13">
        <v>1980</v>
      </c>
    </row>
    <row r="777" spans="1:30" ht="15.75" thickBot="1" x14ac:dyDescent="0.3">
      <c r="A777" s="9" t="s">
        <v>1643</v>
      </c>
      <c r="B777" s="9" t="s">
        <v>1717</v>
      </c>
      <c r="C777" s="45" t="str">
        <f t="shared" si="12"/>
        <v>ASYHS61A30W9</v>
      </c>
      <c r="D777" s="10" t="s">
        <v>1725</v>
      </c>
      <c r="E777" s="10" t="s">
        <v>1726</v>
      </c>
      <c r="F777" s="9" t="s">
        <v>494</v>
      </c>
      <c r="G777" s="9" t="s">
        <v>924</v>
      </c>
      <c r="H777" s="12">
        <v>378</v>
      </c>
      <c r="I777" s="12">
        <v>2091</v>
      </c>
      <c r="J777" s="13">
        <v>0</v>
      </c>
      <c r="K777" s="13">
        <v>0</v>
      </c>
      <c r="L777" s="13">
        <v>760</v>
      </c>
      <c r="M777" s="13">
        <v>988</v>
      </c>
      <c r="N777" s="13">
        <v>1144</v>
      </c>
      <c r="O777" s="13">
        <v>1364</v>
      </c>
      <c r="P777" s="13">
        <v>1432</v>
      </c>
      <c r="Q777" s="13">
        <v>988</v>
      </c>
      <c r="R777" s="13">
        <v>1048</v>
      </c>
      <c r="S777" s="13">
        <v>1500</v>
      </c>
      <c r="T777" s="13">
        <v>1580</v>
      </c>
      <c r="U777" s="13">
        <v>1484</v>
      </c>
      <c r="V777" s="13">
        <v>1292</v>
      </c>
      <c r="W777" s="13">
        <v>2064</v>
      </c>
      <c r="X777" s="13">
        <v>2004</v>
      </c>
      <c r="Y777" s="13">
        <v>1980</v>
      </c>
      <c r="Z777" s="13">
        <v>2480</v>
      </c>
      <c r="AA777" s="13">
        <v>0</v>
      </c>
      <c r="AB777" s="13">
        <v>408</v>
      </c>
      <c r="AC777" s="13">
        <v>2056</v>
      </c>
      <c r="AD777" s="13">
        <v>2076</v>
      </c>
    </row>
    <row r="778" spans="1:30" ht="15.75" thickBot="1" x14ac:dyDescent="0.3">
      <c r="A778" s="9" t="s">
        <v>1643</v>
      </c>
      <c r="B778" s="9" t="s">
        <v>1717</v>
      </c>
      <c r="C778" s="45" t="str">
        <f t="shared" si="12"/>
        <v>ASYHS61A30W9AA</v>
      </c>
      <c r="D778" s="10" t="s">
        <v>1727</v>
      </c>
      <c r="E778" s="10" t="s">
        <v>1728</v>
      </c>
      <c r="F778" s="9" t="s">
        <v>261</v>
      </c>
      <c r="G778" s="9" t="s">
        <v>924</v>
      </c>
      <c r="H778" s="12">
        <v>378</v>
      </c>
      <c r="I778" s="8"/>
      <c r="J778" s="13">
        <v>0</v>
      </c>
      <c r="K778" s="13">
        <v>0</v>
      </c>
      <c r="L778" s="13">
        <v>0</v>
      </c>
      <c r="M778" s="13">
        <v>0</v>
      </c>
      <c r="N778" s="13">
        <v>0</v>
      </c>
      <c r="O778" s="13">
        <v>0</v>
      </c>
      <c r="P778" s="13">
        <v>0</v>
      </c>
      <c r="Q778" s="13">
        <v>0</v>
      </c>
      <c r="R778" s="13">
        <v>0</v>
      </c>
      <c r="S778" s="13">
        <v>22</v>
      </c>
      <c r="T778" s="13">
        <v>88</v>
      </c>
      <c r="U778" s="13">
        <v>0</v>
      </c>
      <c r="V778" s="13">
        <v>0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13">
        <v>0</v>
      </c>
    </row>
    <row r="779" spans="1:30" ht="15.75" thickBot="1" x14ac:dyDescent="0.3">
      <c r="A779" s="9" t="s">
        <v>1643</v>
      </c>
      <c r="B779" s="9" t="s">
        <v>1717</v>
      </c>
      <c r="C779" s="45" t="str">
        <f t="shared" si="12"/>
        <v>ASYHS61A31W8</v>
      </c>
      <c r="D779" s="10" t="s">
        <v>1729</v>
      </c>
      <c r="E779" s="10" t="s">
        <v>1730</v>
      </c>
      <c r="F779" s="9" t="s">
        <v>494</v>
      </c>
      <c r="G779" s="9" t="s">
        <v>924</v>
      </c>
      <c r="H779" s="12">
        <v>378</v>
      </c>
      <c r="I779" s="12">
        <v>2029</v>
      </c>
      <c r="J779" s="13">
        <v>0</v>
      </c>
      <c r="K779" s="13">
        <v>0</v>
      </c>
      <c r="L779" s="13">
        <v>586</v>
      </c>
      <c r="M779" s="13">
        <v>952</v>
      </c>
      <c r="N779" s="13">
        <v>1192</v>
      </c>
      <c r="O779" s="13">
        <v>1488</v>
      </c>
      <c r="P779" s="13">
        <v>1796</v>
      </c>
      <c r="Q779" s="13">
        <v>448</v>
      </c>
      <c r="R779" s="13">
        <v>1004</v>
      </c>
      <c r="S779" s="13">
        <v>1512</v>
      </c>
      <c r="T779" s="13">
        <v>1568</v>
      </c>
      <c r="U779" s="13">
        <v>1496</v>
      </c>
      <c r="V779" s="13">
        <v>1276</v>
      </c>
      <c r="W779" s="13">
        <v>2064</v>
      </c>
      <c r="X779" s="13">
        <v>2008</v>
      </c>
      <c r="Y779" s="13">
        <v>1992</v>
      </c>
      <c r="Z779" s="13">
        <v>2464</v>
      </c>
      <c r="AA779" s="13">
        <v>0</v>
      </c>
      <c r="AB779" s="13">
        <v>412</v>
      </c>
      <c r="AC779" s="13">
        <v>2068</v>
      </c>
      <c r="AD779" s="13">
        <v>2064</v>
      </c>
    </row>
    <row r="780" spans="1:30" ht="15.75" thickBot="1" x14ac:dyDescent="0.3">
      <c r="A780" s="9" t="s">
        <v>1643</v>
      </c>
      <c r="B780" s="9" t="s">
        <v>1717</v>
      </c>
      <c r="C780" s="45" t="str">
        <f t="shared" si="12"/>
        <v>ASYHS61A31W8AA</v>
      </c>
      <c r="D780" s="10" t="s">
        <v>1731</v>
      </c>
      <c r="E780" s="10" t="s">
        <v>1732</v>
      </c>
      <c r="F780" s="9" t="s">
        <v>261</v>
      </c>
      <c r="G780" s="9" t="s">
        <v>924</v>
      </c>
      <c r="H780" s="12">
        <v>378</v>
      </c>
      <c r="I780" s="8"/>
      <c r="J780" s="13">
        <v>0</v>
      </c>
      <c r="K780" s="13">
        <v>0</v>
      </c>
      <c r="L780" s="13">
        <v>0</v>
      </c>
      <c r="M780" s="13">
        <v>0</v>
      </c>
      <c r="N780" s="13">
        <v>0</v>
      </c>
      <c r="O780" s="13">
        <v>0</v>
      </c>
      <c r="P780" s="13">
        <v>0</v>
      </c>
      <c r="Q780" s="13">
        <v>0</v>
      </c>
      <c r="R780" s="13">
        <v>0</v>
      </c>
      <c r="S780" s="13">
        <v>22</v>
      </c>
      <c r="T780" s="13">
        <v>88</v>
      </c>
      <c r="U780" s="13">
        <v>0</v>
      </c>
      <c r="V780" s="13">
        <v>0</v>
      </c>
      <c r="W780" s="13">
        <v>0</v>
      </c>
      <c r="X780" s="13">
        <v>0</v>
      </c>
      <c r="Y780" s="13">
        <v>0</v>
      </c>
      <c r="Z780" s="13">
        <v>0</v>
      </c>
      <c r="AA780" s="13">
        <v>0</v>
      </c>
      <c r="AB780" s="13">
        <v>0</v>
      </c>
      <c r="AC780" s="13">
        <v>0</v>
      </c>
      <c r="AD780" s="13">
        <v>0</v>
      </c>
    </row>
    <row r="781" spans="1:30" ht="15.75" thickBot="1" x14ac:dyDescent="0.3">
      <c r="A781" s="9" t="s">
        <v>1643</v>
      </c>
      <c r="B781" s="9" t="s">
        <v>1733</v>
      </c>
      <c r="C781" s="45" t="str">
        <f t="shared" si="12"/>
        <v>ASYHS70370W14</v>
      </c>
      <c r="D781" s="10" t="s">
        <v>1734</v>
      </c>
      <c r="E781" s="10" t="s">
        <v>1735</v>
      </c>
      <c r="F781" s="9" t="s">
        <v>494</v>
      </c>
      <c r="G781" s="9" t="s">
        <v>924</v>
      </c>
      <c r="H781" s="12">
        <v>437</v>
      </c>
      <c r="I781" s="12">
        <v>15671</v>
      </c>
      <c r="J781" s="13">
        <v>0</v>
      </c>
      <c r="K781" s="13">
        <v>1997</v>
      </c>
      <c r="L781" s="13">
        <v>21556</v>
      </c>
      <c r="M781" s="13">
        <v>14644</v>
      </c>
      <c r="N781" s="13">
        <v>16384</v>
      </c>
      <c r="O781" s="13">
        <v>20296</v>
      </c>
      <c r="P781" s="13">
        <v>27716</v>
      </c>
      <c r="Q781" s="13">
        <v>7976</v>
      </c>
      <c r="R781" s="13">
        <v>15844</v>
      </c>
      <c r="S781" s="13">
        <v>22480</v>
      </c>
      <c r="T781" s="13">
        <v>22832</v>
      </c>
      <c r="U781" s="13">
        <v>21096</v>
      </c>
      <c r="V781" s="13">
        <v>15232</v>
      </c>
      <c r="W781" s="13">
        <v>22936</v>
      </c>
      <c r="X781" s="13">
        <v>22224</v>
      </c>
      <c r="Y781" s="13">
        <v>22508</v>
      </c>
      <c r="Z781" s="13">
        <v>26564</v>
      </c>
      <c r="AA781" s="13">
        <v>0</v>
      </c>
      <c r="AB781" s="13">
        <v>4532</v>
      </c>
      <c r="AC781" s="13">
        <v>22732</v>
      </c>
      <c r="AD781" s="13">
        <v>22608</v>
      </c>
    </row>
    <row r="782" spans="1:30" ht="15.75" thickBot="1" x14ac:dyDescent="0.3">
      <c r="A782" s="9" t="s">
        <v>1643</v>
      </c>
      <c r="B782" s="9" t="s">
        <v>1733</v>
      </c>
      <c r="C782" s="45" t="str">
        <f t="shared" si="12"/>
        <v>ASYHS77A96W14P703</v>
      </c>
      <c r="D782" s="10" t="s">
        <v>1736</v>
      </c>
      <c r="E782" s="10" t="s">
        <v>1737</v>
      </c>
      <c r="F782" s="9" t="s">
        <v>261</v>
      </c>
      <c r="G782" s="9" t="s">
        <v>924</v>
      </c>
      <c r="H782" s="11">
        <v>195.65209999999999</v>
      </c>
      <c r="I782" s="12">
        <v>2295</v>
      </c>
      <c r="J782" s="13">
        <v>0</v>
      </c>
      <c r="K782" s="13">
        <v>2122</v>
      </c>
      <c r="L782" s="13">
        <v>5389</v>
      </c>
      <c r="M782" s="13">
        <v>3661</v>
      </c>
      <c r="N782" s="13">
        <v>4096</v>
      </c>
      <c r="O782" s="13">
        <v>5074</v>
      </c>
      <c r="P782" s="13">
        <v>6929</v>
      </c>
      <c r="Q782" s="13">
        <v>1994</v>
      </c>
      <c r="R782" s="13">
        <v>3961</v>
      </c>
      <c r="S782" s="13">
        <v>5620</v>
      </c>
      <c r="T782" s="13">
        <v>5708</v>
      </c>
      <c r="U782" s="13">
        <v>5274</v>
      </c>
      <c r="V782" s="13">
        <v>3808</v>
      </c>
      <c r="W782" s="13">
        <v>5734</v>
      </c>
      <c r="X782" s="13">
        <v>5556</v>
      </c>
      <c r="Y782" s="13">
        <v>5627</v>
      </c>
      <c r="Z782" s="13">
        <v>6641</v>
      </c>
      <c r="AA782" s="13">
        <v>0</v>
      </c>
      <c r="AB782" s="13">
        <v>1133</v>
      </c>
      <c r="AC782" s="13">
        <v>5683</v>
      </c>
      <c r="AD782" s="13">
        <v>5652</v>
      </c>
    </row>
    <row r="783" spans="1:30" ht="15.75" thickBot="1" x14ac:dyDescent="0.3">
      <c r="A783" s="9" t="s">
        <v>1643</v>
      </c>
      <c r="B783" s="9" t="s">
        <v>1733</v>
      </c>
      <c r="C783" s="45" t="str">
        <f t="shared" si="12"/>
        <v>ASYHS77A97W14P703</v>
      </c>
      <c r="D783" s="10" t="s">
        <v>1738</v>
      </c>
      <c r="E783" s="10" t="s">
        <v>1739</v>
      </c>
      <c r="F783" s="9" t="s">
        <v>261</v>
      </c>
      <c r="G783" s="9" t="s">
        <v>924</v>
      </c>
      <c r="H783" s="11">
        <v>195.65209999999999</v>
      </c>
      <c r="I783" s="12">
        <v>314</v>
      </c>
      <c r="J783" s="13">
        <v>0</v>
      </c>
      <c r="K783" s="13">
        <v>4103</v>
      </c>
      <c r="L783" s="13">
        <v>5389</v>
      </c>
      <c r="M783" s="13">
        <v>3661</v>
      </c>
      <c r="N783" s="13">
        <v>4096</v>
      </c>
      <c r="O783" s="13">
        <v>5074</v>
      </c>
      <c r="P783" s="13">
        <v>6929</v>
      </c>
      <c r="Q783" s="13">
        <v>1994</v>
      </c>
      <c r="R783" s="13">
        <v>3961</v>
      </c>
      <c r="S783" s="13">
        <v>5620</v>
      </c>
      <c r="T783" s="13">
        <v>5708</v>
      </c>
      <c r="U783" s="13">
        <v>5274</v>
      </c>
      <c r="V783" s="13">
        <v>3808</v>
      </c>
      <c r="W783" s="13">
        <v>5734</v>
      </c>
      <c r="X783" s="13">
        <v>5556</v>
      </c>
      <c r="Y783" s="13">
        <v>5627</v>
      </c>
      <c r="Z783" s="13">
        <v>6641</v>
      </c>
      <c r="AA783" s="13">
        <v>0</v>
      </c>
      <c r="AB783" s="13">
        <v>1133</v>
      </c>
      <c r="AC783" s="13">
        <v>5683</v>
      </c>
      <c r="AD783" s="13">
        <v>5652</v>
      </c>
    </row>
    <row r="784" spans="1:30" ht="15.75" thickBot="1" x14ac:dyDescent="0.3">
      <c r="A784" s="9" t="s">
        <v>1643</v>
      </c>
      <c r="B784" s="9" t="s">
        <v>1733</v>
      </c>
      <c r="C784" s="45" t="str">
        <f t="shared" si="12"/>
        <v>ASYHS7A040AW2</v>
      </c>
      <c r="D784" s="10" t="s">
        <v>1740</v>
      </c>
      <c r="E784" s="10" t="s">
        <v>1741</v>
      </c>
      <c r="F784" s="9" t="s">
        <v>261</v>
      </c>
      <c r="G784" s="9" t="s">
        <v>924</v>
      </c>
      <c r="H784" s="12">
        <v>340</v>
      </c>
      <c r="I784" s="12">
        <v>3925</v>
      </c>
      <c r="J784" s="13">
        <v>0</v>
      </c>
      <c r="K784" s="13">
        <v>0</v>
      </c>
      <c r="L784" s="13">
        <v>0</v>
      </c>
      <c r="M784" s="13">
        <v>32</v>
      </c>
      <c r="N784" s="13">
        <v>1108</v>
      </c>
      <c r="O784" s="13">
        <v>1518</v>
      </c>
      <c r="P784" s="13">
        <v>1895</v>
      </c>
      <c r="Q784" s="13">
        <v>371</v>
      </c>
      <c r="R784" s="13">
        <v>1043</v>
      </c>
      <c r="S784" s="13">
        <v>1516</v>
      </c>
      <c r="T784" s="13">
        <v>1663</v>
      </c>
      <c r="U784" s="13">
        <v>1485</v>
      </c>
      <c r="V784" s="13">
        <v>1285</v>
      </c>
      <c r="W784" s="13">
        <v>2068</v>
      </c>
      <c r="X784" s="13">
        <v>1998</v>
      </c>
      <c r="Y784" s="13">
        <v>1991</v>
      </c>
      <c r="Z784" s="13">
        <v>2472</v>
      </c>
      <c r="AA784" s="13">
        <v>0</v>
      </c>
      <c r="AB784" s="13">
        <v>412</v>
      </c>
      <c r="AC784" s="13">
        <v>2063</v>
      </c>
      <c r="AD784" s="13">
        <v>2055</v>
      </c>
    </row>
    <row r="785" spans="1:30" ht="15.75" thickBot="1" x14ac:dyDescent="0.3">
      <c r="A785" s="9" t="s">
        <v>1643</v>
      </c>
      <c r="B785" s="9" t="s">
        <v>1742</v>
      </c>
      <c r="C785" s="45" t="str">
        <f t="shared" si="12"/>
        <v>ASYHS81753W2</v>
      </c>
      <c r="D785" s="10" t="s">
        <v>1743</v>
      </c>
      <c r="E785" s="10" t="s">
        <v>1744</v>
      </c>
      <c r="F785" s="9" t="s">
        <v>494</v>
      </c>
      <c r="G785" s="9" t="s">
        <v>924</v>
      </c>
      <c r="H785" s="12">
        <v>476</v>
      </c>
      <c r="I785" s="12">
        <v>3118</v>
      </c>
      <c r="J785" s="13">
        <v>0</v>
      </c>
      <c r="K785" s="13">
        <v>1517</v>
      </c>
      <c r="L785" s="13">
        <v>4173</v>
      </c>
      <c r="M785" s="13">
        <v>3063</v>
      </c>
      <c r="N785" s="13">
        <v>3324</v>
      </c>
      <c r="O785" s="13">
        <v>4554</v>
      </c>
      <c r="P785" s="13">
        <v>5685</v>
      </c>
      <c r="Q785" s="13">
        <v>1113</v>
      </c>
      <c r="R785" s="13">
        <v>3129</v>
      </c>
      <c r="S785" s="13">
        <v>4548</v>
      </c>
      <c r="T785" s="13">
        <v>4989</v>
      </c>
      <c r="U785" s="13">
        <v>4455</v>
      </c>
      <c r="V785" s="13">
        <v>3855</v>
      </c>
      <c r="W785" s="13">
        <v>6204</v>
      </c>
      <c r="X785" s="13">
        <v>5994</v>
      </c>
      <c r="Y785" s="13">
        <v>5973</v>
      </c>
      <c r="Z785" s="13">
        <v>7416</v>
      </c>
      <c r="AA785" s="13">
        <v>0</v>
      </c>
      <c r="AB785" s="13">
        <v>1236</v>
      </c>
      <c r="AC785" s="13">
        <v>6189</v>
      </c>
      <c r="AD785" s="13">
        <v>6165</v>
      </c>
    </row>
    <row r="786" spans="1:30" ht="15.75" thickBot="1" x14ac:dyDescent="0.3">
      <c r="A786" s="9" t="s">
        <v>1643</v>
      </c>
      <c r="B786" s="9" t="s">
        <v>1742</v>
      </c>
      <c r="C786" s="45" t="str">
        <f t="shared" si="12"/>
        <v>ASYHS85A40W2</v>
      </c>
      <c r="D786" s="10" t="s">
        <v>1745</v>
      </c>
      <c r="E786" s="10" t="s">
        <v>1746</v>
      </c>
      <c r="F786" s="9" t="s">
        <v>494</v>
      </c>
      <c r="G786" s="9" t="s">
        <v>924</v>
      </c>
      <c r="H786" s="12">
        <v>332</v>
      </c>
      <c r="I786" s="12">
        <v>2916</v>
      </c>
      <c r="J786" s="13">
        <v>0</v>
      </c>
      <c r="K786" s="13">
        <v>0</v>
      </c>
      <c r="L786" s="13">
        <v>20</v>
      </c>
      <c r="M786" s="13">
        <v>1021</v>
      </c>
      <c r="N786" s="13">
        <v>1108</v>
      </c>
      <c r="O786" s="13">
        <v>1518</v>
      </c>
      <c r="P786" s="13">
        <v>1895</v>
      </c>
      <c r="Q786" s="13">
        <v>371</v>
      </c>
      <c r="R786" s="13">
        <v>1043</v>
      </c>
      <c r="S786" s="13">
        <v>1516</v>
      </c>
      <c r="T786" s="13">
        <v>1663</v>
      </c>
      <c r="U786" s="13">
        <v>1485</v>
      </c>
      <c r="V786" s="13">
        <v>1285</v>
      </c>
      <c r="W786" s="13">
        <v>2068</v>
      </c>
      <c r="X786" s="13">
        <v>1998</v>
      </c>
      <c r="Y786" s="13">
        <v>1991</v>
      </c>
      <c r="Z786" s="13">
        <v>2472</v>
      </c>
      <c r="AA786" s="13">
        <v>0</v>
      </c>
      <c r="AB786" s="13">
        <v>412</v>
      </c>
      <c r="AC786" s="13">
        <v>2063</v>
      </c>
      <c r="AD786" s="13">
        <v>2055</v>
      </c>
    </row>
    <row r="787" spans="1:30" ht="15.75" thickBot="1" x14ac:dyDescent="0.3">
      <c r="A787" s="9" t="s">
        <v>1643</v>
      </c>
      <c r="B787" s="9" t="s">
        <v>1742</v>
      </c>
      <c r="C787" s="45" t="str">
        <f t="shared" si="12"/>
        <v>ASYHS85A41W2</v>
      </c>
      <c r="D787" s="10" t="s">
        <v>1747</v>
      </c>
      <c r="E787" s="10" t="s">
        <v>1748</v>
      </c>
      <c r="F787" s="9" t="s">
        <v>494</v>
      </c>
      <c r="G787" s="9" t="s">
        <v>924</v>
      </c>
      <c r="H787" s="12">
        <v>332</v>
      </c>
      <c r="I787" s="12">
        <v>1198</v>
      </c>
      <c r="J787" s="13">
        <v>0</v>
      </c>
      <c r="K787" s="13">
        <v>347</v>
      </c>
      <c r="L787" s="13">
        <v>1391</v>
      </c>
      <c r="M787" s="13">
        <v>1021</v>
      </c>
      <c r="N787" s="13">
        <v>1108</v>
      </c>
      <c r="O787" s="13">
        <v>1518</v>
      </c>
      <c r="P787" s="13">
        <v>1895</v>
      </c>
      <c r="Q787" s="13">
        <v>371</v>
      </c>
      <c r="R787" s="13">
        <v>1043</v>
      </c>
      <c r="S787" s="13">
        <v>1516</v>
      </c>
      <c r="T787" s="13">
        <v>1663</v>
      </c>
      <c r="U787" s="13">
        <v>1485</v>
      </c>
      <c r="V787" s="13">
        <v>1285</v>
      </c>
      <c r="W787" s="13">
        <v>2068</v>
      </c>
      <c r="X787" s="13">
        <v>1998</v>
      </c>
      <c r="Y787" s="13">
        <v>1991</v>
      </c>
      <c r="Z787" s="13">
        <v>2472</v>
      </c>
      <c r="AA787" s="13">
        <v>0</v>
      </c>
      <c r="AB787" s="13">
        <v>412</v>
      </c>
      <c r="AC787" s="13">
        <v>2063</v>
      </c>
      <c r="AD787" s="13">
        <v>2055</v>
      </c>
    </row>
    <row r="788" spans="1:30" ht="15.75" thickBot="1" x14ac:dyDescent="0.3">
      <c r="A788" s="9" t="s">
        <v>1643</v>
      </c>
      <c r="B788" s="9" t="s">
        <v>1742</v>
      </c>
      <c r="C788" s="45" t="str">
        <f t="shared" si="12"/>
        <v>ASYHS87726W11AC</v>
      </c>
      <c r="D788" s="10" t="s">
        <v>1749</v>
      </c>
      <c r="E788" s="10" t="s">
        <v>1684</v>
      </c>
      <c r="F788" s="9" t="s">
        <v>261</v>
      </c>
      <c r="G788" s="9" t="s">
        <v>924</v>
      </c>
      <c r="H788" s="11">
        <v>558.1395</v>
      </c>
      <c r="I788" s="12">
        <v>5704</v>
      </c>
      <c r="J788" s="13">
        <v>0</v>
      </c>
      <c r="K788" s="13">
        <v>0</v>
      </c>
      <c r="L788" s="13">
        <v>0</v>
      </c>
      <c r="M788" s="13">
        <v>1818</v>
      </c>
      <c r="N788" s="13">
        <v>2560</v>
      </c>
      <c r="O788" s="13">
        <v>2752</v>
      </c>
      <c r="P788" s="13">
        <v>3086</v>
      </c>
      <c r="Q788" s="13">
        <v>1434</v>
      </c>
      <c r="R788" s="13">
        <v>2022</v>
      </c>
      <c r="S788" s="13">
        <v>2982</v>
      </c>
      <c r="T788" s="13">
        <v>3148</v>
      </c>
      <c r="U788" s="13">
        <v>2996</v>
      </c>
      <c r="V788" s="13">
        <v>2572</v>
      </c>
      <c r="W788" s="13">
        <v>4148</v>
      </c>
      <c r="X788" s="13">
        <v>3968</v>
      </c>
      <c r="Y788" s="13">
        <v>3994</v>
      </c>
      <c r="Z788" s="13">
        <v>4914</v>
      </c>
      <c r="AA788" s="13">
        <v>0</v>
      </c>
      <c r="AB788" s="13">
        <v>832</v>
      </c>
      <c r="AC788" s="13">
        <v>4160</v>
      </c>
      <c r="AD788" s="13">
        <v>4096</v>
      </c>
    </row>
    <row r="789" spans="1:30" ht="15.75" thickBot="1" x14ac:dyDescent="0.3">
      <c r="A789" s="9" t="s">
        <v>1643</v>
      </c>
      <c r="B789" s="9" t="s">
        <v>1742</v>
      </c>
      <c r="C789" s="45" t="str">
        <f t="shared" si="12"/>
        <v>ASYHS8B292W15</v>
      </c>
      <c r="D789" s="10" t="s">
        <v>1750</v>
      </c>
      <c r="E789" s="10" t="s">
        <v>1751</v>
      </c>
      <c r="F789" s="9" t="s">
        <v>261</v>
      </c>
      <c r="G789" s="9" t="s">
        <v>924</v>
      </c>
      <c r="H789" s="12">
        <v>476</v>
      </c>
      <c r="I789" s="12">
        <v>2246</v>
      </c>
      <c r="J789" s="13">
        <v>0</v>
      </c>
      <c r="K789" s="13">
        <v>0</v>
      </c>
      <c r="L789" s="13">
        <v>1823</v>
      </c>
      <c r="M789" s="13">
        <v>2050</v>
      </c>
      <c r="N789" s="13">
        <v>2410</v>
      </c>
      <c r="O789" s="13">
        <v>2670</v>
      </c>
      <c r="P789" s="13">
        <v>1960</v>
      </c>
      <c r="Q789" s="13">
        <v>2330</v>
      </c>
      <c r="R789" s="13">
        <v>3040</v>
      </c>
      <c r="S789" s="13">
        <v>3350</v>
      </c>
      <c r="T789" s="13">
        <v>2900</v>
      </c>
      <c r="U789" s="13">
        <v>2680</v>
      </c>
      <c r="V789" s="13">
        <v>4440</v>
      </c>
      <c r="W789" s="13">
        <v>4100</v>
      </c>
      <c r="X789" s="13">
        <v>4070</v>
      </c>
      <c r="Y789" s="13">
        <v>3440</v>
      </c>
      <c r="Z789" s="13">
        <v>0</v>
      </c>
      <c r="AA789" s="13">
        <v>1840</v>
      </c>
      <c r="AB789" s="13">
        <v>4140</v>
      </c>
      <c r="AC789" s="13">
        <v>4040</v>
      </c>
      <c r="AD789" s="13">
        <v>3960</v>
      </c>
    </row>
    <row r="790" spans="1:30" ht="15.75" thickBot="1" x14ac:dyDescent="0.3">
      <c r="A790" s="9" t="s">
        <v>1643</v>
      </c>
      <c r="B790" s="9" t="s">
        <v>1742</v>
      </c>
      <c r="C790" s="45" t="str">
        <f t="shared" si="12"/>
        <v>MB3B 58017B56 BB</v>
      </c>
      <c r="D790" s="10" t="s">
        <v>1752</v>
      </c>
      <c r="E790" s="10" t="s">
        <v>1753</v>
      </c>
      <c r="F790" s="9" t="s">
        <v>261</v>
      </c>
      <c r="G790" s="9" t="s">
        <v>924</v>
      </c>
      <c r="H790" s="11">
        <v>270.67660000000001</v>
      </c>
      <c r="I790" s="12">
        <v>758</v>
      </c>
      <c r="J790" s="13">
        <v>0</v>
      </c>
      <c r="K790" s="13">
        <v>0</v>
      </c>
      <c r="L790" s="13">
        <v>2842</v>
      </c>
      <c r="M790" s="13">
        <v>0</v>
      </c>
      <c r="N790" s="13">
        <v>0</v>
      </c>
      <c r="O790" s="13">
        <v>1440</v>
      </c>
      <c r="P790" s="13">
        <v>720</v>
      </c>
      <c r="Q790" s="13">
        <v>1440</v>
      </c>
      <c r="R790" s="13">
        <v>1440</v>
      </c>
      <c r="S790" s="13">
        <v>1440</v>
      </c>
      <c r="T790" s="13">
        <v>1440</v>
      </c>
      <c r="U790" s="13">
        <v>1440</v>
      </c>
      <c r="V790" s="13">
        <v>2160</v>
      </c>
      <c r="W790" s="13">
        <v>2160</v>
      </c>
      <c r="X790" s="13">
        <v>2160</v>
      </c>
      <c r="Y790" s="13">
        <v>1440</v>
      </c>
      <c r="Z790" s="13">
        <v>0</v>
      </c>
      <c r="AA790" s="13">
        <v>1440</v>
      </c>
      <c r="AB790" s="13">
        <v>2160</v>
      </c>
      <c r="AC790" s="13">
        <v>1440</v>
      </c>
      <c r="AD790" s="13">
        <v>2160</v>
      </c>
    </row>
    <row r="791" spans="1:30" ht="15.75" thickBot="1" x14ac:dyDescent="0.3">
      <c r="A791" s="9" t="s">
        <v>1643</v>
      </c>
      <c r="B791" s="9" t="s">
        <v>1754</v>
      </c>
      <c r="C791" s="45" t="str">
        <f t="shared" si="12"/>
        <v>PC.WL68424074</v>
      </c>
      <c r="D791" s="10" t="s">
        <v>1755</v>
      </c>
      <c r="E791" s="10" t="s">
        <v>1756</v>
      </c>
      <c r="F791" s="9" t="s">
        <v>1117</v>
      </c>
      <c r="G791" s="9" t="s">
        <v>924</v>
      </c>
      <c r="H791" s="12">
        <v>789</v>
      </c>
      <c r="I791" s="12">
        <v>9238</v>
      </c>
      <c r="J791" s="13">
        <v>0</v>
      </c>
      <c r="K791" s="13">
        <v>0</v>
      </c>
      <c r="L791" s="13">
        <v>0</v>
      </c>
      <c r="M791" s="13">
        <v>1762</v>
      </c>
      <c r="N791" s="13">
        <v>3000</v>
      </c>
      <c r="O791" s="13">
        <v>2000</v>
      </c>
      <c r="P791" s="13">
        <v>3000</v>
      </c>
      <c r="Q791" s="13">
        <v>3000</v>
      </c>
      <c r="R791" s="13">
        <v>3000</v>
      </c>
      <c r="S791" s="13">
        <v>2000</v>
      </c>
      <c r="T791" s="13">
        <v>3000</v>
      </c>
      <c r="U791" s="13">
        <v>2000</v>
      </c>
      <c r="V791" s="13">
        <v>2000</v>
      </c>
      <c r="W791" s="13">
        <v>3000</v>
      </c>
      <c r="X791" s="13">
        <v>2000</v>
      </c>
      <c r="Y791" s="13">
        <v>3000</v>
      </c>
      <c r="Z791" s="13">
        <v>2000</v>
      </c>
      <c r="AA791" s="13">
        <v>0</v>
      </c>
      <c r="AB791" s="13">
        <v>2000</v>
      </c>
      <c r="AC791" s="13">
        <v>3000</v>
      </c>
      <c r="AD791" s="13">
        <v>3000</v>
      </c>
    </row>
    <row r="792" spans="1:30" ht="15.75" thickBot="1" x14ac:dyDescent="0.3">
      <c r="A792" s="9" t="s">
        <v>1643</v>
      </c>
      <c r="B792" s="9" t="s">
        <v>1754</v>
      </c>
      <c r="C792" s="45" t="str">
        <f t="shared" si="12"/>
        <v>PC.WL68424075</v>
      </c>
      <c r="D792" s="10" t="s">
        <v>1757</v>
      </c>
      <c r="E792" s="10" t="s">
        <v>1756</v>
      </c>
      <c r="F792" s="9" t="s">
        <v>1117</v>
      </c>
      <c r="G792" s="9" t="s">
        <v>924</v>
      </c>
      <c r="H792" s="12">
        <v>789</v>
      </c>
      <c r="I792" s="12">
        <v>3957</v>
      </c>
      <c r="J792" s="13">
        <v>0</v>
      </c>
      <c r="K792" s="13">
        <v>1043</v>
      </c>
      <c r="L792" s="13">
        <v>3000</v>
      </c>
      <c r="M792" s="13">
        <v>2000</v>
      </c>
      <c r="N792" s="13">
        <v>3000</v>
      </c>
      <c r="O792" s="13">
        <v>3000</v>
      </c>
      <c r="P792" s="13">
        <v>2000</v>
      </c>
      <c r="Q792" s="13">
        <v>3000</v>
      </c>
      <c r="R792" s="13">
        <v>3000</v>
      </c>
      <c r="S792" s="13">
        <v>2000</v>
      </c>
      <c r="T792" s="13">
        <v>3000</v>
      </c>
      <c r="U792" s="13">
        <v>2000</v>
      </c>
      <c r="V792" s="13">
        <v>2000</v>
      </c>
      <c r="W792" s="13">
        <v>3000</v>
      </c>
      <c r="X792" s="13">
        <v>2000</v>
      </c>
      <c r="Y792" s="13">
        <v>3000</v>
      </c>
      <c r="Z792" s="13">
        <v>2000</v>
      </c>
      <c r="AA792" s="13">
        <v>0</v>
      </c>
      <c r="AB792" s="13">
        <v>3000</v>
      </c>
      <c r="AC792" s="13">
        <v>2000</v>
      </c>
      <c r="AD792" s="13">
        <v>3000</v>
      </c>
    </row>
    <row r="793" spans="1:30" ht="15.75" thickBot="1" x14ac:dyDescent="0.3">
      <c r="A793" s="9" t="s">
        <v>1643</v>
      </c>
      <c r="B793" s="9" t="s">
        <v>1754</v>
      </c>
      <c r="C793" s="45" t="str">
        <f t="shared" si="12"/>
        <v>PC.WL68425109B</v>
      </c>
      <c r="D793" s="10" t="s">
        <v>1758</v>
      </c>
      <c r="E793" s="10" t="s">
        <v>1759</v>
      </c>
      <c r="F793" s="9" t="s">
        <v>1117</v>
      </c>
      <c r="G793" s="9" t="s">
        <v>924</v>
      </c>
      <c r="H793" s="12">
        <v>644</v>
      </c>
      <c r="I793" s="12">
        <v>3005</v>
      </c>
      <c r="J793" s="13">
        <v>0</v>
      </c>
      <c r="K793" s="13">
        <v>2995</v>
      </c>
      <c r="L793" s="13">
        <v>2500</v>
      </c>
      <c r="M793" s="13">
        <v>2500</v>
      </c>
      <c r="N793" s="13">
        <v>2500</v>
      </c>
      <c r="O793" s="13">
        <v>3000</v>
      </c>
      <c r="P793" s="13">
        <v>2500</v>
      </c>
      <c r="Q793" s="13">
        <v>3000</v>
      </c>
      <c r="R793" s="13">
        <v>2500</v>
      </c>
      <c r="S793" s="13">
        <v>2500</v>
      </c>
      <c r="T793" s="13">
        <v>3000</v>
      </c>
      <c r="U793" s="13">
        <v>2000</v>
      </c>
      <c r="V793" s="13">
        <v>2000</v>
      </c>
      <c r="W793" s="13">
        <v>3000</v>
      </c>
      <c r="X793" s="13">
        <v>2000</v>
      </c>
      <c r="Y793" s="13">
        <v>3500</v>
      </c>
      <c r="Z793" s="13">
        <v>2000</v>
      </c>
      <c r="AA793" s="13">
        <v>0</v>
      </c>
      <c r="AB793" s="13">
        <v>2000</v>
      </c>
      <c r="AC793" s="13">
        <v>2500</v>
      </c>
      <c r="AD793" s="13">
        <v>3000</v>
      </c>
    </row>
    <row r="794" spans="1:30" ht="15.75" thickBot="1" x14ac:dyDescent="0.3">
      <c r="A794" s="9" t="s">
        <v>1643</v>
      </c>
      <c r="B794" s="9" t="s">
        <v>1754</v>
      </c>
      <c r="C794" s="45" t="str">
        <f t="shared" si="12"/>
        <v>PC.WL68425118B</v>
      </c>
      <c r="D794" s="10" t="s">
        <v>1760</v>
      </c>
      <c r="E794" s="10" t="s">
        <v>1761</v>
      </c>
      <c r="F794" s="9" t="s">
        <v>1117</v>
      </c>
      <c r="G794" s="9" t="s">
        <v>924</v>
      </c>
      <c r="H794" s="12">
        <v>644</v>
      </c>
      <c r="I794" s="12">
        <v>5884</v>
      </c>
      <c r="J794" s="13">
        <v>0</v>
      </c>
      <c r="K794" s="13">
        <v>0</v>
      </c>
      <c r="L794" s="13">
        <v>2616</v>
      </c>
      <c r="M794" s="13">
        <v>2500</v>
      </c>
      <c r="N794" s="13">
        <v>2500</v>
      </c>
      <c r="O794" s="13">
        <v>2500</v>
      </c>
      <c r="P794" s="13">
        <v>3000</v>
      </c>
      <c r="Q794" s="13">
        <v>2500</v>
      </c>
      <c r="R794" s="13">
        <v>2500</v>
      </c>
      <c r="S794" s="13">
        <v>3000</v>
      </c>
      <c r="T794" s="13">
        <v>2500</v>
      </c>
      <c r="U794" s="13">
        <v>2000</v>
      </c>
      <c r="V794" s="13">
        <v>2500</v>
      </c>
      <c r="W794" s="13">
        <v>2500</v>
      </c>
      <c r="X794" s="13">
        <v>2000</v>
      </c>
      <c r="Y794" s="13">
        <v>3500</v>
      </c>
      <c r="Z794" s="13">
        <v>2000</v>
      </c>
      <c r="AA794" s="13">
        <v>0</v>
      </c>
      <c r="AB794" s="13">
        <v>2500</v>
      </c>
      <c r="AC794" s="13">
        <v>2000</v>
      </c>
      <c r="AD794" s="13">
        <v>3000</v>
      </c>
    </row>
    <row r="795" spans="1:30" ht="15.75" thickBot="1" x14ac:dyDescent="0.3">
      <c r="A795" s="9" t="s">
        <v>1643</v>
      </c>
      <c r="B795" s="9" t="s">
        <v>1754</v>
      </c>
      <c r="C795" s="45" t="str">
        <f t="shared" si="12"/>
        <v>PC.WL68435702</v>
      </c>
      <c r="D795" s="10" t="s">
        <v>1762</v>
      </c>
      <c r="E795" s="10" t="s">
        <v>1763</v>
      </c>
      <c r="F795" s="9" t="s">
        <v>1117</v>
      </c>
      <c r="G795" s="9" t="s">
        <v>924</v>
      </c>
      <c r="H795" s="12">
        <v>510</v>
      </c>
      <c r="I795" s="12">
        <v>7881</v>
      </c>
      <c r="J795" s="13">
        <v>0</v>
      </c>
      <c r="K795" s="13">
        <v>4119</v>
      </c>
      <c r="L795" s="13">
        <v>6000</v>
      </c>
      <c r="M795" s="13">
        <v>4000</v>
      </c>
      <c r="N795" s="13">
        <v>4000</v>
      </c>
      <c r="O795" s="13">
        <v>6000</v>
      </c>
      <c r="P795" s="13">
        <v>6000</v>
      </c>
      <c r="Q795" s="13">
        <v>6000</v>
      </c>
      <c r="R795" s="13">
        <v>4000</v>
      </c>
      <c r="S795" s="13">
        <v>6000</v>
      </c>
      <c r="T795" s="13">
        <v>6000</v>
      </c>
      <c r="U795" s="13">
        <v>4000</v>
      </c>
      <c r="V795" s="13">
        <v>4000</v>
      </c>
      <c r="W795" s="13">
        <v>4000</v>
      </c>
      <c r="X795" s="13">
        <v>4000</v>
      </c>
      <c r="Y795" s="13">
        <v>8000</v>
      </c>
      <c r="Z795" s="13">
        <v>4000</v>
      </c>
      <c r="AA795" s="13">
        <v>0</v>
      </c>
      <c r="AB795" s="13">
        <v>4000</v>
      </c>
      <c r="AC795" s="13">
        <v>4000</v>
      </c>
      <c r="AD795" s="13">
        <v>6000</v>
      </c>
    </row>
    <row r="796" spans="1:30" ht="15.75" thickBot="1" x14ac:dyDescent="0.3">
      <c r="A796" s="9" t="s">
        <v>1643</v>
      </c>
      <c r="B796" s="9" t="s">
        <v>1764</v>
      </c>
      <c r="C796" s="45" t="str">
        <f t="shared" si="12"/>
        <v>PC.WL68425102</v>
      </c>
      <c r="D796" s="10" t="s">
        <v>1765</v>
      </c>
      <c r="E796" s="10" t="s">
        <v>1766</v>
      </c>
      <c r="F796" s="9" t="s">
        <v>1117</v>
      </c>
      <c r="G796" s="9" t="s">
        <v>924</v>
      </c>
      <c r="H796" s="12">
        <v>790</v>
      </c>
      <c r="I796" s="12">
        <v>5228</v>
      </c>
      <c r="J796" s="13">
        <v>0</v>
      </c>
      <c r="K796" s="13">
        <v>0</v>
      </c>
      <c r="L796" s="13">
        <v>2272</v>
      </c>
      <c r="M796" s="13">
        <v>2500</v>
      </c>
      <c r="N796" s="13">
        <v>2500</v>
      </c>
      <c r="O796" s="13">
        <v>2500</v>
      </c>
      <c r="P796" s="13">
        <v>2500</v>
      </c>
      <c r="Q796" s="13">
        <v>5000</v>
      </c>
      <c r="R796" s="13">
        <v>2500</v>
      </c>
      <c r="S796" s="13">
        <v>2500</v>
      </c>
      <c r="T796" s="13">
        <v>2500</v>
      </c>
      <c r="U796" s="13">
        <v>2500</v>
      </c>
      <c r="V796" s="13">
        <v>0</v>
      </c>
      <c r="W796" s="13">
        <v>5000</v>
      </c>
      <c r="X796" s="13">
        <v>0</v>
      </c>
      <c r="Y796" s="13">
        <v>5000</v>
      </c>
      <c r="Z796" s="13">
        <v>2500</v>
      </c>
      <c r="AA796" s="13">
        <v>0</v>
      </c>
      <c r="AB796" s="13">
        <v>0</v>
      </c>
      <c r="AC796" s="13">
        <v>2500</v>
      </c>
      <c r="AD796" s="13">
        <v>5000</v>
      </c>
    </row>
    <row r="797" spans="1:30" ht="15.75" thickBot="1" x14ac:dyDescent="0.3">
      <c r="A797" s="9" t="s">
        <v>1643</v>
      </c>
      <c r="B797" s="9" t="s">
        <v>1764</v>
      </c>
      <c r="C797" s="45" t="str">
        <f t="shared" si="12"/>
        <v>PC.WL68425103</v>
      </c>
      <c r="D797" s="10" t="s">
        <v>1767</v>
      </c>
      <c r="E797" s="10" t="s">
        <v>1768</v>
      </c>
      <c r="F797" s="9" t="s">
        <v>1117</v>
      </c>
      <c r="G797" s="9" t="s">
        <v>924</v>
      </c>
      <c r="H797" s="12">
        <v>790</v>
      </c>
      <c r="I797" s="12">
        <v>7096</v>
      </c>
      <c r="J797" s="13">
        <v>0</v>
      </c>
      <c r="K797" s="13">
        <v>0</v>
      </c>
      <c r="L797" s="13">
        <v>0</v>
      </c>
      <c r="M797" s="13">
        <v>2104</v>
      </c>
      <c r="N797" s="13">
        <v>2300</v>
      </c>
      <c r="O797" s="13">
        <v>4600</v>
      </c>
      <c r="P797" s="13">
        <v>2300</v>
      </c>
      <c r="Q797" s="13">
        <v>2300</v>
      </c>
      <c r="R797" s="13">
        <v>2300</v>
      </c>
      <c r="S797" s="13">
        <v>2300</v>
      </c>
      <c r="T797" s="13">
        <v>2300</v>
      </c>
      <c r="U797" s="13">
        <v>2300</v>
      </c>
      <c r="V797" s="13">
        <v>2300</v>
      </c>
      <c r="W797" s="13">
        <v>4600</v>
      </c>
      <c r="X797" s="13">
        <v>0</v>
      </c>
      <c r="Y797" s="13">
        <v>4600</v>
      </c>
      <c r="Z797" s="13">
        <v>2300</v>
      </c>
      <c r="AA797" s="13">
        <v>0</v>
      </c>
      <c r="AB797" s="13">
        <v>2300</v>
      </c>
      <c r="AC797" s="13">
        <v>2300</v>
      </c>
      <c r="AD797" s="13">
        <v>2300</v>
      </c>
    </row>
    <row r="798" spans="1:30" ht="15.75" thickBot="1" x14ac:dyDescent="0.3">
      <c r="A798" s="9" t="s">
        <v>1643</v>
      </c>
      <c r="B798" s="9" t="s">
        <v>1764</v>
      </c>
      <c r="C798" s="45" t="str">
        <f t="shared" si="12"/>
        <v>PC.WL68426191</v>
      </c>
      <c r="D798" s="10" t="s">
        <v>1769</v>
      </c>
      <c r="E798" s="10" t="s">
        <v>1770</v>
      </c>
      <c r="F798" s="9" t="s">
        <v>1117</v>
      </c>
      <c r="G798" s="9" t="s">
        <v>924</v>
      </c>
      <c r="H798" s="12">
        <v>790</v>
      </c>
      <c r="I798" s="12">
        <v>4212</v>
      </c>
      <c r="J798" s="13">
        <v>0</v>
      </c>
      <c r="K798" s="13">
        <v>1788</v>
      </c>
      <c r="L798" s="13">
        <v>4000</v>
      </c>
      <c r="M798" s="13">
        <v>2000</v>
      </c>
      <c r="N798" s="13">
        <v>2000</v>
      </c>
      <c r="O798" s="13">
        <v>4000</v>
      </c>
      <c r="P798" s="13">
        <v>2000</v>
      </c>
      <c r="Q798" s="13">
        <v>2000</v>
      </c>
      <c r="R798" s="13">
        <v>4000</v>
      </c>
      <c r="S798" s="13">
        <v>2000</v>
      </c>
      <c r="T798" s="13">
        <v>2000</v>
      </c>
      <c r="U798" s="13">
        <v>2000</v>
      </c>
      <c r="V798" s="13">
        <v>2000</v>
      </c>
      <c r="W798" s="13">
        <v>4000</v>
      </c>
      <c r="X798" s="13">
        <v>2000</v>
      </c>
      <c r="Y798" s="13">
        <v>2000</v>
      </c>
      <c r="Z798" s="13">
        <v>2000</v>
      </c>
      <c r="AA798" s="13">
        <v>0</v>
      </c>
      <c r="AB798" s="13">
        <v>4000</v>
      </c>
      <c r="AC798" s="13">
        <v>2000</v>
      </c>
      <c r="AD798" s="13">
        <v>2000</v>
      </c>
    </row>
    <row r="799" spans="1:30" ht="15.75" thickBot="1" x14ac:dyDescent="0.3">
      <c r="A799" s="9" t="s">
        <v>1643</v>
      </c>
      <c r="B799" s="9" t="s">
        <v>1764</v>
      </c>
      <c r="C799" s="45" t="str">
        <f t="shared" si="12"/>
        <v>PC.WL68426192</v>
      </c>
      <c r="D799" s="10" t="s">
        <v>1771</v>
      </c>
      <c r="E799" s="10" t="s">
        <v>1772</v>
      </c>
      <c r="F799" s="9" t="s">
        <v>1117</v>
      </c>
      <c r="G799" s="9" t="s">
        <v>924</v>
      </c>
      <c r="H799" s="12">
        <v>510</v>
      </c>
      <c r="I799" s="12">
        <v>5615</v>
      </c>
      <c r="J799" s="13">
        <v>0</v>
      </c>
      <c r="K799" s="13">
        <v>385</v>
      </c>
      <c r="L799" s="13">
        <v>3000</v>
      </c>
      <c r="M799" s="13">
        <v>2000</v>
      </c>
      <c r="N799" s="13">
        <v>3000</v>
      </c>
      <c r="O799" s="13">
        <v>2000</v>
      </c>
      <c r="P799" s="13">
        <v>3000</v>
      </c>
      <c r="Q799" s="13">
        <v>3000</v>
      </c>
      <c r="R799" s="13">
        <v>2000</v>
      </c>
      <c r="S799" s="13">
        <v>3000</v>
      </c>
      <c r="T799" s="13">
        <v>3000</v>
      </c>
      <c r="U799" s="13">
        <v>2000</v>
      </c>
      <c r="V799" s="13">
        <v>2000</v>
      </c>
      <c r="W799" s="13">
        <v>3000</v>
      </c>
      <c r="X799" s="13">
        <v>2000</v>
      </c>
      <c r="Y799" s="13">
        <v>3000</v>
      </c>
      <c r="Z799" s="13">
        <v>2000</v>
      </c>
      <c r="AA799" s="13">
        <v>0</v>
      </c>
      <c r="AB799" s="13">
        <v>3000</v>
      </c>
      <c r="AC799" s="13">
        <v>2000</v>
      </c>
      <c r="AD799" s="13">
        <v>3000</v>
      </c>
    </row>
    <row r="800" spans="1:30" ht="15.75" thickBot="1" x14ac:dyDescent="0.3">
      <c r="A800" s="9" t="s">
        <v>1643</v>
      </c>
      <c r="B800" s="9" t="s">
        <v>1764</v>
      </c>
      <c r="C800" s="45" t="str">
        <f t="shared" si="12"/>
        <v>PC.WL68430494</v>
      </c>
      <c r="D800" s="10" t="s">
        <v>1773</v>
      </c>
      <c r="E800" s="10" t="s">
        <v>1774</v>
      </c>
      <c r="F800" s="9" t="s">
        <v>1117</v>
      </c>
      <c r="G800" s="9" t="s">
        <v>924</v>
      </c>
      <c r="H800" s="12">
        <v>790</v>
      </c>
      <c r="I800" s="12">
        <v>4004</v>
      </c>
      <c r="J800" s="13">
        <v>0</v>
      </c>
      <c r="K800" s="13">
        <v>0</v>
      </c>
      <c r="L800" s="13">
        <v>3996</v>
      </c>
      <c r="M800" s="13">
        <v>4000</v>
      </c>
      <c r="N800" s="13">
        <v>0</v>
      </c>
      <c r="O800" s="13">
        <v>4000</v>
      </c>
      <c r="P800" s="13">
        <v>4000</v>
      </c>
      <c r="Q800" s="13">
        <v>0</v>
      </c>
      <c r="R800" s="13">
        <v>4000</v>
      </c>
      <c r="S800" s="13">
        <v>4000</v>
      </c>
      <c r="T800" s="13">
        <v>0</v>
      </c>
      <c r="U800" s="13">
        <v>4000</v>
      </c>
      <c r="V800" s="13">
        <v>4000</v>
      </c>
      <c r="W800" s="13">
        <v>0</v>
      </c>
      <c r="X800" s="13">
        <v>4000</v>
      </c>
      <c r="Y800" s="13">
        <v>4000</v>
      </c>
      <c r="Z800" s="13">
        <v>0</v>
      </c>
      <c r="AA800" s="13">
        <v>0</v>
      </c>
      <c r="AB800" s="13">
        <v>4000</v>
      </c>
      <c r="AC800" s="13">
        <v>0</v>
      </c>
      <c r="AD800" s="13">
        <v>4000</v>
      </c>
    </row>
    <row r="801" spans="1:30" ht="15.75" thickBot="1" x14ac:dyDescent="0.3">
      <c r="A801" s="9" t="s">
        <v>1643</v>
      </c>
      <c r="B801" s="9" t="s">
        <v>1764</v>
      </c>
      <c r="C801" s="45" t="str">
        <f t="shared" si="12"/>
        <v>PC.WL68431601</v>
      </c>
      <c r="D801" s="10" t="s">
        <v>1775</v>
      </c>
      <c r="E801" s="10" t="s">
        <v>1776</v>
      </c>
      <c r="F801" s="9" t="s">
        <v>1117</v>
      </c>
      <c r="G801" s="9" t="s">
        <v>924</v>
      </c>
      <c r="H801" s="12">
        <v>790</v>
      </c>
      <c r="I801" s="12">
        <v>5078</v>
      </c>
      <c r="J801" s="13">
        <v>0</v>
      </c>
      <c r="K801" s="13">
        <v>322</v>
      </c>
      <c r="L801" s="13">
        <v>3000</v>
      </c>
      <c r="M801" s="13">
        <v>2400</v>
      </c>
      <c r="N801" s="13">
        <v>2400</v>
      </c>
      <c r="O801" s="13">
        <v>2400</v>
      </c>
      <c r="P801" s="13">
        <v>3000</v>
      </c>
      <c r="Q801" s="13">
        <v>3000</v>
      </c>
      <c r="R801" s="13">
        <v>2400</v>
      </c>
      <c r="S801" s="13">
        <v>2400</v>
      </c>
      <c r="T801" s="13">
        <v>3000</v>
      </c>
      <c r="U801" s="13">
        <v>1800</v>
      </c>
      <c r="V801" s="13">
        <v>2400</v>
      </c>
      <c r="W801" s="13">
        <v>3000</v>
      </c>
      <c r="X801" s="13">
        <v>1800</v>
      </c>
      <c r="Y801" s="13">
        <v>3600</v>
      </c>
      <c r="Z801" s="13">
        <v>1800</v>
      </c>
      <c r="AA801" s="13">
        <v>0</v>
      </c>
      <c r="AB801" s="13">
        <v>2400</v>
      </c>
      <c r="AC801" s="13">
        <v>2400</v>
      </c>
      <c r="AD801" s="13">
        <v>2400</v>
      </c>
    </row>
    <row r="802" spans="1:30" ht="15.75" thickBot="1" x14ac:dyDescent="0.3">
      <c r="A802" s="9" t="s">
        <v>1643</v>
      </c>
      <c r="B802" s="9" t="s">
        <v>1764</v>
      </c>
      <c r="C802" s="45" t="str">
        <f t="shared" si="12"/>
        <v>PC.WL68507882</v>
      </c>
      <c r="D802" s="10" t="s">
        <v>1777</v>
      </c>
      <c r="E802" s="10" t="s">
        <v>1778</v>
      </c>
      <c r="F802" s="9" t="s">
        <v>1117</v>
      </c>
      <c r="G802" s="9" t="s">
        <v>924</v>
      </c>
      <c r="H802" s="12">
        <v>790</v>
      </c>
      <c r="I802" s="12">
        <v>1941</v>
      </c>
      <c r="J802" s="13">
        <v>0</v>
      </c>
      <c r="K802" s="13">
        <v>2059</v>
      </c>
      <c r="L802" s="13">
        <v>4000</v>
      </c>
      <c r="M802" s="13">
        <v>2000</v>
      </c>
      <c r="N802" s="13">
        <v>2000</v>
      </c>
      <c r="O802" s="13">
        <v>4000</v>
      </c>
      <c r="P802" s="13">
        <v>2000</v>
      </c>
      <c r="Q802" s="13">
        <v>2000</v>
      </c>
      <c r="R802" s="13">
        <v>4000</v>
      </c>
      <c r="S802" s="13">
        <v>2000</v>
      </c>
      <c r="T802" s="13">
        <v>2000</v>
      </c>
      <c r="U802" s="13">
        <v>2000</v>
      </c>
      <c r="V802" s="13">
        <v>4000</v>
      </c>
      <c r="W802" s="13">
        <v>2000</v>
      </c>
      <c r="X802" s="13">
        <v>2000</v>
      </c>
      <c r="Y802" s="13">
        <v>4000</v>
      </c>
      <c r="Z802" s="13">
        <v>2000</v>
      </c>
      <c r="AA802" s="13">
        <v>0</v>
      </c>
      <c r="AB802" s="13">
        <v>2000</v>
      </c>
      <c r="AC802" s="13">
        <v>2000</v>
      </c>
      <c r="AD802" s="13">
        <v>2000</v>
      </c>
    </row>
    <row r="803" spans="1:30" ht="15.75" thickBot="1" x14ac:dyDescent="0.3">
      <c r="A803" s="9" t="s">
        <v>1643</v>
      </c>
      <c r="B803" s="9" t="s">
        <v>1764</v>
      </c>
      <c r="C803" s="45" t="str">
        <f t="shared" si="12"/>
        <v>PC.WL68507883</v>
      </c>
      <c r="D803" s="10" t="s">
        <v>1779</v>
      </c>
      <c r="E803" s="10" t="s">
        <v>1780</v>
      </c>
      <c r="F803" s="9" t="s">
        <v>1117</v>
      </c>
      <c r="G803" s="9" t="s">
        <v>924</v>
      </c>
      <c r="H803" s="12">
        <v>790</v>
      </c>
      <c r="I803" s="12">
        <v>10002</v>
      </c>
      <c r="J803" s="13">
        <v>0</v>
      </c>
      <c r="K803" s="13">
        <v>0</v>
      </c>
      <c r="L803" s="13">
        <v>0</v>
      </c>
      <c r="M803" s="13">
        <v>1998</v>
      </c>
      <c r="N803" s="13">
        <v>2000</v>
      </c>
      <c r="O803" s="13">
        <v>2000</v>
      </c>
      <c r="P803" s="13">
        <v>4000</v>
      </c>
      <c r="Q803" s="13">
        <v>2000</v>
      </c>
      <c r="R803" s="13">
        <v>2000</v>
      </c>
      <c r="S803" s="13">
        <v>4000</v>
      </c>
      <c r="T803" s="13">
        <v>2000</v>
      </c>
      <c r="U803" s="13">
        <v>2000</v>
      </c>
      <c r="V803" s="13">
        <v>2000</v>
      </c>
      <c r="W803" s="13">
        <v>4000</v>
      </c>
      <c r="X803" s="13">
        <v>2000</v>
      </c>
      <c r="Y803" s="13">
        <v>2000</v>
      </c>
      <c r="Z803" s="13">
        <v>2000</v>
      </c>
      <c r="AA803" s="13">
        <v>0</v>
      </c>
      <c r="AB803" s="13">
        <v>2000</v>
      </c>
      <c r="AC803" s="13">
        <v>4000</v>
      </c>
      <c r="AD803" s="13">
        <v>2000</v>
      </c>
    </row>
    <row r="804" spans="1:30" ht="15.75" thickBot="1" x14ac:dyDescent="0.3">
      <c r="A804" s="9" t="s">
        <v>1643</v>
      </c>
      <c r="B804" s="9" t="s">
        <v>1781</v>
      </c>
      <c r="C804" s="45" t="str">
        <f t="shared" si="12"/>
        <v>ASYMS10723OS</v>
      </c>
      <c r="D804" s="10" t="s">
        <v>1782</v>
      </c>
      <c r="E804" s="10" t="s">
        <v>1783</v>
      </c>
      <c r="F804" s="9" t="s">
        <v>261</v>
      </c>
      <c r="G804" s="9" t="s">
        <v>924</v>
      </c>
      <c r="H804" s="11">
        <v>36.923000000000002</v>
      </c>
      <c r="I804" s="12">
        <v>951</v>
      </c>
      <c r="J804" s="13">
        <v>1019</v>
      </c>
      <c r="K804" s="13">
        <v>2016</v>
      </c>
      <c r="L804" s="13">
        <v>1488</v>
      </c>
      <c r="M804" s="13">
        <v>1584</v>
      </c>
      <c r="N804" s="13">
        <v>1584</v>
      </c>
      <c r="O804" s="13">
        <v>1008</v>
      </c>
      <c r="P804" s="13">
        <v>2064</v>
      </c>
      <c r="Q804" s="13">
        <v>2064</v>
      </c>
      <c r="R804" s="13">
        <v>1680</v>
      </c>
      <c r="S804" s="13">
        <v>2784</v>
      </c>
      <c r="T804" s="13">
        <v>0</v>
      </c>
      <c r="U804" s="13">
        <v>288</v>
      </c>
      <c r="V804" s="13">
        <v>2112</v>
      </c>
      <c r="W804" s="13">
        <v>2112</v>
      </c>
      <c r="X804" s="13">
        <v>1872</v>
      </c>
      <c r="Y804" s="13">
        <v>1920</v>
      </c>
      <c r="Z804" s="13">
        <v>1440</v>
      </c>
      <c r="AA804" s="13">
        <v>2016</v>
      </c>
      <c r="AB804" s="13">
        <v>2064</v>
      </c>
      <c r="AC804" s="13">
        <v>2064</v>
      </c>
      <c r="AD804" s="13">
        <v>1776</v>
      </c>
    </row>
    <row r="805" spans="1:30" ht="15.75" thickBot="1" x14ac:dyDescent="0.3">
      <c r="A805" s="9" t="s">
        <v>1643</v>
      </c>
      <c r="B805" s="9" t="s">
        <v>1784</v>
      </c>
      <c r="C805" s="45" t="str">
        <f t="shared" si="12"/>
        <v>ASYMS28A60W17</v>
      </c>
      <c r="D805" s="10" t="s">
        <v>1785</v>
      </c>
      <c r="E805" s="10" t="s">
        <v>1786</v>
      </c>
      <c r="F805" s="9" t="s">
        <v>494</v>
      </c>
      <c r="G805" s="9" t="s">
        <v>924</v>
      </c>
      <c r="H805" s="12">
        <v>33</v>
      </c>
      <c r="I805" s="12">
        <v>3714</v>
      </c>
      <c r="J805" s="13">
        <v>0</v>
      </c>
      <c r="K805" s="13">
        <v>0</v>
      </c>
      <c r="L805" s="13">
        <v>1678</v>
      </c>
      <c r="M805" s="13">
        <v>2200</v>
      </c>
      <c r="N805" s="13">
        <v>2288</v>
      </c>
      <c r="O805" s="13">
        <v>2728</v>
      </c>
      <c r="P805" s="13">
        <v>2838</v>
      </c>
      <c r="Q805" s="13">
        <v>1848</v>
      </c>
      <c r="R805" s="13">
        <v>2002</v>
      </c>
      <c r="S805" s="13">
        <v>2992</v>
      </c>
      <c r="T805" s="13">
        <v>3102</v>
      </c>
      <c r="U805" s="13">
        <v>2992</v>
      </c>
      <c r="V805" s="13">
        <v>2596</v>
      </c>
      <c r="W805" s="13">
        <v>4158</v>
      </c>
      <c r="X805" s="13">
        <v>3938</v>
      </c>
      <c r="Y805" s="13">
        <v>3982</v>
      </c>
      <c r="Z805" s="13">
        <v>5016</v>
      </c>
      <c r="AA805" s="13">
        <v>0</v>
      </c>
      <c r="AB805" s="13">
        <v>814</v>
      </c>
      <c r="AC805" s="13">
        <v>4092</v>
      </c>
      <c r="AD805" s="13">
        <v>4114</v>
      </c>
    </row>
    <row r="806" spans="1:30" ht="15.75" thickBot="1" x14ac:dyDescent="0.3">
      <c r="A806" s="9" t="s">
        <v>1643</v>
      </c>
      <c r="B806" s="9" t="s">
        <v>1787</v>
      </c>
      <c r="C806" s="45" t="str">
        <f t="shared" si="12"/>
        <v>ASYMS13110W2</v>
      </c>
      <c r="D806" s="10" t="s">
        <v>1788</v>
      </c>
      <c r="E806" s="10" t="s">
        <v>1789</v>
      </c>
      <c r="F806" s="9" t="s">
        <v>494</v>
      </c>
      <c r="G806" s="9" t="s">
        <v>924</v>
      </c>
      <c r="H806" s="12">
        <v>37</v>
      </c>
      <c r="I806" s="12">
        <v>2162</v>
      </c>
      <c r="J806" s="13">
        <v>0</v>
      </c>
      <c r="K806" s="13">
        <v>0</v>
      </c>
      <c r="L806" s="13">
        <v>1074</v>
      </c>
      <c r="M806" s="13">
        <v>1021</v>
      </c>
      <c r="N806" s="13">
        <v>1108</v>
      </c>
      <c r="O806" s="13">
        <v>1518</v>
      </c>
      <c r="P806" s="13">
        <v>1895</v>
      </c>
      <c r="Q806" s="13">
        <v>371</v>
      </c>
      <c r="R806" s="13">
        <v>1043</v>
      </c>
      <c r="S806" s="13">
        <v>1516</v>
      </c>
      <c r="T806" s="13">
        <v>1663</v>
      </c>
      <c r="U806" s="13">
        <v>1485</v>
      </c>
      <c r="V806" s="13">
        <v>1285</v>
      </c>
      <c r="W806" s="13">
        <v>2068</v>
      </c>
      <c r="X806" s="13">
        <v>1998</v>
      </c>
      <c r="Y806" s="13">
        <v>1991</v>
      </c>
      <c r="Z806" s="13">
        <v>2472</v>
      </c>
      <c r="AA806" s="13">
        <v>0</v>
      </c>
      <c r="AB806" s="13">
        <v>412</v>
      </c>
      <c r="AC806" s="13">
        <v>2063</v>
      </c>
      <c r="AD806" s="13">
        <v>2055</v>
      </c>
    </row>
    <row r="807" spans="1:30" ht="15.75" thickBot="1" x14ac:dyDescent="0.3">
      <c r="A807" s="9" t="s">
        <v>1643</v>
      </c>
      <c r="B807" s="9" t="s">
        <v>1790</v>
      </c>
      <c r="C807" s="45" t="str">
        <f t="shared" si="12"/>
        <v>ASYMS20K50W14</v>
      </c>
      <c r="D807" s="10" t="s">
        <v>1791</v>
      </c>
      <c r="E807" s="10" t="s">
        <v>1792</v>
      </c>
      <c r="F807" s="9" t="s">
        <v>494</v>
      </c>
      <c r="G807" s="9" t="s">
        <v>924</v>
      </c>
      <c r="H807" s="12">
        <v>33</v>
      </c>
      <c r="I807" s="12">
        <v>6604</v>
      </c>
      <c r="J807" s="13">
        <v>0</v>
      </c>
      <c r="K807" s="13">
        <v>5320</v>
      </c>
      <c r="L807" s="13">
        <v>13560</v>
      </c>
      <c r="M807" s="13">
        <v>9364</v>
      </c>
      <c r="N807" s="13">
        <v>10408</v>
      </c>
      <c r="O807" s="13">
        <v>13184</v>
      </c>
      <c r="P807" s="13">
        <v>17648</v>
      </c>
      <c r="Q807" s="13">
        <v>4730</v>
      </c>
      <c r="R807" s="13">
        <v>10008</v>
      </c>
      <c r="S807" s="13">
        <v>14272</v>
      </c>
      <c r="T807" s="13">
        <v>14742</v>
      </c>
      <c r="U807" s="13">
        <v>13518</v>
      </c>
      <c r="V807" s="13">
        <v>10186</v>
      </c>
      <c r="W807" s="13">
        <v>15604</v>
      </c>
      <c r="X807" s="13">
        <v>15108</v>
      </c>
      <c r="Y807" s="13">
        <v>15236</v>
      </c>
      <c r="Z807" s="13">
        <v>18226</v>
      </c>
      <c r="AA807" s="13">
        <v>0</v>
      </c>
      <c r="AB807" s="13">
        <v>3090</v>
      </c>
      <c r="AC807" s="13">
        <v>15492</v>
      </c>
      <c r="AD807" s="13">
        <v>15414</v>
      </c>
    </row>
    <row r="808" spans="1:30" ht="15.75" thickBot="1" x14ac:dyDescent="0.3">
      <c r="A808" s="9" t="s">
        <v>1643</v>
      </c>
      <c r="B808" s="9" t="s">
        <v>1793</v>
      </c>
      <c r="C808" s="45" t="str">
        <f t="shared" si="12"/>
        <v>N1WB E40630 AE</v>
      </c>
      <c r="D808" s="10" t="s">
        <v>1794</v>
      </c>
      <c r="E808" s="10" t="s">
        <v>1795</v>
      </c>
      <c r="F808" s="9" t="s">
        <v>261</v>
      </c>
      <c r="G808" s="9" t="s">
        <v>924</v>
      </c>
      <c r="H808" s="11">
        <v>205.71420000000001</v>
      </c>
      <c r="I808" s="12">
        <v>40</v>
      </c>
      <c r="J808" s="13">
        <v>0</v>
      </c>
      <c r="K808" s="13">
        <v>1040</v>
      </c>
      <c r="L808" s="13">
        <v>3240</v>
      </c>
      <c r="M808" s="13">
        <v>1080</v>
      </c>
      <c r="N808" s="13">
        <v>180</v>
      </c>
      <c r="O808" s="13">
        <v>1260</v>
      </c>
      <c r="P808" s="13">
        <v>1080</v>
      </c>
      <c r="Q808" s="13">
        <v>1080</v>
      </c>
      <c r="R808" s="13">
        <v>1620</v>
      </c>
      <c r="S808" s="13">
        <v>1620</v>
      </c>
      <c r="T808" s="13">
        <v>1440</v>
      </c>
      <c r="U808" s="13">
        <v>1260</v>
      </c>
      <c r="V808" s="13">
        <v>2340</v>
      </c>
      <c r="W808" s="13">
        <v>1980</v>
      </c>
      <c r="X808" s="13">
        <v>2160</v>
      </c>
      <c r="Y808" s="13">
        <v>1620</v>
      </c>
      <c r="Z808" s="13">
        <v>0</v>
      </c>
      <c r="AA808" s="13">
        <v>1080</v>
      </c>
      <c r="AB808" s="13">
        <v>1980</v>
      </c>
      <c r="AC808" s="13">
        <v>1980</v>
      </c>
      <c r="AD808" s="13">
        <v>1980</v>
      </c>
    </row>
    <row r="809" spans="1:30" ht="15.75" thickBot="1" x14ac:dyDescent="0.3">
      <c r="A809" s="9" t="s">
        <v>1643</v>
      </c>
      <c r="B809" s="9" t="s">
        <v>1793</v>
      </c>
      <c r="C809" s="45" t="str">
        <f t="shared" si="12"/>
        <v>N1WB E40631 AE</v>
      </c>
      <c r="D809" s="10" t="s">
        <v>1796</v>
      </c>
      <c r="E809" s="10" t="s">
        <v>1795</v>
      </c>
      <c r="F809" s="9" t="s">
        <v>261</v>
      </c>
      <c r="G809" s="9" t="s">
        <v>924</v>
      </c>
      <c r="H809" s="11">
        <v>205.71420000000001</v>
      </c>
      <c r="I809" s="12">
        <v>3644</v>
      </c>
      <c r="J809" s="13">
        <v>0</v>
      </c>
      <c r="K809" s="13">
        <v>0</v>
      </c>
      <c r="L809" s="13">
        <v>676</v>
      </c>
      <c r="M809" s="13">
        <v>1080</v>
      </c>
      <c r="N809" s="13">
        <v>180</v>
      </c>
      <c r="O809" s="13">
        <v>1440</v>
      </c>
      <c r="P809" s="13">
        <v>900</v>
      </c>
      <c r="Q809" s="13">
        <v>1260</v>
      </c>
      <c r="R809" s="13">
        <v>1440</v>
      </c>
      <c r="S809" s="13">
        <v>1800</v>
      </c>
      <c r="T809" s="13">
        <v>1440</v>
      </c>
      <c r="U809" s="13">
        <v>1260</v>
      </c>
      <c r="V809" s="13">
        <v>2340</v>
      </c>
      <c r="W809" s="13">
        <v>1980</v>
      </c>
      <c r="X809" s="13">
        <v>1980</v>
      </c>
      <c r="Y809" s="13">
        <v>1800</v>
      </c>
      <c r="Z809" s="13">
        <v>0</v>
      </c>
      <c r="AA809" s="13">
        <v>900</v>
      </c>
      <c r="AB809" s="13">
        <v>2160</v>
      </c>
      <c r="AC809" s="13">
        <v>1980</v>
      </c>
      <c r="AD809" s="13">
        <v>1980</v>
      </c>
    </row>
    <row r="810" spans="1:30" ht="15.75" thickBot="1" x14ac:dyDescent="0.3">
      <c r="A810" s="9" t="s">
        <v>1643</v>
      </c>
      <c r="B810" s="9" t="s">
        <v>1793</v>
      </c>
      <c r="C810" s="45" t="str">
        <f t="shared" si="12"/>
        <v>N1WB E40780 AC</v>
      </c>
      <c r="D810" s="10" t="s">
        <v>1797</v>
      </c>
      <c r="E810" s="10" t="s">
        <v>1798</v>
      </c>
      <c r="F810" s="9" t="s">
        <v>261</v>
      </c>
      <c r="G810" s="9" t="s">
        <v>924</v>
      </c>
      <c r="H810" s="11">
        <v>102.8571</v>
      </c>
      <c r="I810" s="12">
        <v>1092</v>
      </c>
      <c r="J810" s="13">
        <v>0</v>
      </c>
      <c r="K810" s="13">
        <v>1068</v>
      </c>
      <c r="L810" s="13">
        <v>3240</v>
      </c>
      <c r="M810" s="13">
        <v>0</v>
      </c>
      <c r="N810" s="13">
        <v>1080</v>
      </c>
      <c r="O810" s="13">
        <v>1440</v>
      </c>
      <c r="P810" s="13">
        <v>900</v>
      </c>
      <c r="Q810" s="13">
        <v>1260</v>
      </c>
      <c r="R810" s="13">
        <v>1440</v>
      </c>
      <c r="S810" s="13">
        <v>1800</v>
      </c>
      <c r="T810" s="13">
        <v>1440</v>
      </c>
      <c r="U810" s="13">
        <v>1260</v>
      </c>
      <c r="V810" s="13">
        <v>2160</v>
      </c>
      <c r="W810" s="13">
        <v>2160</v>
      </c>
      <c r="X810" s="13">
        <v>1980</v>
      </c>
      <c r="Y810" s="13">
        <v>1800</v>
      </c>
      <c r="Z810" s="13">
        <v>0</v>
      </c>
      <c r="AA810" s="13">
        <v>900</v>
      </c>
      <c r="AB810" s="13">
        <v>2160</v>
      </c>
      <c r="AC810" s="13">
        <v>1980</v>
      </c>
      <c r="AD810" s="13">
        <v>1980</v>
      </c>
    </row>
    <row r="811" spans="1:30" ht="15.75" thickBot="1" x14ac:dyDescent="0.3">
      <c r="A811" s="9" t="s">
        <v>1643</v>
      </c>
      <c r="B811" s="9" t="s">
        <v>1793</v>
      </c>
      <c r="C811" s="45" t="str">
        <f t="shared" si="12"/>
        <v>N1WB E40781 AC</v>
      </c>
      <c r="D811" s="10" t="s">
        <v>1799</v>
      </c>
      <c r="E811" s="10" t="s">
        <v>1798</v>
      </c>
      <c r="F811" s="9" t="s">
        <v>261</v>
      </c>
      <c r="G811" s="9" t="s">
        <v>924</v>
      </c>
      <c r="H811" s="11">
        <v>102.8571</v>
      </c>
      <c r="I811" s="12">
        <v>1801</v>
      </c>
      <c r="J811" s="13">
        <v>0</v>
      </c>
      <c r="K811" s="13">
        <v>0</v>
      </c>
      <c r="L811" s="13">
        <v>1439</v>
      </c>
      <c r="M811" s="13">
        <v>1080</v>
      </c>
      <c r="N811" s="13">
        <v>360</v>
      </c>
      <c r="O811" s="13">
        <v>1440</v>
      </c>
      <c r="P811" s="13">
        <v>900</v>
      </c>
      <c r="Q811" s="13">
        <v>1260</v>
      </c>
      <c r="R811" s="13">
        <v>1440</v>
      </c>
      <c r="S811" s="13">
        <v>1800</v>
      </c>
      <c r="T811" s="13">
        <v>1440</v>
      </c>
      <c r="U811" s="13">
        <v>1260</v>
      </c>
      <c r="V811" s="13">
        <v>2340</v>
      </c>
      <c r="W811" s="13">
        <v>1980</v>
      </c>
      <c r="X811" s="13">
        <v>1980</v>
      </c>
      <c r="Y811" s="13">
        <v>1800</v>
      </c>
      <c r="Z811" s="13">
        <v>0</v>
      </c>
      <c r="AA811" s="13">
        <v>900</v>
      </c>
      <c r="AB811" s="13">
        <v>2160</v>
      </c>
      <c r="AC811" s="13">
        <v>1980</v>
      </c>
      <c r="AD811" s="13">
        <v>1980</v>
      </c>
    </row>
    <row r="812" spans="1:30" ht="15.75" thickBot="1" x14ac:dyDescent="0.3">
      <c r="A812" s="9" t="s">
        <v>1643</v>
      </c>
      <c r="B812" s="9" t="s">
        <v>1800</v>
      </c>
      <c r="C812" s="45" t="str">
        <f t="shared" si="12"/>
        <v>KB3B 9W506 AA</v>
      </c>
      <c r="D812" s="10" t="s">
        <v>1801</v>
      </c>
      <c r="E812" s="10" t="s">
        <v>1802</v>
      </c>
      <c r="F812" s="9" t="s">
        <v>494</v>
      </c>
      <c r="G812" s="9" t="s">
        <v>924</v>
      </c>
      <c r="H812" s="12">
        <v>227</v>
      </c>
      <c r="I812" s="12">
        <v>4546</v>
      </c>
      <c r="J812" s="13">
        <v>0</v>
      </c>
      <c r="K812" s="13">
        <v>0</v>
      </c>
      <c r="L812" s="13">
        <v>6254</v>
      </c>
      <c r="M812" s="13">
        <v>4752</v>
      </c>
      <c r="N812" s="13">
        <v>2304</v>
      </c>
      <c r="O812" s="13">
        <v>3384</v>
      </c>
      <c r="P812" s="13">
        <v>5040</v>
      </c>
      <c r="Q812" s="13">
        <v>3744</v>
      </c>
      <c r="R812" s="13">
        <v>4608</v>
      </c>
      <c r="S812" s="13">
        <v>5760</v>
      </c>
      <c r="T812" s="13">
        <v>5688</v>
      </c>
      <c r="U812" s="13">
        <v>5040</v>
      </c>
      <c r="V812" s="13">
        <v>4104</v>
      </c>
      <c r="W812" s="13">
        <v>6048</v>
      </c>
      <c r="X812" s="13">
        <v>5616</v>
      </c>
      <c r="Y812" s="13">
        <v>5184</v>
      </c>
      <c r="Z812" s="13">
        <v>4608</v>
      </c>
      <c r="AA812" s="13">
        <v>288</v>
      </c>
      <c r="AB812" s="13">
        <v>2304</v>
      </c>
      <c r="AC812" s="13">
        <v>5760</v>
      </c>
      <c r="AD812" s="13">
        <v>5688</v>
      </c>
    </row>
    <row r="813" spans="1:30" ht="15.75" thickBot="1" x14ac:dyDescent="0.3">
      <c r="A813" s="9" t="s">
        <v>1643</v>
      </c>
      <c r="B813" s="9" t="s">
        <v>1800</v>
      </c>
      <c r="C813" s="45" t="str">
        <f t="shared" si="12"/>
        <v>MB3B 18A334 AB</v>
      </c>
      <c r="D813" s="10" t="s">
        <v>1803</v>
      </c>
      <c r="E813" s="10" t="s">
        <v>1804</v>
      </c>
      <c r="F813" s="9" t="s">
        <v>364</v>
      </c>
      <c r="G813" s="9" t="s">
        <v>924</v>
      </c>
      <c r="H813" s="11">
        <v>128.57140000000001</v>
      </c>
      <c r="I813" s="12">
        <v>991</v>
      </c>
      <c r="J813" s="13">
        <v>0</v>
      </c>
      <c r="K813" s="13">
        <v>2465</v>
      </c>
      <c r="L813" s="13">
        <v>7604</v>
      </c>
      <c r="M813" s="13">
        <v>3456</v>
      </c>
      <c r="N813" s="13">
        <v>3456</v>
      </c>
      <c r="O813" s="13">
        <v>3916</v>
      </c>
      <c r="P813" s="13">
        <v>5415</v>
      </c>
      <c r="Q813" s="13">
        <v>3917</v>
      </c>
      <c r="R813" s="13">
        <v>3916</v>
      </c>
      <c r="S813" s="13">
        <v>5760</v>
      </c>
      <c r="T813" s="13">
        <v>5760</v>
      </c>
      <c r="U813" s="13">
        <v>5300</v>
      </c>
      <c r="V813" s="13">
        <v>3916</v>
      </c>
      <c r="W813" s="13">
        <v>5876</v>
      </c>
      <c r="X813" s="13">
        <v>5990</v>
      </c>
      <c r="Y813" s="13">
        <v>5069</v>
      </c>
      <c r="Z813" s="13">
        <v>5529</v>
      </c>
      <c r="AA813" s="13">
        <v>116</v>
      </c>
      <c r="AB813" s="13">
        <v>1612</v>
      </c>
      <c r="AC813" s="13">
        <v>5760</v>
      </c>
      <c r="AD813" s="13">
        <v>5645</v>
      </c>
    </row>
    <row r="814" spans="1:30" ht="15.75" thickBot="1" x14ac:dyDescent="0.3">
      <c r="A814" s="9" t="s">
        <v>1643</v>
      </c>
      <c r="B814" s="9" t="s">
        <v>1805</v>
      </c>
      <c r="C814" s="45" t="str">
        <f t="shared" si="12"/>
        <v>M2DB S517C86 AB</v>
      </c>
      <c r="D814" s="10" t="s">
        <v>1806</v>
      </c>
      <c r="E814" s="10" t="s">
        <v>1500</v>
      </c>
      <c r="F814" s="9" t="s">
        <v>364</v>
      </c>
      <c r="G814" s="9" t="s">
        <v>924</v>
      </c>
      <c r="H814" s="12">
        <v>130</v>
      </c>
      <c r="I814" s="12">
        <v>6443</v>
      </c>
      <c r="J814" s="13">
        <v>0</v>
      </c>
      <c r="K814" s="13">
        <v>11557</v>
      </c>
      <c r="L814" s="13">
        <v>0</v>
      </c>
      <c r="M814" s="13">
        <v>3600</v>
      </c>
      <c r="N814" s="13">
        <v>14400</v>
      </c>
      <c r="O814" s="13">
        <v>23</v>
      </c>
      <c r="P814" s="13">
        <v>600</v>
      </c>
      <c r="Q814" s="13">
        <v>3600</v>
      </c>
      <c r="R814" s="13">
        <v>6600</v>
      </c>
      <c r="S814" s="13">
        <v>9000</v>
      </c>
      <c r="T814" s="13">
        <v>8400</v>
      </c>
      <c r="U814" s="13">
        <v>6000</v>
      </c>
      <c r="V814" s="13">
        <v>6000</v>
      </c>
      <c r="W814" s="13">
        <v>6600</v>
      </c>
      <c r="X814" s="13">
        <v>8400</v>
      </c>
      <c r="Y814" s="13">
        <v>6600</v>
      </c>
      <c r="Z814" s="13">
        <v>7224</v>
      </c>
      <c r="AA814" s="13">
        <v>0</v>
      </c>
      <c r="AB814" s="13">
        <v>1800</v>
      </c>
      <c r="AC814" s="13">
        <v>8400</v>
      </c>
      <c r="AD814" s="13">
        <v>6600</v>
      </c>
    </row>
    <row r="815" spans="1:30" ht="15.75" thickBot="1" x14ac:dyDescent="0.3">
      <c r="A815" s="9" t="s">
        <v>1643</v>
      </c>
      <c r="B815" s="9" t="s">
        <v>1805</v>
      </c>
      <c r="C815" s="45" t="str">
        <f t="shared" si="12"/>
        <v>MB3B 5801710 AA</v>
      </c>
      <c r="D815" s="10" t="s">
        <v>1807</v>
      </c>
      <c r="E815" s="10" t="s">
        <v>1808</v>
      </c>
      <c r="F815" s="9" t="s">
        <v>364</v>
      </c>
      <c r="G815" s="9" t="s">
        <v>924</v>
      </c>
      <c r="H815" s="12">
        <v>226</v>
      </c>
      <c r="I815" s="12">
        <v>3712</v>
      </c>
      <c r="J815" s="13">
        <v>0</v>
      </c>
      <c r="K815" s="13">
        <v>0</v>
      </c>
      <c r="L815" s="13">
        <v>2408</v>
      </c>
      <c r="M815" s="13">
        <v>3600</v>
      </c>
      <c r="N815" s="13">
        <v>3120</v>
      </c>
      <c r="O815" s="13">
        <v>1740</v>
      </c>
      <c r="P815" s="13">
        <v>3660</v>
      </c>
      <c r="Q815" s="13">
        <v>2760</v>
      </c>
      <c r="R815" s="13">
        <v>3240</v>
      </c>
      <c r="S815" s="13">
        <v>4200</v>
      </c>
      <c r="T815" s="13">
        <v>4140</v>
      </c>
      <c r="U815" s="13">
        <v>3600</v>
      </c>
      <c r="V815" s="13">
        <v>2640</v>
      </c>
      <c r="W815" s="13">
        <v>3660</v>
      </c>
      <c r="X815" s="13">
        <v>3720</v>
      </c>
      <c r="Y815" s="13">
        <v>3240</v>
      </c>
      <c r="Z815" s="13">
        <v>3360</v>
      </c>
      <c r="AA815" s="13">
        <v>120</v>
      </c>
      <c r="AB815" s="13">
        <v>1200</v>
      </c>
      <c r="AC815" s="13">
        <v>3600</v>
      </c>
      <c r="AD815" s="13">
        <v>3600</v>
      </c>
    </row>
    <row r="816" spans="1:30" ht="15.75" thickBot="1" x14ac:dyDescent="0.3">
      <c r="A816" s="9" t="s">
        <v>1643</v>
      </c>
      <c r="B816" s="9" t="s">
        <v>1809</v>
      </c>
      <c r="C816" s="45" t="str">
        <f t="shared" si="12"/>
        <v>ASYPW20116W13HV</v>
      </c>
      <c r="D816" s="10" t="s">
        <v>1810</v>
      </c>
      <c r="E816" s="10" t="s">
        <v>1811</v>
      </c>
      <c r="F816" s="9" t="s">
        <v>494</v>
      </c>
      <c r="G816" s="9" t="s">
        <v>924</v>
      </c>
      <c r="H816" s="11">
        <v>207.97219999999999</v>
      </c>
      <c r="I816" s="12">
        <v>585</v>
      </c>
      <c r="J816" s="13">
        <v>0</v>
      </c>
      <c r="K816" s="13">
        <v>894</v>
      </c>
      <c r="L816" s="13">
        <v>1352</v>
      </c>
      <c r="M816" s="13">
        <v>1040</v>
      </c>
      <c r="N816" s="13">
        <v>1103</v>
      </c>
      <c r="O816" s="13">
        <v>1383</v>
      </c>
      <c r="P816" s="13">
        <v>1414</v>
      </c>
      <c r="Q816" s="13">
        <v>1020</v>
      </c>
      <c r="R816" s="13">
        <v>1040</v>
      </c>
      <c r="S816" s="13">
        <v>1487</v>
      </c>
      <c r="T816" s="13">
        <v>1601</v>
      </c>
      <c r="U816" s="13">
        <v>1467</v>
      </c>
      <c r="V816" s="13">
        <v>1289</v>
      </c>
      <c r="W816" s="13">
        <v>2080</v>
      </c>
      <c r="X816" s="13">
        <v>2008</v>
      </c>
      <c r="Y816" s="13">
        <v>1986</v>
      </c>
      <c r="Z816" s="13">
        <v>2454</v>
      </c>
      <c r="AA816" s="13">
        <v>0</v>
      </c>
      <c r="AB816" s="13">
        <v>406</v>
      </c>
      <c r="AC816" s="13">
        <v>2049</v>
      </c>
      <c r="AD816" s="13">
        <v>2090</v>
      </c>
    </row>
    <row r="817" spans="1:30" ht="15.75" thickBot="1" x14ac:dyDescent="0.3">
      <c r="A817" s="9" t="s">
        <v>1643</v>
      </c>
      <c r="B817" s="9" t="s">
        <v>1809</v>
      </c>
      <c r="C817" s="45" t="str">
        <f t="shared" si="12"/>
        <v>ASYPW20117W13HV</v>
      </c>
      <c r="D817" s="10" t="s">
        <v>1812</v>
      </c>
      <c r="E817" s="10" t="s">
        <v>1813</v>
      </c>
      <c r="F817" s="9" t="s">
        <v>494</v>
      </c>
      <c r="G817" s="9" t="s">
        <v>924</v>
      </c>
      <c r="H817" s="11">
        <v>207.97219999999999</v>
      </c>
      <c r="I817" s="12">
        <v>1364</v>
      </c>
      <c r="J817" s="13">
        <v>0</v>
      </c>
      <c r="K817" s="13">
        <v>0</v>
      </c>
      <c r="L817" s="13">
        <v>1295</v>
      </c>
      <c r="M817" s="13">
        <v>998</v>
      </c>
      <c r="N817" s="13">
        <v>1113</v>
      </c>
      <c r="O817" s="13">
        <v>1446</v>
      </c>
      <c r="P817" s="13">
        <v>1477</v>
      </c>
      <c r="Q817" s="13">
        <v>925</v>
      </c>
      <c r="R817" s="13">
        <v>1010</v>
      </c>
      <c r="S817" s="13">
        <v>1518</v>
      </c>
      <c r="T817" s="13">
        <v>1571</v>
      </c>
      <c r="U817" s="13">
        <v>1508</v>
      </c>
      <c r="V817" s="13">
        <v>1289</v>
      </c>
      <c r="W817" s="13">
        <v>2070</v>
      </c>
      <c r="X817" s="13">
        <v>1966</v>
      </c>
      <c r="Y817" s="13">
        <v>1996</v>
      </c>
      <c r="Z817" s="13">
        <v>2496</v>
      </c>
      <c r="AA817" s="13">
        <v>0</v>
      </c>
      <c r="AB817" s="13">
        <v>406</v>
      </c>
      <c r="AC817" s="13">
        <v>2049</v>
      </c>
      <c r="AD817" s="13">
        <v>2090</v>
      </c>
    </row>
    <row r="818" spans="1:30" ht="15.75" thickBot="1" x14ac:dyDescent="0.3">
      <c r="A818" s="9" t="s">
        <v>1643</v>
      </c>
      <c r="B818" s="9" t="s">
        <v>1809</v>
      </c>
      <c r="C818" s="45" t="str">
        <f t="shared" si="12"/>
        <v>N1WB 16D232 BB</v>
      </c>
      <c r="D818" s="10" t="s">
        <v>1814</v>
      </c>
      <c r="E818" s="10" t="s">
        <v>1815</v>
      </c>
      <c r="F818" s="9" t="s">
        <v>261</v>
      </c>
      <c r="G818" s="9" t="s">
        <v>924</v>
      </c>
      <c r="H818" s="12">
        <v>118</v>
      </c>
      <c r="I818" s="12">
        <v>1692</v>
      </c>
      <c r="J818" s="13">
        <v>0</v>
      </c>
      <c r="K818" s="13">
        <v>0</v>
      </c>
      <c r="L818" s="13">
        <v>918</v>
      </c>
      <c r="M818" s="13">
        <v>960</v>
      </c>
      <c r="N818" s="13">
        <v>1440</v>
      </c>
      <c r="O818" s="13">
        <v>960</v>
      </c>
      <c r="P818" s="13">
        <v>1580</v>
      </c>
      <c r="Q818" s="13">
        <v>840</v>
      </c>
      <c r="R818" s="13">
        <v>1080</v>
      </c>
      <c r="S818" s="13">
        <v>1440</v>
      </c>
      <c r="T818" s="13">
        <v>1600</v>
      </c>
      <c r="U818" s="13">
        <v>1480</v>
      </c>
      <c r="V818" s="13">
        <v>1390</v>
      </c>
      <c r="W818" s="13">
        <v>2160</v>
      </c>
      <c r="X818" s="13">
        <v>1960</v>
      </c>
      <c r="Y818" s="13">
        <v>2040</v>
      </c>
      <c r="Z818" s="13">
        <v>2400</v>
      </c>
      <c r="AA818" s="13">
        <v>0</v>
      </c>
      <c r="AB818" s="13">
        <v>400</v>
      </c>
      <c r="AC818" s="13">
        <v>2040</v>
      </c>
      <c r="AD818" s="13">
        <v>2120</v>
      </c>
    </row>
    <row r="819" spans="1:30" ht="15.75" thickBot="1" x14ac:dyDescent="0.3">
      <c r="A819" s="9" t="s">
        <v>1643</v>
      </c>
      <c r="B819" s="9" t="s">
        <v>1809</v>
      </c>
      <c r="C819" s="45" t="str">
        <f t="shared" si="12"/>
        <v>N1WB 16D233 BB</v>
      </c>
      <c r="D819" s="10" t="s">
        <v>1816</v>
      </c>
      <c r="E819" s="10" t="s">
        <v>1815</v>
      </c>
      <c r="F819" s="9" t="s">
        <v>261</v>
      </c>
      <c r="G819" s="9" t="s">
        <v>924</v>
      </c>
      <c r="H819" s="12">
        <v>118</v>
      </c>
      <c r="I819" s="12">
        <v>1753</v>
      </c>
      <c r="J819" s="13">
        <v>0</v>
      </c>
      <c r="K819" s="13">
        <v>0</v>
      </c>
      <c r="L819" s="13">
        <v>1607</v>
      </c>
      <c r="M819" s="13">
        <v>800</v>
      </c>
      <c r="N819" s="13">
        <v>960</v>
      </c>
      <c r="O819" s="13">
        <v>1600</v>
      </c>
      <c r="P819" s="13">
        <v>1400</v>
      </c>
      <c r="Q819" s="13">
        <v>680</v>
      </c>
      <c r="R819" s="13">
        <v>1190</v>
      </c>
      <c r="S819" s="13">
        <v>1440</v>
      </c>
      <c r="T819" s="13">
        <v>1600</v>
      </c>
      <c r="U819" s="13">
        <v>1520</v>
      </c>
      <c r="V819" s="13">
        <v>1360</v>
      </c>
      <c r="W819" s="13">
        <v>2000</v>
      </c>
      <c r="X819" s="13">
        <v>1960</v>
      </c>
      <c r="Y819" s="13">
        <v>2040</v>
      </c>
      <c r="Z819" s="13">
        <v>2400</v>
      </c>
      <c r="AA819" s="13">
        <v>0</v>
      </c>
      <c r="AB819" s="13">
        <v>440</v>
      </c>
      <c r="AC819" s="13">
        <v>2160</v>
      </c>
      <c r="AD819" s="13">
        <v>2000</v>
      </c>
    </row>
    <row r="820" spans="1:30" ht="15.75" thickBot="1" x14ac:dyDescent="0.3">
      <c r="A820" s="9" t="s">
        <v>1643</v>
      </c>
      <c r="B820" s="9" t="s">
        <v>1817</v>
      </c>
      <c r="C820" s="45" t="str">
        <f t="shared" si="12"/>
        <v>ASYPW31530W1</v>
      </c>
      <c r="D820" s="10" t="s">
        <v>1818</v>
      </c>
      <c r="E820" s="10" t="s">
        <v>1819</v>
      </c>
      <c r="F820" s="9" t="s">
        <v>494</v>
      </c>
      <c r="G820" s="9" t="s">
        <v>924</v>
      </c>
      <c r="H820" s="12">
        <v>180</v>
      </c>
      <c r="I820" s="12">
        <v>628</v>
      </c>
      <c r="J820" s="13">
        <v>0</v>
      </c>
      <c r="K820" s="13">
        <v>688</v>
      </c>
      <c r="L820" s="13">
        <v>2340</v>
      </c>
      <c r="M820" s="13">
        <v>1110</v>
      </c>
      <c r="N820" s="13">
        <v>1110</v>
      </c>
      <c r="O820" s="13">
        <v>1290</v>
      </c>
      <c r="P820" s="13">
        <v>960</v>
      </c>
      <c r="Q820" s="13">
        <v>1200</v>
      </c>
      <c r="R820" s="13">
        <v>1530</v>
      </c>
      <c r="S820" s="13">
        <v>1710</v>
      </c>
      <c r="T820" s="13">
        <v>1380</v>
      </c>
      <c r="U820" s="13">
        <v>1440</v>
      </c>
      <c r="V820" s="13">
        <v>2220</v>
      </c>
      <c r="W820" s="13">
        <v>2010</v>
      </c>
      <c r="X820" s="13">
        <v>2130</v>
      </c>
      <c r="Y820" s="13">
        <v>1470</v>
      </c>
      <c r="Z820" s="13">
        <v>0</v>
      </c>
      <c r="AA820" s="13">
        <v>1080</v>
      </c>
      <c r="AB820" s="13">
        <v>2100</v>
      </c>
      <c r="AC820" s="13">
        <v>1980</v>
      </c>
      <c r="AD820" s="13">
        <v>2010</v>
      </c>
    </row>
    <row r="821" spans="1:30" ht="15.75" thickBot="1" x14ac:dyDescent="0.3">
      <c r="A821" s="9" t="s">
        <v>1643</v>
      </c>
      <c r="B821" s="9" t="s">
        <v>1817</v>
      </c>
      <c r="C821" s="45" t="str">
        <f t="shared" si="12"/>
        <v>ASYPW38250W15</v>
      </c>
      <c r="D821" s="10" t="s">
        <v>1820</v>
      </c>
      <c r="E821" s="10" t="s">
        <v>1821</v>
      </c>
      <c r="F821" s="9" t="s">
        <v>1164</v>
      </c>
      <c r="G821" s="9" t="s">
        <v>924</v>
      </c>
      <c r="H821" s="12">
        <v>144</v>
      </c>
      <c r="I821" s="12">
        <v>786</v>
      </c>
      <c r="J821" s="13">
        <v>0</v>
      </c>
      <c r="K821" s="13">
        <v>332</v>
      </c>
      <c r="L821" s="13">
        <v>980</v>
      </c>
      <c r="M821" s="13">
        <v>980</v>
      </c>
      <c r="N821" s="13">
        <v>700</v>
      </c>
      <c r="O821" s="13">
        <v>840</v>
      </c>
      <c r="P821" s="13">
        <v>840</v>
      </c>
      <c r="Q821" s="13">
        <v>840</v>
      </c>
      <c r="R821" s="13">
        <v>910</v>
      </c>
      <c r="S821" s="13">
        <v>1120</v>
      </c>
      <c r="T821" s="13">
        <v>910</v>
      </c>
      <c r="U821" s="13">
        <v>770</v>
      </c>
      <c r="V821" s="13">
        <v>630</v>
      </c>
      <c r="W821" s="13">
        <v>630</v>
      </c>
      <c r="X821" s="13">
        <v>140</v>
      </c>
      <c r="Y821" s="13">
        <v>840</v>
      </c>
      <c r="Z821" s="13">
        <v>1470</v>
      </c>
      <c r="AA821" s="13">
        <v>1750</v>
      </c>
      <c r="AB821" s="13">
        <v>1680</v>
      </c>
      <c r="AC821" s="13">
        <v>1470</v>
      </c>
      <c r="AD821" s="13">
        <v>1400</v>
      </c>
    </row>
    <row r="822" spans="1:30" ht="15.75" thickBot="1" x14ac:dyDescent="0.3">
      <c r="A822" s="9" t="s">
        <v>1643</v>
      </c>
      <c r="B822" s="9" t="s">
        <v>1817</v>
      </c>
      <c r="C822" s="45" t="str">
        <f t="shared" si="12"/>
        <v>PC.WL68436048</v>
      </c>
      <c r="D822" s="10" t="s">
        <v>1822</v>
      </c>
      <c r="E822" s="10" t="s">
        <v>1823</v>
      </c>
      <c r="F822" s="9" t="s">
        <v>1117</v>
      </c>
      <c r="G822" s="9" t="s">
        <v>924</v>
      </c>
      <c r="H822" s="12">
        <v>644</v>
      </c>
      <c r="I822" s="12">
        <v>3638</v>
      </c>
      <c r="J822" s="13">
        <v>0</v>
      </c>
      <c r="K822" s="13">
        <v>1962</v>
      </c>
      <c r="L822" s="13">
        <v>2800</v>
      </c>
      <c r="M822" s="13">
        <v>2800</v>
      </c>
      <c r="N822" s="13">
        <v>2100</v>
      </c>
      <c r="O822" s="13">
        <v>2800</v>
      </c>
      <c r="P822" s="13">
        <v>2800</v>
      </c>
      <c r="Q822" s="13">
        <v>2800</v>
      </c>
      <c r="R822" s="13">
        <v>2800</v>
      </c>
      <c r="S822" s="13">
        <v>2800</v>
      </c>
      <c r="T822" s="13">
        <v>2800</v>
      </c>
      <c r="U822" s="13">
        <v>2100</v>
      </c>
      <c r="V822" s="13">
        <v>2100</v>
      </c>
      <c r="W822" s="13">
        <v>2800</v>
      </c>
      <c r="X822" s="13">
        <v>2100</v>
      </c>
      <c r="Y822" s="13">
        <v>2800</v>
      </c>
      <c r="Z822" s="13">
        <v>2100</v>
      </c>
      <c r="AA822" s="13">
        <v>0</v>
      </c>
      <c r="AB822" s="13">
        <v>2800</v>
      </c>
      <c r="AC822" s="13">
        <v>2100</v>
      </c>
      <c r="AD822" s="13">
        <v>2800</v>
      </c>
    </row>
    <row r="823" spans="1:30" ht="15.75" thickBot="1" x14ac:dyDescent="0.3">
      <c r="A823" s="9" t="s">
        <v>1643</v>
      </c>
      <c r="B823" s="9" t="s">
        <v>1817</v>
      </c>
      <c r="C823" s="45" t="str">
        <f t="shared" si="12"/>
        <v>PC.WL68436049</v>
      </c>
      <c r="D823" s="10" t="s">
        <v>1824</v>
      </c>
      <c r="E823" s="10" t="s">
        <v>1825</v>
      </c>
      <c r="F823" s="9" t="s">
        <v>1117</v>
      </c>
      <c r="G823" s="9" t="s">
        <v>924</v>
      </c>
      <c r="H823" s="12">
        <v>644</v>
      </c>
      <c r="I823" s="12">
        <v>2615</v>
      </c>
      <c r="J823" s="13">
        <v>0</v>
      </c>
      <c r="K823" s="13">
        <v>2985</v>
      </c>
      <c r="L823" s="13">
        <v>2800</v>
      </c>
      <c r="M823" s="13">
        <v>2800</v>
      </c>
      <c r="N823" s="13">
        <v>2100</v>
      </c>
      <c r="O823" s="13">
        <v>2800</v>
      </c>
      <c r="P823" s="13">
        <v>2800</v>
      </c>
      <c r="Q823" s="13">
        <v>2800</v>
      </c>
      <c r="R823" s="13">
        <v>2800</v>
      </c>
      <c r="S823" s="13">
        <v>2800</v>
      </c>
      <c r="T823" s="13">
        <v>2800</v>
      </c>
      <c r="U823" s="13">
        <v>2100</v>
      </c>
      <c r="V823" s="13">
        <v>2100</v>
      </c>
      <c r="W823" s="13">
        <v>2800</v>
      </c>
      <c r="X823" s="13">
        <v>2100</v>
      </c>
      <c r="Y823" s="13">
        <v>2800</v>
      </c>
      <c r="Z823" s="13">
        <v>2100</v>
      </c>
      <c r="AA823" s="13">
        <v>0</v>
      </c>
      <c r="AB823" s="13">
        <v>2800</v>
      </c>
      <c r="AC823" s="13">
        <v>2100</v>
      </c>
      <c r="AD823" s="13">
        <v>2800</v>
      </c>
    </row>
    <row r="824" spans="1:30" ht="15.75" thickBot="1" x14ac:dyDescent="0.3">
      <c r="A824" s="9" t="s">
        <v>1643</v>
      </c>
      <c r="B824" s="9" t="s">
        <v>1826</v>
      </c>
      <c r="C824" s="45" t="str">
        <f t="shared" si="12"/>
        <v>ASYPW50723MS1</v>
      </c>
      <c r="D824" s="10" t="s">
        <v>1827</v>
      </c>
      <c r="E824" s="10" t="s">
        <v>1828</v>
      </c>
      <c r="F824" s="9" t="s">
        <v>261</v>
      </c>
      <c r="G824" s="9" t="s">
        <v>924</v>
      </c>
      <c r="H824" s="11">
        <v>211.7647</v>
      </c>
      <c r="I824" s="12">
        <v>332</v>
      </c>
      <c r="J824" s="13">
        <v>687</v>
      </c>
      <c r="K824" s="13">
        <v>2016</v>
      </c>
      <c r="L824" s="13">
        <v>1488</v>
      </c>
      <c r="M824" s="13">
        <v>1584</v>
      </c>
      <c r="N824" s="13">
        <v>1584</v>
      </c>
      <c r="O824" s="13">
        <v>1008</v>
      </c>
      <c r="P824" s="13">
        <v>2064</v>
      </c>
      <c r="Q824" s="13">
        <v>2064</v>
      </c>
      <c r="R824" s="13">
        <v>1680</v>
      </c>
      <c r="S824" s="13">
        <v>2784</v>
      </c>
      <c r="T824" s="13">
        <v>0</v>
      </c>
      <c r="U824" s="13">
        <v>288</v>
      </c>
      <c r="V824" s="13">
        <v>2112</v>
      </c>
      <c r="W824" s="13">
        <v>2112</v>
      </c>
      <c r="X824" s="13">
        <v>1872</v>
      </c>
      <c r="Y824" s="13">
        <v>1920</v>
      </c>
      <c r="Z824" s="13">
        <v>1440</v>
      </c>
      <c r="AA824" s="13">
        <v>2016</v>
      </c>
      <c r="AB824" s="13">
        <v>2064</v>
      </c>
      <c r="AC824" s="13">
        <v>2064</v>
      </c>
      <c r="AD824" s="13">
        <v>1776</v>
      </c>
    </row>
    <row r="825" spans="1:30" ht="15.75" thickBot="1" x14ac:dyDescent="0.3">
      <c r="A825" s="9" t="s">
        <v>1643</v>
      </c>
      <c r="B825" s="9" t="s">
        <v>1826</v>
      </c>
      <c r="C825" s="45" t="str">
        <f t="shared" si="12"/>
        <v>ASYPW50K20W15P703</v>
      </c>
      <c r="D825" s="10" t="s">
        <v>1829</v>
      </c>
      <c r="E825" s="10" t="s">
        <v>1830</v>
      </c>
      <c r="F825" s="9" t="s">
        <v>261</v>
      </c>
      <c r="G825" s="9" t="s">
        <v>924</v>
      </c>
      <c r="H825" s="12">
        <v>343</v>
      </c>
      <c r="I825" s="12">
        <v>1249</v>
      </c>
      <c r="J825" s="13">
        <v>0</v>
      </c>
      <c r="K825" s="13">
        <v>0</v>
      </c>
      <c r="L825" s="13">
        <v>2231</v>
      </c>
      <c r="M825" s="13">
        <v>600</v>
      </c>
      <c r="N825" s="13">
        <v>1320</v>
      </c>
      <c r="O825" s="13">
        <v>1320</v>
      </c>
      <c r="P825" s="13">
        <v>960</v>
      </c>
      <c r="Q825" s="13">
        <v>1080</v>
      </c>
      <c r="R825" s="13">
        <v>1560</v>
      </c>
      <c r="S825" s="13">
        <v>1680</v>
      </c>
      <c r="T825" s="13">
        <v>1440</v>
      </c>
      <c r="U825" s="13">
        <v>1320</v>
      </c>
      <c r="V825" s="13">
        <v>2280</v>
      </c>
      <c r="W825" s="13">
        <v>2040</v>
      </c>
      <c r="X825" s="13">
        <v>2040</v>
      </c>
      <c r="Y825" s="13">
        <v>1680</v>
      </c>
      <c r="Z825" s="13">
        <v>0</v>
      </c>
      <c r="AA825" s="13">
        <v>960</v>
      </c>
      <c r="AB825" s="13">
        <v>2040</v>
      </c>
      <c r="AC825" s="13">
        <v>2040</v>
      </c>
      <c r="AD825" s="13">
        <v>1920</v>
      </c>
    </row>
    <row r="826" spans="1:30" ht="15.75" thickBot="1" x14ac:dyDescent="0.3">
      <c r="A826" s="9" t="s">
        <v>1643</v>
      </c>
      <c r="B826" s="9" t="s">
        <v>1826</v>
      </c>
      <c r="C826" s="45" t="str">
        <f t="shared" si="12"/>
        <v>ASYPW50K21W15P703</v>
      </c>
      <c r="D826" s="10" t="s">
        <v>1831</v>
      </c>
      <c r="E826" s="10" t="s">
        <v>1830</v>
      </c>
      <c r="F826" s="9" t="s">
        <v>261</v>
      </c>
      <c r="G826" s="9" t="s">
        <v>924</v>
      </c>
      <c r="H826" s="12">
        <v>343</v>
      </c>
      <c r="I826" s="12">
        <v>837</v>
      </c>
      <c r="J826" s="13">
        <v>0</v>
      </c>
      <c r="K826" s="13">
        <v>0</v>
      </c>
      <c r="L826" s="13">
        <v>1923</v>
      </c>
      <c r="M826" s="13">
        <v>840</v>
      </c>
      <c r="N826" s="13">
        <v>1200</v>
      </c>
      <c r="O826" s="13">
        <v>1320</v>
      </c>
      <c r="P826" s="13">
        <v>960</v>
      </c>
      <c r="Q826" s="13">
        <v>1200</v>
      </c>
      <c r="R826" s="13">
        <v>1440</v>
      </c>
      <c r="S826" s="13">
        <v>1680</v>
      </c>
      <c r="T826" s="13">
        <v>1440</v>
      </c>
      <c r="U826" s="13">
        <v>1440</v>
      </c>
      <c r="V826" s="13">
        <v>2160</v>
      </c>
      <c r="W826" s="13">
        <v>2040</v>
      </c>
      <c r="X826" s="13">
        <v>2040</v>
      </c>
      <c r="Y826" s="13">
        <v>1800</v>
      </c>
      <c r="Z826" s="13">
        <v>0</v>
      </c>
      <c r="AA826" s="13">
        <v>840</v>
      </c>
      <c r="AB826" s="13">
        <v>2160</v>
      </c>
      <c r="AC826" s="13">
        <v>1920</v>
      </c>
      <c r="AD826" s="13">
        <v>2040</v>
      </c>
    </row>
    <row r="827" spans="1:30" ht="15.75" thickBot="1" x14ac:dyDescent="0.3">
      <c r="A827" s="9" t="s">
        <v>1643</v>
      </c>
      <c r="B827" s="9" t="s">
        <v>1826</v>
      </c>
      <c r="C827" s="45" t="str">
        <f t="shared" si="12"/>
        <v>ASYPW53A41W1P703</v>
      </c>
      <c r="D827" s="10" t="s">
        <v>1832</v>
      </c>
      <c r="E827" s="10" t="s">
        <v>1833</v>
      </c>
      <c r="F827" s="9" t="s">
        <v>261</v>
      </c>
      <c r="G827" s="9" t="s">
        <v>924</v>
      </c>
      <c r="H827" s="12">
        <v>294</v>
      </c>
      <c r="I827" s="12">
        <v>2597</v>
      </c>
      <c r="J827" s="13">
        <v>0</v>
      </c>
      <c r="K827" s="13">
        <v>35</v>
      </c>
      <c r="L827" s="13">
        <v>4680</v>
      </c>
      <c r="M827" s="13">
        <v>2220</v>
      </c>
      <c r="N827" s="13">
        <v>2220</v>
      </c>
      <c r="O827" s="13">
        <v>2580</v>
      </c>
      <c r="P827" s="13">
        <v>1920</v>
      </c>
      <c r="Q827" s="13">
        <v>2400</v>
      </c>
      <c r="R827" s="13">
        <v>3060</v>
      </c>
      <c r="S827" s="13">
        <v>3420</v>
      </c>
      <c r="T827" s="13">
        <v>2760</v>
      </c>
      <c r="U827" s="13">
        <v>2880</v>
      </c>
      <c r="V827" s="13">
        <v>4440</v>
      </c>
      <c r="W827" s="13">
        <v>4020</v>
      </c>
      <c r="X827" s="13">
        <v>4260</v>
      </c>
      <c r="Y827" s="13">
        <v>2940</v>
      </c>
      <c r="Z827" s="13">
        <v>0</v>
      </c>
      <c r="AA827" s="13">
        <v>2160</v>
      </c>
      <c r="AB827" s="13">
        <v>4200</v>
      </c>
      <c r="AC827" s="13">
        <v>3960</v>
      </c>
      <c r="AD827" s="13">
        <v>4020</v>
      </c>
    </row>
    <row r="828" spans="1:30" ht="15.75" thickBot="1" x14ac:dyDescent="0.3">
      <c r="A828" s="9" t="s">
        <v>1643</v>
      </c>
      <c r="B828" s="9" t="s">
        <v>1834</v>
      </c>
      <c r="C828" s="45" t="str">
        <f t="shared" si="12"/>
        <v>ASYPW62570W8W9</v>
      </c>
      <c r="D828" s="10" t="s">
        <v>1835</v>
      </c>
      <c r="E828" s="10" t="s">
        <v>1836</v>
      </c>
      <c r="F828" s="9" t="s">
        <v>494</v>
      </c>
      <c r="G828" s="9" t="s">
        <v>924</v>
      </c>
      <c r="H828" s="12">
        <v>415</v>
      </c>
      <c r="I828" s="12">
        <v>3650</v>
      </c>
      <c r="J828" s="13">
        <v>0</v>
      </c>
      <c r="K828" s="13">
        <v>0</v>
      </c>
      <c r="L828" s="13">
        <v>1816</v>
      </c>
      <c r="M828" s="13">
        <v>1940</v>
      </c>
      <c r="N828" s="13">
        <v>2336</v>
      </c>
      <c r="O828" s="13">
        <v>2852</v>
      </c>
      <c r="P828" s="13">
        <v>3228</v>
      </c>
      <c r="Q828" s="13">
        <v>1436</v>
      </c>
      <c r="R828" s="13">
        <v>2052</v>
      </c>
      <c r="S828" s="13">
        <v>3056</v>
      </c>
      <c r="T828" s="13">
        <v>3324</v>
      </c>
      <c r="U828" s="13">
        <v>2980</v>
      </c>
      <c r="V828" s="13">
        <v>2568</v>
      </c>
      <c r="W828" s="13">
        <v>4128</v>
      </c>
      <c r="X828" s="13">
        <v>4012</v>
      </c>
      <c r="Y828" s="13">
        <v>3972</v>
      </c>
      <c r="Z828" s="13">
        <v>4944</v>
      </c>
      <c r="AA828" s="13">
        <v>0</v>
      </c>
      <c r="AB828" s="13">
        <v>820</v>
      </c>
      <c r="AC828" s="13">
        <v>4124</v>
      </c>
      <c r="AD828" s="13">
        <v>4140</v>
      </c>
    </row>
    <row r="829" spans="1:30" ht="15.75" thickBot="1" x14ac:dyDescent="0.3">
      <c r="A829" s="9" t="s">
        <v>1643</v>
      </c>
      <c r="B829" s="9" t="s">
        <v>1834</v>
      </c>
      <c r="C829" s="45" t="str">
        <f t="shared" si="12"/>
        <v>ASYPW63B60W2</v>
      </c>
      <c r="D829" s="10" t="s">
        <v>1837</v>
      </c>
      <c r="E829" s="10" t="s">
        <v>1838</v>
      </c>
      <c r="F829" s="9" t="s">
        <v>494</v>
      </c>
      <c r="G829" s="9" t="s">
        <v>924</v>
      </c>
      <c r="H829" s="12">
        <v>383</v>
      </c>
      <c r="I829" s="12">
        <v>5660</v>
      </c>
      <c r="J829" s="13">
        <v>0</v>
      </c>
      <c r="K829" s="13">
        <v>0</v>
      </c>
      <c r="L829" s="13">
        <v>212</v>
      </c>
      <c r="M829" s="13">
        <v>2042</v>
      </c>
      <c r="N829" s="13">
        <v>2216</v>
      </c>
      <c r="O829" s="13">
        <v>3036</v>
      </c>
      <c r="P829" s="13">
        <v>3790</v>
      </c>
      <c r="Q829" s="13">
        <v>742</v>
      </c>
      <c r="R829" s="13">
        <v>2086</v>
      </c>
      <c r="S829" s="13">
        <v>2988</v>
      </c>
      <c r="T829" s="13">
        <v>3150</v>
      </c>
      <c r="U829" s="13">
        <v>2970</v>
      </c>
      <c r="V829" s="13">
        <v>2570</v>
      </c>
      <c r="W829" s="13">
        <v>4136</v>
      </c>
      <c r="X829" s="13">
        <v>3996</v>
      </c>
      <c r="Y829" s="13">
        <v>3982</v>
      </c>
      <c r="Z829" s="13">
        <v>4944</v>
      </c>
      <c r="AA829" s="13">
        <v>0</v>
      </c>
      <c r="AB829" s="13">
        <v>824</v>
      </c>
      <c r="AC829" s="13">
        <v>4126</v>
      </c>
      <c r="AD829" s="13">
        <v>4110</v>
      </c>
    </row>
    <row r="830" spans="1:30" ht="15.75" thickBot="1" x14ac:dyDescent="0.3">
      <c r="A830" s="9" t="s">
        <v>1643</v>
      </c>
      <c r="B830" s="9" t="s">
        <v>1834</v>
      </c>
      <c r="C830" s="45" t="str">
        <f t="shared" si="12"/>
        <v>ASYPW63B60W2-B</v>
      </c>
      <c r="D830" s="10" t="s">
        <v>1839</v>
      </c>
      <c r="E830" s="10" t="s">
        <v>1838</v>
      </c>
      <c r="F830" s="9" t="s">
        <v>494</v>
      </c>
      <c r="G830" s="9" t="s">
        <v>924</v>
      </c>
      <c r="H830" s="12">
        <v>383</v>
      </c>
      <c r="I830" s="8"/>
      <c r="J830" s="13">
        <v>0</v>
      </c>
      <c r="K830" s="13">
        <v>0</v>
      </c>
      <c r="L830" s="13">
        <v>0</v>
      </c>
      <c r="M830" s="13">
        <v>0</v>
      </c>
      <c r="N830" s="13">
        <v>0</v>
      </c>
      <c r="O830" s="13">
        <v>0</v>
      </c>
      <c r="P830" s="13">
        <v>0</v>
      </c>
      <c r="Q830" s="13">
        <v>0</v>
      </c>
      <c r="R830" s="13">
        <v>0</v>
      </c>
      <c r="S830" s="13">
        <v>44</v>
      </c>
      <c r="T830" s="13">
        <v>176</v>
      </c>
      <c r="U830" s="13">
        <v>0</v>
      </c>
      <c r="V830" s="13">
        <v>0</v>
      </c>
      <c r="W830" s="13">
        <v>0</v>
      </c>
      <c r="X830" s="13">
        <v>0</v>
      </c>
      <c r="Y830" s="13">
        <v>0</v>
      </c>
      <c r="Z830" s="13">
        <v>0</v>
      </c>
      <c r="AA830" s="13">
        <v>0</v>
      </c>
      <c r="AB830" s="13">
        <v>0</v>
      </c>
      <c r="AC830" s="13">
        <v>0</v>
      </c>
      <c r="AD830" s="13">
        <v>0</v>
      </c>
    </row>
    <row r="831" spans="1:30" ht="15.75" thickBot="1" x14ac:dyDescent="0.3">
      <c r="A831" s="9" t="s">
        <v>1643</v>
      </c>
      <c r="B831" s="9" t="s">
        <v>1834</v>
      </c>
      <c r="C831" s="45" t="str">
        <f t="shared" si="12"/>
        <v>N1WB E312A48 BB</v>
      </c>
      <c r="D831" s="10" t="s">
        <v>1840</v>
      </c>
      <c r="E831" s="10" t="s">
        <v>959</v>
      </c>
      <c r="F831" s="9" t="s">
        <v>261</v>
      </c>
      <c r="G831" s="9" t="s">
        <v>924</v>
      </c>
      <c r="H831" s="12">
        <v>164</v>
      </c>
      <c r="I831" s="12">
        <v>1395</v>
      </c>
      <c r="J831" s="13">
        <v>0</v>
      </c>
      <c r="K831" s="13">
        <v>635</v>
      </c>
      <c r="L831" s="13">
        <v>1176</v>
      </c>
      <c r="M831" s="13">
        <v>1036</v>
      </c>
      <c r="N831" s="13">
        <v>1260</v>
      </c>
      <c r="O831" s="13">
        <v>1288</v>
      </c>
      <c r="P831" s="13">
        <v>1316</v>
      </c>
      <c r="Q831" s="13">
        <v>1045</v>
      </c>
      <c r="R831" s="13">
        <v>1204</v>
      </c>
      <c r="S831" s="13">
        <v>1540</v>
      </c>
      <c r="T831" s="13">
        <v>1512</v>
      </c>
      <c r="U831" s="13">
        <v>1372</v>
      </c>
      <c r="V831" s="13">
        <v>1428</v>
      </c>
      <c r="W831" s="13">
        <v>2100</v>
      </c>
      <c r="X831" s="13">
        <v>2016</v>
      </c>
      <c r="Y831" s="13">
        <v>1820</v>
      </c>
      <c r="Z831" s="13">
        <v>1941</v>
      </c>
      <c r="AA831" s="13">
        <v>140</v>
      </c>
      <c r="AB831" s="13">
        <v>980</v>
      </c>
      <c r="AC831" s="13">
        <v>2100</v>
      </c>
      <c r="AD831" s="13">
        <v>2044</v>
      </c>
    </row>
    <row r="832" spans="1:30" ht="15.75" thickBot="1" x14ac:dyDescent="0.3">
      <c r="A832" s="9" t="s">
        <v>1643</v>
      </c>
      <c r="B832" s="9" t="s">
        <v>1834</v>
      </c>
      <c r="C832" s="45" t="str">
        <f t="shared" si="12"/>
        <v>N1WB E312A48 BB-0</v>
      </c>
      <c r="D832" s="10" t="s">
        <v>1841</v>
      </c>
      <c r="E832" s="10" t="s">
        <v>959</v>
      </c>
      <c r="F832" s="9" t="s">
        <v>261</v>
      </c>
      <c r="G832" s="9" t="s">
        <v>924</v>
      </c>
      <c r="H832" s="12">
        <v>164</v>
      </c>
      <c r="I832" s="8"/>
      <c r="J832" s="13">
        <v>3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</row>
    <row r="833" spans="1:30" ht="15.75" thickBot="1" x14ac:dyDescent="0.3">
      <c r="A833" s="9" t="s">
        <v>1643</v>
      </c>
      <c r="B833" s="9" t="s">
        <v>1834</v>
      </c>
      <c r="C833" s="45" t="str">
        <f t="shared" si="12"/>
        <v>N1WB E41623 AB</v>
      </c>
      <c r="D833" s="10" t="s">
        <v>1842</v>
      </c>
      <c r="E833" s="10" t="s">
        <v>1843</v>
      </c>
      <c r="F833" s="9" t="s">
        <v>261</v>
      </c>
      <c r="G833" s="9" t="s">
        <v>924</v>
      </c>
      <c r="H833" s="12">
        <v>160</v>
      </c>
      <c r="I833" s="12">
        <v>87</v>
      </c>
      <c r="J833" s="13">
        <v>0</v>
      </c>
      <c r="K833" s="13">
        <v>0</v>
      </c>
      <c r="L833" s="13">
        <v>0</v>
      </c>
      <c r="M833" s="13">
        <v>0</v>
      </c>
      <c r="N833" s="13">
        <v>1353</v>
      </c>
      <c r="O833" s="13">
        <v>1440</v>
      </c>
      <c r="P833" s="13">
        <v>1440</v>
      </c>
      <c r="Q833" s="13">
        <v>0</v>
      </c>
      <c r="R833" s="13">
        <v>2880</v>
      </c>
      <c r="S833" s="13">
        <v>1440</v>
      </c>
      <c r="T833" s="13">
        <v>1440</v>
      </c>
      <c r="U833" s="13">
        <v>1440</v>
      </c>
      <c r="V833" s="13">
        <v>1440</v>
      </c>
      <c r="W833" s="13">
        <v>2880</v>
      </c>
      <c r="X833" s="13">
        <v>1440</v>
      </c>
      <c r="Y833" s="13">
        <v>1440</v>
      </c>
      <c r="Z833" s="13">
        <v>0</v>
      </c>
      <c r="AA833" s="13">
        <v>1440</v>
      </c>
      <c r="AB833" s="13">
        <v>1440</v>
      </c>
      <c r="AC833" s="13">
        <v>2880</v>
      </c>
      <c r="AD833" s="13">
        <v>1440</v>
      </c>
    </row>
    <row r="834" spans="1:30" ht="15.75" thickBot="1" x14ac:dyDescent="0.3">
      <c r="A834" s="9" t="s">
        <v>1643</v>
      </c>
      <c r="B834" s="9" t="s">
        <v>1844</v>
      </c>
      <c r="C834" s="45" t="str">
        <f t="shared" si="12"/>
        <v>KB3B 26403E88 AA</v>
      </c>
      <c r="D834" s="10" t="s">
        <v>1845</v>
      </c>
      <c r="E834" s="10" t="s">
        <v>1846</v>
      </c>
      <c r="F834" s="9" t="s">
        <v>494</v>
      </c>
      <c r="G834" s="9" t="s">
        <v>924</v>
      </c>
      <c r="H834" s="12">
        <v>153</v>
      </c>
      <c r="I834" s="12">
        <v>1487</v>
      </c>
      <c r="J834" s="13">
        <v>0</v>
      </c>
      <c r="K834" s="13">
        <v>0</v>
      </c>
      <c r="L834" s="13">
        <v>1681</v>
      </c>
      <c r="M834" s="13">
        <v>1440</v>
      </c>
      <c r="N834" s="13">
        <v>1200</v>
      </c>
      <c r="O834" s="13">
        <v>480</v>
      </c>
      <c r="P834" s="13">
        <v>1344</v>
      </c>
      <c r="Q834" s="13">
        <v>960</v>
      </c>
      <c r="R834" s="13">
        <v>1056</v>
      </c>
      <c r="S834" s="13">
        <v>1536</v>
      </c>
      <c r="T834" s="13">
        <v>1824</v>
      </c>
      <c r="U834" s="13">
        <v>1488</v>
      </c>
      <c r="V834" s="13">
        <v>2112</v>
      </c>
      <c r="W834" s="13">
        <v>3072</v>
      </c>
      <c r="X834" s="13">
        <v>336</v>
      </c>
      <c r="Y834" s="13">
        <v>1824</v>
      </c>
      <c r="Z834" s="13">
        <v>1920</v>
      </c>
      <c r="AA834" s="13">
        <v>96</v>
      </c>
      <c r="AB834" s="13">
        <v>816</v>
      </c>
      <c r="AC834" s="13">
        <v>2112</v>
      </c>
      <c r="AD834" s="13">
        <v>1920</v>
      </c>
    </row>
    <row r="835" spans="1:30" ht="15.75" thickBot="1" x14ac:dyDescent="0.3">
      <c r="A835" s="9" t="s">
        <v>1643</v>
      </c>
      <c r="B835" s="9" t="s">
        <v>1844</v>
      </c>
      <c r="C835" s="45" t="str">
        <f t="shared" si="12"/>
        <v>KB3B 9D817 AA</v>
      </c>
      <c r="D835" s="10" t="s">
        <v>1847</v>
      </c>
      <c r="E835" s="10" t="s">
        <v>1848</v>
      </c>
      <c r="F835" s="9" t="s">
        <v>494</v>
      </c>
      <c r="G835" s="9" t="s">
        <v>924</v>
      </c>
      <c r="H835" s="12">
        <v>250</v>
      </c>
      <c r="I835" s="12">
        <v>13731</v>
      </c>
      <c r="J835" s="13">
        <v>0</v>
      </c>
      <c r="K835" s="13">
        <v>0</v>
      </c>
      <c r="L835" s="13">
        <v>957</v>
      </c>
      <c r="M835" s="13">
        <v>6912</v>
      </c>
      <c r="N835" s="13">
        <v>0</v>
      </c>
      <c r="O835" s="13">
        <v>864</v>
      </c>
      <c r="P835" s="13">
        <v>4320</v>
      </c>
      <c r="Q835" s="13">
        <v>4320</v>
      </c>
      <c r="R835" s="13">
        <v>4752</v>
      </c>
      <c r="S835" s="13">
        <v>6048</v>
      </c>
      <c r="T835" s="13">
        <v>4752</v>
      </c>
      <c r="U835" s="13">
        <v>5616</v>
      </c>
      <c r="V835" s="13">
        <v>3024</v>
      </c>
      <c r="W835" s="13">
        <v>6480</v>
      </c>
      <c r="X835" s="13">
        <v>6048</v>
      </c>
      <c r="Y835" s="13">
        <v>4752</v>
      </c>
      <c r="Z835" s="13">
        <v>5184</v>
      </c>
      <c r="AA835" s="13">
        <v>432</v>
      </c>
      <c r="AB835" s="13">
        <v>2592</v>
      </c>
      <c r="AC835" s="13">
        <v>4752</v>
      </c>
      <c r="AD835" s="13">
        <v>6480</v>
      </c>
    </row>
    <row r="836" spans="1:30" ht="15.75" thickBot="1" x14ac:dyDescent="0.3">
      <c r="A836" s="9" t="s">
        <v>1643</v>
      </c>
      <c r="B836" s="9" t="s">
        <v>1844</v>
      </c>
      <c r="C836" s="45" t="str">
        <f t="shared" si="12"/>
        <v>MB3B 21016A22 AA</v>
      </c>
      <c r="D836" s="10" t="s">
        <v>1849</v>
      </c>
      <c r="E836" s="10" t="s">
        <v>1850</v>
      </c>
      <c r="F836" s="9" t="s">
        <v>261</v>
      </c>
      <c r="G836" s="9" t="s">
        <v>924</v>
      </c>
      <c r="H836" s="12">
        <v>160</v>
      </c>
      <c r="I836" s="12">
        <v>2843</v>
      </c>
      <c r="J836" s="13">
        <v>0</v>
      </c>
      <c r="K836" s="13">
        <v>0</v>
      </c>
      <c r="L836" s="13">
        <v>517</v>
      </c>
      <c r="M836" s="13">
        <v>840</v>
      </c>
      <c r="N836" s="13">
        <v>1120</v>
      </c>
      <c r="O836" s="13">
        <v>1400</v>
      </c>
      <c r="P836" s="13">
        <v>840</v>
      </c>
      <c r="Q836" s="13">
        <v>1120</v>
      </c>
      <c r="R836" s="13">
        <v>1680</v>
      </c>
      <c r="S836" s="13">
        <v>1400</v>
      </c>
      <c r="T836" s="13">
        <v>1680</v>
      </c>
      <c r="U836" s="13">
        <v>1120</v>
      </c>
      <c r="V836" s="13">
        <v>2240</v>
      </c>
      <c r="W836" s="13">
        <v>2240</v>
      </c>
      <c r="X836" s="13">
        <v>1680</v>
      </c>
      <c r="Y836" s="13">
        <v>2240</v>
      </c>
      <c r="Z836" s="13">
        <v>0</v>
      </c>
      <c r="AA836" s="13">
        <v>560</v>
      </c>
      <c r="AB836" s="13">
        <v>1960</v>
      </c>
      <c r="AC836" s="13">
        <v>2240</v>
      </c>
      <c r="AD836" s="13">
        <v>1960</v>
      </c>
    </row>
    <row r="837" spans="1:30" ht="15.75" thickBot="1" x14ac:dyDescent="0.3">
      <c r="A837" s="9" t="s">
        <v>1643</v>
      </c>
      <c r="B837" s="9" t="s">
        <v>1844</v>
      </c>
      <c r="C837" s="45" t="str">
        <f t="shared" si="12"/>
        <v>N1WB E43858 AB</v>
      </c>
      <c r="D837" s="10" t="s">
        <v>1851</v>
      </c>
      <c r="E837" s="10" t="s">
        <v>1852</v>
      </c>
      <c r="F837" s="9" t="s">
        <v>261</v>
      </c>
      <c r="G837" s="9" t="s">
        <v>924</v>
      </c>
      <c r="H837" s="11">
        <v>205.71420000000001</v>
      </c>
      <c r="I837" s="12">
        <v>244</v>
      </c>
      <c r="J837" s="13">
        <v>0</v>
      </c>
      <c r="K837" s="13">
        <v>1196</v>
      </c>
      <c r="L837" s="13">
        <v>2880</v>
      </c>
      <c r="M837" s="13">
        <v>0</v>
      </c>
      <c r="N837" s="13">
        <v>960</v>
      </c>
      <c r="O837" s="13">
        <v>1440</v>
      </c>
      <c r="P837" s="13">
        <v>960</v>
      </c>
      <c r="Q837" s="13">
        <v>1200</v>
      </c>
      <c r="R837" s="13">
        <v>1440</v>
      </c>
      <c r="S837" s="13">
        <v>1680</v>
      </c>
      <c r="T837" s="13">
        <v>1440</v>
      </c>
      <c r="U837" s="13">
        <v>1440</v>
      </c>
      <c r="V837" s="13">
        <v>2160</v>
      </c>
      <c r="W837" s="13">
        <v>2160</v>
      </c>
      <c r="X837" s="13">
        <v>1920</v>
      </c>
      <c r="Y837" s="13">
        <v>1920</v>
      </c>
      <c r="Z837" s="13">
        <v>0</v>
      </c>
      <c r="AA837" s="13">
        <v>960</v>
      </c>
      <c r="AB837" s="13">
        <v>1920</v>
      </c>
      <c r="AC837" s="13">
        <v>2160</v>
      </c>
      <c r="AD837" s="13">
        <v>1920</v>
      </c>
    </row>
    <row r="838" spans="1:30" ht="15.75" thickBot="1" x14ac:dyDescent="0.3">
      <c r="A838" s="9" t="s">
        <v>1643</v>
      </c>
      <c r="B838" s="9" t="s">
        <v>1853</v>
      </c>
      <c r="C838" s="45" t="str">
        <f t="shared" ref="C838:C893" si="13">TRIM(D838)</f>
        <v>ASYPW88126OS</v>
      </c>
      <c r="D838" s="10" t="s">
        <v>1854</v>
      </c>
      <c r="E838" s="10" t="s">
        <v>1855</v>
      </c>
      <c r="F838" s="9" t="s">
        <v>364</v>
      </c>
      <c r="G838" s="9" t="s">
        <v>924</v>
      </c>
      <c r="H838" s="12">
        <v>82</v>
      </c>
      <c r="I838" s="12">
        <v>103</v>
      </c>
      <c r="J838" s="13">
        <v>1119</v>
      </c>
      <c r="K838" s="13">
        <v>288</v>
      </c>
      <c r="L838" s="13">
        <v>648</v>
      </c>
      <c r="M838" s="13">
        <v>720</v>
      </c>
      <c r="N838" s="13">
        <v>720</v>
      </c>
      <c r="O838" s="13">
        <v>1008</v>
      </c>
      <c r="P838" s="13">
        <v>1080</v>
      </c>
      <c r="Q838" s="13">
        <v>504</v>
      </c>
      <c r="R838" s="13">
        <v>936</v>
      </c>
      <c r="S838" s="13">
        <v>792</v>
      </c>
      <c r="T838" s="13">
        <v>720</v>
      </c>
      <c r="U838" s="13">
        <v>1008</v>
      </c>
      <c r="V838" s="13">
        <v>216</v>
      </c>
      <c r="W838" s="13">
        <v>0</v>
      </c>
      <c r="X838" s="13">
        <v>864</v>
      </c>
      <c r="Y838" s="13">
        <v>792</v>
      </c>
      <c r="Z838" s="13">
        <v>720</v>
      </c>
      <c r="AA838" s="13">
        <v>720</v>
      </c>
      <c r="AB838" s="13">
        <v>720</v>
      </c>
      <c r="AC838" s="13">
        <v>720</v>
      </c>
      <c r="AD838" s="13">
        <v>720</v>
      </c>
    </row>
    <row r="839" spans="1:30" ht="15.75" thickBot="1" x14ac:dyDescent="0.3">
      <c r="A839" s="9" t="s">
        <v>1643</v>
      </c>
      <c r="B839" s="9" t="s">
        <v>1853</v>
      </c>
      <c r="C839" s="45" t="str">
        <f t="shared" si="13"/>
        <v>ASYPW8B852OS</v>
      </c>
      <c r="D839" s="10" t="s">
        <v>1856</v>
      </c>
      <c r="E839" s="10" t="s">
        <v>1855</v>
      </c>
      <c r="F839" s="9" t="s">
        <v>364</v>
      </c>
      <c r="G839" s="9" t="s">
        <v>924</v>
      </c>
      <c r="H839" s="12">
        <v>170</v>
      </c>
      <c r="I839" s="12">
        <v>7554</v>
      </c>
      <c r="J839" s="13">
        <v>3717</v>
      </c>
      <c r="K839" s="13">
        <v>2880</v>
      </c>
      <c r="L839" s="13">
        <v>2880</v>
      </c>
      <c r="M839" s="13">
        <v>2880</v>
      </c>
      <c r="N839" s="13">
        <v>2880</v>
      </c>
      <c r="O839" s="13">
        <v>2880</v>
      </c>
      <c r="P839" s="13">
        <v>5184</v>
      </c>
      <c r="Q839" s="13">
        <v>3456</v>
      </c>
      <c r="R839" s="13">
        <v>2880</v>
      </c>
      <c r="S839" s="13">
        <v>2880</v>
      </c>
      <c r="T839" s="13">
        <v>2880</v>
      </c>
      <c r="U839" s="13">
        <v>3648</v>
      </c>
      <c r="V839" s="13">
        <v>768</v>
      </c>
      <c r="W839" s="13">
        <v>0</v>
      </c>
      <c r="X839" s="13">
        <v>2688</v>
      </c>
      <c r="Y839" s="13">
        <v>3360</v>
      </c>
      <c r="Z839" s="13">
        <v>2976</v>
      </c>
      <c r="AA839" s="13">
        <v>3264</v>
      </c>
      <c r="AB839" s="13">
        <v>2592</v>
      </c>
      <c r="AC839" s="13">
        <v>2784</v>
      </c>
      <c r="AD839" s="13">
        <v>3648</v>
      </c>
    </row>
    <row r="840" spans="1:30" ht="15.75" thickBot="1" x14ac:dyDescent="0.3">
      <c r="A840" s="9" t="s">
        <v>1643</v>
      </c>
      <c r="B840" s="9" t="s">
        <v>1857</v>
      </c>
      <c r="C840" s="45" t="str">
        <f t="shared" si="13"/>
        <v>M2DB S27830 AA</v>
      </c>
      <c r="D840" s="10" t="s">
        <v>1858</v>
      </c>
      <c r="E840" s="10" t="s">
        <v>1859</v>
      </c>
      <c r="F840" s="9" t="s">
        <v>364</v>
      </c>
      <c r="G840" s="9" t="s">
        <v>924</v>
      </c>
      <c r="H840" s="12">
        <v>102</v>
      </c>
      <c r="I840" s="12">
        <v>461</v>
      </c>
      <c r="J840" s="13">
        <v>0</v>
      </c>
      <c r="K840" s="13">
        <v>3407</v>
      </c>
      <c r="L840" s="13">
        <v>4853</v>
      </c>
      <c r="M840" s="13">
        <v>3462</v>
      </c>
      <c r="N840" s="13">
        <v>3085</v>
      </c>
      <c r="O840" s="13">
        <v>3611</v>
      </c>
      <c r="P840" s="13">
        <v>4252</v>
      </c>
      <c r="Q840" s="13">
        <v>3200</v>
      </c>
      <c r="R840" s="13">
        <v>3463</v>
      </c>
      <c r="S840" s="13">
        <v>4554</v>
      </c>
      <c r="T840" s="13">
        <v>4742</v>
      </c>
      <c r="U840" s="13">
        <v>4363</v>
      </c>
      <c r="V840" s="13">
        <v>2632</v>
      </c>
      <c r="W840" s="13">
        <v>4215</v>
      </c>
      <c r="X840" s="13">
        <v>4252</v>
      </c>
      <c r="Y840" s="13">
        <v>3651</v>
      </c>
      <c r="Z840" s="13">
        <v>4364</v>
      </c>
      <c r="AA840" s="13">
        <v>75</v>
      </c>
      <c r="AB840" s="13">
        <v>1128</v>
      </c>
      <c r="AC840" s="13">
        <v>4102</v>
      </c>
      <c r="AD840" s="13">
        <v>3912</v>
      </c>
    </row>
    <row r="841" spans="1:30" ht="15.75" thickBot="1" x14ac:dyDescent="0.3">
      <c r="A841" s="9" t="s">
        <v>1643</v>
      </c>
      <c r="B841" s="9" t="s">
        <v>1857</v>
      </c>
      <c r="C841" s="45" t="str">
        <f t="shared" si="13"/>
        <v>M2DB S27831 AA</v>
      </c>
      <c r="D841" s="10" t="s">
        <v>1860</v>
      </c>
      <c r="E841" s="10" t="s">
        <v>1861</v>
      </c>
      <c r="F841" s="9" t="s">
        <v>364</v>
      </c>
      <c r="G841" s="9" t="s">
        <v>924</v>
      </c>
      <c r="H841" s="12">
        <v>94</v>
      </c>
      <c r="I841" s="12">
        <v>1782</v>
      </c>
      <c r="J841" s="13">
        <v>0</v>
      </c>
      <c r="K841" s="13">
        <v>1419</v>
      </c>
      <c r="L841" s="13">
        <v>4704</v>
      </c>
      <c r="M841" s="13">
        <v>2656</v>
      </c>
      <c r="N841" s="13">
        <v>2496</v>
      </c>
      <c r="O841" s="13">
        <v>3040</v>
      </c>
      <c r="P841" s="13">
        <v>3520</v>
      </c>
      <c r="Q841" s="13">
        <v>2816</v>
      </c>
      <c r="R841" s="13">
        <v>2848</v>
      </c>
      <c r="S841" s="13">
        <v>3968</v>
      </c>
      <c r="T841" s="13">
        <v>3904</v>
      </c>
      <c r="U841" s="13">
        <v>3712</v>
      </c>
      <c r="V841" s="13">
        <v>2273</v>
      </c>
      <c r="W841" s="13">
        <v>3712</v>
      </c>
      <c r="X841" s="13">
        <v>3616</v>
      </c>
      <c r="Y841" s="13">
        <v>3104</v>
      </c>
      <c r="Z841" s="13">
        <v>3712</v>
      </c>
      <c r="AA841" s="13">
        <v>64</v>
      </c>
      <c r="AB841" s="13">
        <v>928</v>
      </c>
      <c r="AC841" s="13">
        <v>3392</v>
      </c>
      <c r="AD841" s="13">
        <v>3456</v>
      </c>
    </row>
    <row r="842" spans="1:30" ht="15.75" thickBot="1" x14ac:dyDescent="0.3">
      <c r="A842" s="9" t="s">
        <v>1643</v>
      </c>
      <c r="B842" s="9" t="s">
        <v>1857</v>
      </c>
      <c r="C842" s="45" t="str">
        <f t="shared" si="13"/>
        <v>M2DB X27830 AB</v>
      </c>
      <c r="D842" s="10" t="s">
        <v>1862</v>
      </c>
      <c r="E842" s="10" t="s">
        <v>1859</v>
      </c>
      <c r="F842" s="9" t="s">
        <v>364</v>
      </c>
      <c r="G842" s="9" t="s">
        <v>924</v>
      </c>
      <c r="H842" s="11">
        <v>95.6</v>
      </c>
      <c r="I842" s="12">
        <v>450</v>
      </c>
      <c r="J842" s="13">
        <v>0</v>
      </c>
      <c r="K842" s="13">
        <v>0</v>
      </c>
      <c r="L842" s="13">
        <v>0</v>
      </c>
      <c r="M842" s="13">
        <v>0</v>
      </c>
      <c r="N842" s="13">
        <v>0</v>
      </c>
      <c r="O842" s="13">
        <v>0</v>
      </c>
      <c r="P842" s="13">
        <v>42</v>
      </c>
      <c r="Q842" s="13">
        <v>189</v>
      </c>
      <c r="R842" s="13">
        <v>126</v>
      </c>
      <c r="S842" s="13">
        <v>210</v>
      </c>
      <c r="T842" s="13">
        <v>210</v>
      </c>
      <c r="U842" s="13">
        <v>189</v>
      </c>
      <c r="V842" s="13">
        <v>126</v>
      </c>
      <c r="W842" s="13">
        <v>210</v>
      </c>
      <c r="X842" s="13">
        <v>189</v>
      </c>
      <c r="Y842" s="13">
        <v>147</v>
      </c>
      <c r="Z842" s="13">
        <v>252</v>
      </c>
      <c r="AA842" s="13">
        <v>0</v>
      </c>
      <c r="AB842" s="13">
        <v>42</v>
      </c>
      <c r="AC842" s="13">
        <v>189</v>
      </c>
      <c r="AD842" s="13">
        <v>126</v>
      </c>
    </row>
    <row r="843" spans="1:30" ht="15.75" thickBot="1" x14ac:dyDescent="0.3">
      <c r="A843" s="9" t="s">
        <v>1643</v>
      </c>
      <c r="B843" s="9" t="s">
        <v>1857</v>
      </c>
      <c r="C843" s="45" t="str">
        <f t="shared" si="13"/>
        <v>M2DB X27831 AB</v>
      </c>
      <c r="D843" s="10" t="s">
        <v>1863</v>
      </c>
      <c r="E843" s="10" t="s">
        <v>1864</v>
      </c>
      <c r="F843" s="9" t="s">
        <v>364</v>
      </c>
      <c r="G843" s="9" t="s">
        <v>924</v>
      </c>
      <c r="H843" s="12">
        <v>88</v>
      </c>
      <c r="I843" s="12">
        <v>569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3">
        <v>79</v>
      </c>
      <c r="R843" s="13">
        <v>108</v>
      </c>
      <c r="S843" s="13">
        <v>180</v>
      </c>
      <c r="T843" s="13">
        <v>180</v>
      </c>
      <c r="U843" s="13">
        <v>162</v>
      </c>
      <c r="V843" s="13">
        <v>108</v>
      </c>
      <c r="W843" s="13">
        <v>180</v>
      </c>
      <c r="X843" s="13">
        <v>162</v>
      </c>
      <c r="Y843" s="13">
        <v>126</v>
      </c>
      <c r="Z843" s="13">
        <v>216</v>
      </c>
      <c r="AA843" s="13">
        <v>0</v>
      </c>
      <c r="AB843" s="13">
        <v>36</v>
      </c>
      <c r="AC843" s="13">
        <v>162</v>
      </c>
      <c r="AD843" s="13">
        <v>108</v>
      </c>
    </row>
    <row r="844" spans="1:30" ht="15.75" thickBot="1" x14ac:dyDescent="0.3">
      <c r="A844" s="9" t="s">
        <v>1643</v>
      </c>
      <c r="B844" s="9" t="s">
        <v>1865</v>
      </c>
      <c r="C844" s="45" t="str">
        <f t="shared" si="13"/>
        <v>ASYSR1D600W5</v>
      </c>
      <c r="D844" s="10" t="s">
        <v>1866</v>
      </c>
      <c r="E844" s="10" t="s">
        <v>1867</v>
      </c>
      <c r="F844" s="9" t="s">
        <v>494</v>
      </c>
      <c r="G844" s="9" t="s">
        <v>924</v>
      </c>
      <c r="H844" s="12">
        <v>257</v>
      </c>
      <c r="I844" s="8"/>
      <c r="J844" s="13">
        <v>0</v>
      </c>
      <c r="K844" s="13">
        <v>0</v>
      </c>
      <c r="L844" s="13">
        <v>0</v>
      </c>
      <c r="M844" s="13">
        <v>0</v>
      </c>
      <c r="N844" s="13">
        <v>0</v>
      </c>
      <c r="O844" s="13">
        <v>0</v>
      </c>
      <c r="P844" s="13">
        <v>0</v>
      </c>
      <c r="Q844" s="13">
        <v>0</v>
      </c>
      <c r="R844" s="13">
        <v>0</v>
      </c>
      <c r="S844" s="13">
        <v>0</v>
      </c>
      <c r="T844" s="13">
        <v>0</v>
      </c>
      <c r="U844" s="13">
        <v>0</v>
      </c>
      <c r="V844" s="13">
        <v>0</v>
      </c>
      <c r="W844" s="13">
        <v>0</v>
      </c>
      <c r="X844" s="13">
        <v>0</v>
      </c>
      <c r="Y844" s="13">
        <v>0</v>
      </c>
      <c r="Z844" s="13">
        <v>0</v>
      </c>
      <c r="AA844" s="13">
        <v>0</v>
      </c>
      <c r="AB844" s="13">
        <v>0</v>
      </c>
      <c r="AC844" s="13">
        <v>0</v>
      </c>
      <c r="AD844" s="13">
        <v>0</v>
      </c>
    </row>
    <row r="845" spans="1:30" ht="15.75" thickBot="1" x14ac:dyDescent="0.3">
      <c r="A845" s="9" t="s">
        <v>1643</v>
      </c>
      <c r="B845" s="9" t="s">
        <v>1865</v>
      </c>
      <c r="C845" s="45" t="str">
        <f t="shared" si="13"/>
        <v>ASYSR1D601W4</v>
      </c>
      <c r="D845" s="10" t="s">
        <v>1868</v>
      </c>
      <c r="E845" s="10" t="s">
        <v>1869</v>
      </c>
      <c r="F845" s="9" t="s">
        <v>494</v>
      </c>
      <c r="G845" s="9" t="s">
        <v>924</v>
      </c>
      <c r="H845" s="12">
        <v>257</v>
      </c>
      <c r="I845" s="8"/>
      <c r="J845" s="13">
        <v>0</v>
      </c>
      <c r="K845" s="13">
        <v>0</v>
      </c>
      <c r="L845" s="13">
        <v>0</v>
      </c>
      <c r="M845" s="13">
        <v>0</v>
      </c>
      <c r="N845" s="13">
        <v>0</v>
      </c>
      <c r="O845" s="13">
        <v>0</v>
      </c>
      <c r="P845" s="13">
        <v>0</v>
      </c>
      <c r="Q845" s="13">
        <v>0</v>
      </c>
      <c r="R845" s="13">
        <v>0</v>
      </c>
      <c r="S845" s="13">
        <v>0</v>
      </c>
      <c r="T845" s="13">
        <v>0</v>
      </c>
      <c r="U845" s="13">
        <v>0</v>
      </c>
      <c r="V845" s="13">
        <v>0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0</v>
      </c>
      <c r="AD845" s="13">
        <v>0</v>
      </c>
    </row>
    <row r="846" spans="1:30" ht="15.75" thickBot="1" x14ac:dyDescent="0.3">
      <c r="A846" s="9" t="s">
        <v>1643</v>
      </c>
      <c r="B846" s="9" t="s">
        <v>1870</v>
      </c>
      <c r="C846" s="45" t="str">
        <f t="shared" si="13"/>
        <v>ASYTB20A76W15</v>
      </c>
      <c r="D846" s="10" t="s">
        <v>1871</v>
      </c>
      <c r="E846" s="10" t="s">
        <v>1872</v>
      </c>
      <c r="F846" s="9" t="s">
        <v>261</v>
      </c>
      <c r="G846" s="9" t="s">
        <v>924</v>
      </c>
      <c r="H846" s="12">
        <v>288</v>
      </c>
      <c r="I846" s="12">
        <v>1906</v>
      </c>
      <c r="J846" s="13">
        <v>0</v>
      </c>
      <c r="K846" s="13">
        <v>0</v>
      </c>
      <c r="L846" s="13">
        <v>1574</v>
      </c>
      <c r="M846" s="13">
        <v>600</v>
      </c>
      <c r="N846" s="13">
        <v>1320</v>
      </c>
      <c r="O846" s="13">
        <v>1320</v>
      </c>
      <c r="P846" s="13">
        <v>960</v>
      </c>
      <c r="Q846" s="13">
        <v>1080</v>
      </c>
      <c r="R846" s="13">
        <v>1560</v>
      </c>
      <c r="S846" s="13">
        <v>1680</v>
      </c>
      <c r="T846" s="13">
        <v>1440</v>
      </c>
      <c r="U846" s="13">
        <v>1320</v>
      </c>
      <c r="V846" s="13">
        <v>2280</v>
      </c>
      <c r="W846" s="13">
        <v>2040</v>
      </c>
      <c r="X846" s="13">
        <v>2040</v>
      </c>
      <c r="Y846" s="13">
        <v>1680</v>
      </c>
      <c r="Z846" s="13">
        <v>0</v>
      </c>
      <c r="AA846" s="13">
        <v>960</v>
      </c>
      <c r="AB846" s="13">
        <v>2040</v>
      </c>
      <c r="AC846" s="13">
        <v>2040</v>
      </c>
      <c r="AD846" s="13">
        <v>1920</v>
      </c>
    </row>
    <row r="847" spans="1:30" ht="15.75" thickBot="1" x14ac:dyDescent="0.3">
      <c r="A847" s="9" t="s">
        <v>1643</v>
      </c>
      <c r="B847" s="9" t="s">
        <v>1870</v>
      </c>
      <c r="C847" s="45" t="str">
        <f t="shared" si="13"/>
        <v>ASYTB20A77W15</v>
      </c>
      <c r="D847" s="10" t="s">
        <v>1873</v>
      </c>
      <c r="E847" s="10" t="s">
        <v>1874</v>
      </c>
      <c r="F847" s="9" t="s">
        <v>261</v>
      </c>
      <c r="G847" s="9" t="s">
        <v>924</v>
      </c>
      <c r="H847" s="12">
        <v>288</v>
      </c>
      <c r="I847" s="12">
        <v>4342</v>
      </c>
      <c r="J847" s="13">
        <v>0</v>
      </c>
      <c r="K847" s="13">
        <v>0</v>
      </c>
      <c r="L847" s="13">
        <v>1574</v>
      </c>
      <c r="M847" s="13">
        <v>600</v>
      </c>
      <c r="N847" s="13">
        <v>1320</v>
      </c>
      <c r="O847" s="13">
        <v>1320</v>
      </c>
      <c r="P847" s="13">
        <v>960</v>
      </c>
      <c r="Q847" s="13">
        <v>1080</v>
      </c>
      <c r="R847" s="13">
        <v>1560</v>
      </c>
      <c r="S847" s="13">
        <v>1680</v>
      </c>
      <c r="T847" s="13">
        <v>1440</v>
      </c>
      <c r="U847" s="13">
        <v>1320</v>
      </c>
      <c r="V847" s="13">
        <v>2280</v>
      </c>
      <c r="W847" s="13">
        <v>2040</v>
      </c>
      <c r="X847" s="13">
        <v>2040</v>
      </c>
      <c r="Y847" s="13">
        <v>1680</v>
      </c>
      <c r="Z847" s="13">
        <v>0</v>
      </c>
      <c r="AA847" s="13">
        <v>960</v>
      </c>
      <c r="AB847" s="13">
        <v>2040</v>
      </c>
      <c r="AC847" s="13">
        <v>2040</v>
      </c>
      <c r="AD847" s="13">
        <v>1920</v>
      </c>
    </row>
    <row r="848" spans="1:30" ht="15.75" thickBot="1" x14ac:dyDescent="0.3">
      <c r="A848" s="9" t="s">
        <v>1643</v>
      </c>
      <c r="B848" s="9" t="s">
        <v>1875</v>
      </c>
      <c r="C848" s="45" t="str">
        <f t="shared" si="13"/>
        <v>KB3B 16A598 AA</v>
      </c>
      <c r="D848" s="10" t="s">
        <v>1876</v>
      </c>
      <c r="E848" s="10" t="s">
        <v>1877</v>
      </c>
      <c r="F848" s="9" t="s">
        <v>494</v>
      </c>
      <c r="G848" s="9" t="s">
        <v>924</v>
      </c>
      <c r="H848" s="12">
        <v>60</v>
      </c>
      <c r="I848" s="8"/>
      <c r="J848" s="13">
        <v>0</v>
      </c>
      <c r="K848" s="13">
        <v>0</v>
      </c>
      <c r="L848" s="13">
        <v>0</v>
      </c>
      <c r="M848" s="13">
        <v>0</v>
      </c>
      <c r="N848" s="13">
        <v>0</v>
      </c>
      <c r="O848" s="13">
        <v>0</v>
      </c>
      <c r="P848" s="13">
        <v>0</v>
      </c>
      <c r="Q848" s="13">
        <v>0</v>
      </c>
      <c r="R848" s="13">
        <v>0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5</v>
      </c>
      <c r="AA848" s="13">
        <v>0</v>
      </c>
      <c r="AB848" s="13">
        <v>0</v>
      </c>
      <c r="AC848" s="13">
        <v>0</v>
      </c>
      <c r="AD848" s="13">
        <v>0</v>
      </c>
    </row>
    <row r="849" spans="1:30" ht="15.75" thickBot="1" x14ac:dyDescent="0.3">
      <c r="A849" s="9" t="s">
        <v>1643</v>
      </c>
      <c r="B849" s="9" t="s">
        <v>1875</v>
      </c>
      <c r="C849" s="45" t="str">
        <f t="shared" si="13"/>
        <v>KB3B 16A599 AA</v>
      </c>
      <c r="D849" s="10" t="s">
        <v>1878</v>
      </c>
      <c r="E849" s="10" t="s">
        <v>1877</v>
      </c>
      <c r="F849" s="9" t="s">
        <v>494</v>
      </c>
      <c r="G849" s="9" t="s">
        <v>924</v>
      </c>
      <c r="H849" s="12">
        <v>60</v>
      </c>
      <c r="I849" s="8"/>
      <c r="J849" s="13">
        <v>0</v>
      </c>
      <c r="K849" s="13">
        <v>0</v>
      </c>
      <c r="L849" s="13">
        <v>0</v>
      </c>
      <c r="M849" s="13">
        <v>0</v>
      </c>
      <c r="N849" s="13">
        <v>0</v>
      </c>
      <c r="O849" s="13">
        <v>0</v>
      </c>
      <c r="P849" s="13">
        <v>0</v>
      </c>
      <c r="Q849" s="13">
        <v>0</v>
      </c>
      <c r="R849" s="13">
        <v>0</v>
      </c>
      <c r="S849" s="13">
        <v>4</v>
      </c>
      <c r="T849" s="13">
        <v>0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0</v>
      </c>
      <c r="AD849" s="13">
        <v>0</v>
      </c>
    </row>
    <row r="850" spans="1:30" ht="15.75" thickBot="1" x14ac:dyDescent="0.3">
      <c r="A850" s="9" t="s">
        <v>1643</v>
      </c>
      <c r="B850" s="9" t="s">
        <v>1875</v>
      </c>
      <c r="C850" s="45" t="str">
        <f t="shared" si="13"/>
        <v>KB3B 16B145 AC</v>
      </c>
      <c r="D850" s="10" t="s">
        <v>1879</v>
      </c>
      <c r="E850" s="10" t="s">
        <v>1671</v>
      </c>
      <c r="F850" s="9" t="s">
        <v>494</v>
      </c>
      <c r="G850" s="9" t="s">
        <v>924</v>
      </c>
      <c r="H850" s="12">
        <v>60</v>
      </c>
      <c r="I850" s="12">
        <v>5</v>
      </c>
      <c r="J850" s="13">
        <v>0</v>
      </c>
      <c r="K850" s="13">
        <v>0</v>
      </c>
      <c r="L850" s="13">
        <v>0</v>
      </c>
      <c r="M850" s="13">
        <v>0</v>
      </c>
      <c r="N850" s="13">
        <v>0</v>
      </c>
      <c r="O850" s="13">
        <v>0</v>
      </c>
      <c r="P850" s="13">
        <v>0</v>
      </c>
      <c r="Q850" s="13">
        <v>0</v>
      </c>
      <c r="R850" s="13">
        <v>0</v>
      </c>
      <c r="S850" s="13">
        <v>0</v>
      </c>
      <c r="T850" s="13">
        <v>0</v>
      </c>
      <c r="U850" s="13">
        <v>0</v>
      </c>
      <c r="V850" s="13">
        <v>0</v>
      </c>
      <c r="W850" s="13">
        <v>0</v>
      </c>
      <c r="X850" s="13">
        <v>0</v>
      </c>
      <c r="Y850" s="13">
        <v>0</v>
      </c>
      <c r="Z850" s="13">
        <v>0</v>
      </c>
      <c r="AA850" s="13">
        <v>0</v>
      </c>
      <c r="AB850" s="13">
        <v>0</v>
      </c>
      <c r="AC850" s="13">
        <v>0</v>
      </c>
      <c r="AD850" s="13">
        <v>0</v>
      </c>
    </row>
    <row r="851" spans="1:30" ht="15.75" thickBot="1" x14ac:dyDescent="0.3">
      <c r="A851" s="9" t="s">
        <v>1643</v>
      </c>
      <c r="B851" s="9" t="s">
        <v>1875</v>
      </c>
      <c r="C851" s="45" t="str">
        <f t="shared" si="13"/>
        <v>MB3B 21021A40 AE</v>
      </c>
      <c r="D851" s="10" t="s">
        <v>1880</v>
      </c>
      <c r="E851" s="10" t="s">
        <v>1881</v>
      </c>
      <c r="F851" s="9" t="s">
        <v>261</v>
      </c>
      <c r="G851" s="9" t="s">
        <v>924</v>
      </c>
      <c r="H851" s="12">
        <v>36</v>
      </c>
      <c r="I851" s="12">
        <v>363</v>
      </c>
      <c r="J851" s="13">
        <v>0</v>
      </c>
      <c r="K851" s="13">
        <v>1317</v>
      </c>
      <c r="L851" s="13">
        <v>2340</v>
      </c>
      <c r="M851" s="13">
        <v>1110</v>
      </c>
      <c r="N851" s="13">
        <v>1110</v>
      </c>
      <c r="O851" s="13">
        <v>1290</v>
      </c>
      <c r="P851" s="13">
        <v>960</v>
      </c>
      <c r="Q851" s="13">
        <v>1200</v>
      </c>
      <c r="R851" s="13">
        <v>1530</v>
      </c>
      <c r="S851" s="13">
        <v>1710</v>
      </c>
      <c r="T851" s="13">
        <v>1380</v>
      </c>
      <c r="U851" s="13">
        <v>1440</v>
      </c>
      <c r="V851" s="13">
        <v>2220</v>
      </c>
      <c r="W851" s="13">
        <v>2010</v>
      </c>
      <c r="X851" s="13">
        <v>2130</v>
      </c>
      <c r="Y851" s="13">
        <v>1470</v>
      </c>
      <c r="Z851" s="13">
        <v>0</v>
      </c>
      <c r="AA851" s="13">
        <v>1080</v>
      </c>
      <c r="AB851" s="13">
        <v>2100</v>
      </c>
      <c r="AC851" s="13">
        <v>1980</v>
      </c>
      <c r="AD851" s="13">
        <v>2010</v>
      </c>
    </row>
    <row r="852" spans="1:30" ht="15.75" thickBot="1" x14ac:dyDescent="0.3">
      <c r="A852" s="9" t="s">
        <v>1643</v>
      </c>
      <c r="B852" s="9" t="s">
        <v>1882</v>
      </c>
      <c r="C852" s="45" t="str">
        <f t="shared" si="13"/>
        <v>N1WB E10940 CF</v>
      </c>
      <c r="D852" s="10" t="s">
        <v>1883</v>
      </c>
      <c r="E852" s="10" t="s">
        <v>1884</v>
      </c>
      <c r="F852" s="9" t="s">
        <v>261</v>
      </c>
      <c r="G852" s="9" t="s">
        <v>924</v>
      </c>
      <c r="H852" s="11">
        <v>38.014699999999998</v>
      </c>
      <c r="I852" s="12">
        <v>334</v>
      </c>
      <c r="J852" s="13">
        <v>0</v>
      </c>
      <c r="K852" s="13">
        <v>1458</v>
      </c>
      <c r="L852" s="13">
        <v>1332</v>
      </c>
      <c r="M852" s="13">
        <v>972</v>
      </c>
      <c r="N852" s="13">
        <v>1280</v>
      </c>
      <c r="O852" s="13">
        <v>1376</v>
      </c>
      <c r="P852" s="13">
        <v>1543</v>
      </c>
      <c r="Q852" s="13">
        <v>717</v>
      </c>
      <c r="R852" s="13">
        <v>1011</v>
      </c>
      <c r="S852" s="13">
        <v>1491</v>
      </c>
      <c r="T852" s="13">
        <v>1574</v>
      </c>
      <c r="U852" s="13">
        <v>1498</v>
      </c>
      <c r="V852" s="13">
        <v>1286</v>
      </c>
      <c r="W852" s="13">
        <v>2074</v>
      </c>
      <c r="X852" s="13">
        <v>1984</v>
      </c>
      <c r="Y852" s="13">
        <v>1997</v>
      </c>
      <c r="Z852" s="13">
        <v>2457</v>
      </c>
      <c r="AA852" s="13">
        <v>0</v>
      </c>
      <c r="AB852" s="13">
        <v>416</v>
      </c>
      <c r="AC852" s="13">
        <v>2080</v>
      </c>
      <c r="AD852" s="13">
        <v>2048</v>
      </c>
    </row>
    <row r="853" spans="1:30" ht="15.75" thickBot="1" x14ac:dyDescent="0.3">
      <c r="A853" s="9" t="s">
        <v>1643</v>
      </c>
      <c r="B853" s="9" t="s">
        <v>1885</v>
      </c>
      <c r="C853" s="45" t="str">
        <f t="shared" si="13"/>
        <v>N1WB E106B46 AD</v>
      </c>
      <c r="D853" s="10" t="s">
        <v>1886</v>
      </c>
      <c r="E853" s="10" t="s">
        <v>1887</v>
      </c>
      <c r="F853" s="9" t="s">
        <v>261</v>
      </c>
      <c r="G853" s="9" t="s">
        <v>924</v>
      </c>
      <c r="H853" s="11">
        <v>38.014699999999998</v>
      </c>
      <c r="I853" s="12">
        <v>540</v>
      </c>
      <c r="J853" s="13">
        <v>0</v>
      </c>
      <c r="K853" s="13">
        <v>1260</v>
      </c>
      <c r="L853" s="13">
        <v>1152</v>
      </c>
      <c r="M853" s="13">
        <v>1008</v>
      </c>
      <c r="N853" s="13">
        <v>1248</v>
      </c>
      <c r="O853" s="13">
        <v>1440</v>
      </c>
      <c r="P853" s="13">
        <v>1332</v>
      </c>
      <c r="Q853" s="13">
        <v>900</v>
      </c>
      <c r="R853" s="13">
        <v>1020</v>
      </c>
      <c r="S853" s="13">
        <v>1512</v>
      </c>
      <c r="T853" s="13">
        <v>1560</v>
      </c>
      <c r="U853" s="13">
        <v>1476</v>
      </c>
      <c r="V853" s="13">
        <v>1320</v>
      </c>
      <c r="W853" s="13">
        <v>2052</v>
      </c>
      <c r="X853" s="13">
        <v>2016</v>
      </c>
      <c r="Y853" s="13">
        <v>1968</v>
      </c>
      <c r="Z853" s="13">
        <v>2496</v>
      </c>
      <c r="AA853" s="13">
        <v>0</v>
      </c>
      <c r="AB853" s="13">
        <v>408</v>
      </c>
      <c r="AC853" s="13">
        <v>2052</v>
      </c>
      <c r="AD853" s="13">
        <v>2064</v>
      </c>
    </row>
    <row r="854" spans="1:30" ht="15.75" thickBot="1" x14ac:dyDescent="0.3">
      <c r="A854" s="9" t="s">
        <v>1643</v>
      </c>
      <c r="B854" s="9" t="s">
        <v>1888</v>
      </c>
      <c r="C854" s="45" t="str">
        <f t="shared" si="13"/>
        <v>N1WB E10129 AB</v>
      </c>
      <c r="D854" s="10" t="s">
        <v>1889</v>
      </c>
      <c r="E854" s="10" t="s">
        <v>1890</v>
      </c>
      <c r="F854" s="9" t="s">
        <v>261</v>
      </c>
      <c r="G854" s="9" t="s">
        <v>924</v>
      </c>
      <c r="H854" s="11">
        <v>35.2941</v>
      </c>
      <c r="I854" s="12">
        <v>354</v>
      </c>
      <c r="J854" s="13">
        <v>0</v>
      </c>
      <c r="K854" s="13">
        <v>1474</v>
      </c>
      <c r="L854" s="13">
        <v>1344</v>
      </c>
      <c r="M854" s="13">
        <v>999</v>
      </c>
      <c r="N854" s="13">
        <v>1190</v>
      </c>
      <c r="O854" s="13">
        <v>1565</v>
      </c>
      <c r="P854" s="13">
        <v>1958</v>
      </c>
      <c r="Q854" s="13">
        <v>173</v>
      </c>
      <c r="R854" s="13">
        <v>989</v>
      </c>
      <c r="S854" s="13">
        <v>1507</v>
      </c>
      <c r="T854" s="13">
        <v>1584</v>
      </c>
      <c r="U854" s="13">
        <v>1488</v>
      </c>
      <c r="V854" s="13">
        <v>1300</v>
      </c>
      <c r="W854" s="13">
        <v>2064</v>
      </c>
      <c r="X854" s="13">
        <v>1997</v>
      </c>
      <c r="Y854" s="13">
        <v>1997</v>
      </c>
      <c r="Z854" s="13">
        <v>2457</v>
      </c>
      <c r="AA854" s="13">
        <v>0</v>
      </c>
      <c r="AB854" s="13">
        <v>413</v>
      </c>
      <c r="AC854" s="13">
        <v>2074</v>
      </c>
      <c r="AD854" s="13">
        <v>2073</v>
      </c>
    </row>
    <row r="855" spans="1:30" ht="15.75" thickBot="1" x14ac:dyDescent="0.3">
      <c r="A855" s="9" t="s">
        <v>1643</v>
      </c>
      <c r="B855" s="9" t="s">
        <v>1891</v>
      </c>
      <c r="C855" s="45" t="str">
        <f t="shared" si="13"/>
        <v>N1WB E10128 AB</v>
      </c>
      <c r="D855" s="10" t="s">
        <v>1892</v>
      </c>
      <c r="E855" s="10" t="s">
        <v>1893</v>
      </c>
      <c r="F855" s="9" t="s">
        <v>261</v>
      </c>
      <c r="G855" s="9" t="s">
        <v>924</v>
      </c>
      <c r="H855" s="11">
        <v>35.2941</v>
      </c>
      <c r="I855" s="12">
        <v>556</v>
      </c>
      <c r="J855" s="13">
        <v>0</v>
      </c>
      <c r="K855" s="13">
        <v>1268</v>
      </c>
      <c r="L855" s="13">
        <v>1364</v>
      </c>
      <c r="M855" s="13">
        <v>1075</v>
      </c>
      <c r="N855" s="13">
        <v>1171</v>
      </c>
      <c r="O855" s="13">
        <v>1488</v>
      </c>
      <c r="P855" s="13">
        <v>1968</v>
      </c>
      <c r="Q855" s="13">
        <v>221</v>
      </c>
      <c r="R855" s="13">
        <v>1027</v>
      </c>
      <c r="S855" s="13">
        <v>1507</v>
      </c>
      <c r="T855" s="13">
        <v>1584</v>
      </c>
      <c r="U855" s="13">
        <v>1488</v>
      </c>
      <c r="V855" s="13">
        <v>1296</v>
      </c>
      <c r="W855" s="13">
        <v>2064</v>
      </c>
      <c r="X855" s="13">
        <v>1987</v>
      </c>
      <c r="Y855" s="13">
        <v>1968</v>
      </c>
      <c r="Z855" s="13">
        <v>2496</v>
      </c>
      <c r="AA855" s="13">
        <v>0</v>
      </c>
      <c r="AB855" s="13">
        <v>413</v>
      </c>
      <c r="AC855" s="13">
        <v>2064</v>
      </c>
      <c r="AD855" s="13">
        <v>2035</v>
      </c>
    </row>
    <row r="856" spans="1:30" ht="15.75" thickBot="1" x14ac:dyDescent="0.3">
      <c r="A856" s="9" t="s">
        <v>1643</v>
      </c>
      <c r="B856" s="9" t="s">
        <v>1894</v>
      </c>
      <c r="C856" s="45" t="str">
        <f t="shared" si="13"/>
        <v>MB3B 2610111 DC</v>
      </c>
      <c r="D856" s="10" t="s">
        <v>1895</v>
      </c>
      <c r="E856" s="10" t="s">
        <v>1896</v>
      </c>
      <c r="F856" s="9" t="s">
        <v>261</v>
      </c>
      <c r="G856" s="9" t="s">
        <v>924</v>
      </c>
      <c r="H856" s="11">
        <v>35.2941</v>
      </c>
      <c r="I856" s="12">
        <v>659</v>
      </c>
      <c r="J856" s="13">
        <v>0</v>
      </c>
      <c r="K856" s="13">
        <v>1319</v>
      </c>
      <c r="L856" s="13">
        <v>1342</v>
      </c>
      <c r="M856" s="13">
        <v>998</v>
      </c>
      <c r="N856" s="13">
        <v>1113</v>
      </c>
      <c r="O856" s="13">
        <v>1446</v>
      </c>
      <c r="P856" s="13">
        <v>1477</v>
      </c>
      <c r="Q856" s="13">
        <v>925</v>
      </c>
      <c r="R856" s="13">
        <v>1010</v>
      </c>
      <c r="S856" s="13">
        <v>1518</v>
      </c>
      <c r="T856" s="13">
        <v>1571</v>
      </c>
      <c r="U856" s="13">
        <v>1508</v>
      </c>
      <c r="V856" s="13">
        <v>1289</v>
      </c>
      <c r="W856" s="13">
        <v>2070</v>
      </c>
      <c r="X856" s="13">
        <v>1966</v>
      </c>
      <c r="Y856" s="13">
        <v>1996</v>
      </c>
      <c r="Z856" s="13">
        <v>2496</v>
      </c>
      <c r="AA856" s="13">
        <v>0</v>
      </c>
      <c r="AB856" s="13">
        <v>406</v>
      </c>
      <c r="AC856" s="13">
        <v>2049</v>
      </c>
      <c r="AD856" s="13">
        <v>2090</v>
      </c>
    </row>
    <row r="857" spans="1:30" ht="15.75" thickBot="1" x14ac:dyDescent="0.3">
      <c r="A857" s="9" t="s">
        <v>1643</v>
      </c>
      <c r="B857" s="9" t="s">
        <v>1897</v>
      </c>
      <c r="C857" s="45" t="str">
        <f t="shared" si="13"/>
        <v>MB3B 2610110 DD</v>
      </c>
      <c r="D857" s="10" t="s">
        <v>1898</v>
      </c>
      <c r="E857" s="10" t="s">
        <v>1899</v>
      </c>
      <c r="F857" s="9" t="s">
        <v>261</v>
      </c>
      <c r="G857" s="9" t="s">
        <v>924</v>
      </c>
      <c r="H857" s="11">
        <v>35.2941</v>
      </c>
      <c r="I857" s="12">
        <v>497</v>
      </c>
      <c r="J857" s="13">
        <v>0</v>
      </c>
      <c r="K857" s="13">
        <v>1531</v>
      </c>
      <c r="L857" s="13">
        <v>1352</v>
      </c>
      <c r="M857" s="13">
        <v>1040</v>
      </c>
      <c r="N857" s="13">
        <v>1103</v>
      </c>
      <c r="O857" s="13">
        <v>1383</v>
      </c>
      <c r="P857" s="13">
        <v>1414</v>
      </c>
      <c r="Q857" s="13">
        <v>1020</v>
      </c>
      <c r="R857" s="13">
        <v>1040</v>
      </c>
      <c r="S857" s="13">
        <v>1487</v>
      </c>
      <c r="T857" s="13">
        <v>1601</v>
      </c>
      <c r="U857" s="13">
        <v>1467</v>
      </c>
      <c r="V857" s="13">
        <v>1289</v>
      </c>
      <c r="W857" s="13">
        <v>2080</v>
      </c>
      <c r="X857" s="13">
        <v>2008</v>
      </c>
      <c r="Y857" s="13">
        <v>1986</v>
      </c>
      <c r="Z857" s="13">
        <v>2454</v>
      </c>
      <c r="AA857" s="13">
        <v>0</v>
      </c>
      <c r="AB857" s="13">
        <v>406</v>
      </c>
      <c r="AC857" s="13">
        <v>2049</v>
      </c>
      <c r="AD857" s="13">
        <v>2090</v>
      </c>
    </row>
    <row r="858" spans="1:30" ht="15.75" thickBot="1" x14ac:dyDescent="0.3">
      <c r="A858" s="9" t="s">
        <v>1643</v>
      </c>
      <c r="B858" s="9" t="s">
        <v>1900</v>
      </c>
      <c r="C858" s="45" t="str">
        <f t="shared" si="13"/>
        <v>MB3B 5810692 AD</v>
      </c>
      <c r="D858" s="10" t="s">
        <v>1901</v>
      </c>
      <c r="E858" s="10" t="s">
        <v>1902</v>
      </c>
      <c r="F858" s="9" t="s">
        <v>261</v>
      </c>
      <c r="G858" s="9" t="s">
        <v>924</v>
      </c>
      <c r="H858" s="11">
        <v>70.588200000000001</v>
      </c>
      <c r="I858" s="12">
        <v>2237</v>
      </c>
      <c r="J858" s="13">
        <v>0</v>
      </c>
      <c r="K858" s="13">
        <v>4771</v>
      </c>
      <c r="L858" s="13">
        <v>5389</v>
      </c>
      <c r="M858" s="13">
        <v>3661</v>
      </c>
      <c r="N858" s="13">
        <v>4096</v>
      </c>
      <c r="O858" s="13">
        <v>4899</v>
      </c>
      <c r="P858" s="13">
        <v>7104</v>
      </c>
      <c r="Q858" s="13">
        <v>1994</v>
      </c>
      <c r="R858" s="13">
        <v>3961</v>
      </c>
      <c r="S858" s="13">
        <v>5620</v>
      </c>
      <c r="T858" s="13">
        <v>5708</v>
      </c>
      <c r="U858" s="13">
        <v>5274</v>
      </c>
      <c r="V858" s="13">
        <v>3808</v>
      </c>
      <c r="W858" s="13">
        <v>5734</v>
      </c>
      <c r="X858" s="13">
        <v>5556</v>
      </c>
      <c r="Y858" s="13">
        <v>5484</v>
      </c>
      <c r="Z858" s="13">
        <v>6784</v>
      </c>
      <c r="AA858" s="13">
        <v>0</v>
      </c>
      <c r="AB858" s="13">
        <v>1133</v>
      </c>
      <c r="AC858" s="13">
        <v>5683</v>
      </c>
      <c r="AD858" s="13">
        <v>5652</v>
      </c>
    </row>
    <row r="859" spans="1:30" ht="15.75" thickBot="1" x14ac:dyDescent="0.3">
      <c r="A859" s="9" t="s">
        <v>1643</v>
      </c>
      <c r="B859" s="9" t="s">
        <v>1900</v>
      </c>
      <c r="C859" s="45" t="str">
        <f t="shared" si="13"/>
        <v>MB3B 5810693 AD</v>
      </c>
      <c r="D859" s="10" t="s">
        <v>1903</v>
      </c>
      <c r="E859" s="10" t="s">
        <v>1902</v>
      </c>
      <c r="F859" s="9" t="s">
        <v>261</v>
      </c>
      <c r="G859" s="9" t="s">
        <v>924</v>
      </c>
      <c r="H859" s="11">
        <v>70.588200000000001</v>
      </c>
      <c r="I859" s="12">
        <v>2720</v>
      </c>
      <c r="J859" s="13">
        <v>0</v>
      </c>
      <c r="K859" s="13">
        <v>4771</v>
      </c>
      <c r="L859" s="13">
        <v>5389</v>
      </c>
      <c r="M859" s="13">
        <v>3661</v>
      </c>
      <c r="N859" s="13">
        <v>4096</v>
      </c>
      <c r="O859" s="13">
        <v>4899</v>
      </c>
      <c r="P859" s="13">
        <v>7104</v>
      </c>
      <c r="Q859" s="13">
        <v>1994</v>
      </c>
      <c r="R859" s="13">
        <v>3961</v>
      </c>
      <c r="S859" s="13">
        <v>5620</v>
      </c>
      <c r="T859" s="13">
        <v>5708</v>
      </c>
      <c r="U859" s="13">
        <v>5274</v>
      </c>
      <c r="V859" s="13">
        <v>3808</v>
      </c>
      <c r="W859" s="13">
        <v>5734</v>
      </c>
      <c r="X859" s="13">
        <v>5556</v>
      </c>
      <c r="Y859" s="13">
        <v>5484</v>
      </c>
      <c r="Z859" s="13">
        <v>6784</v>
      </c>
      <c r="AA859" s="13">
        <v>0</v>
      </c>
      <c r="AB859" s="13">
        <v>1133</v>
      </c>
      <c r="AC859" s="13">
        <v>5683</v>
      </c>
      <c r="AD859" s="13">
        <v>5652</v>
      </c>
    </row>
    <row r="860" spans="1:30" ht="15.75" thickBot="1" x14ac:dyDescent="0.3">
      <c r="A860" s="9" t="s">
        <v>1643</v>
      </c>
      <c r="B860" s="9" t="s">
        <v>1904</v>
      </c>
      <c r="C860" s="45" t="str">
        <f t="shared" si="13"/>
        <v>KB3B 2102885 AB</v>
      </c>
      <c r="D860" s="10" t="s">
        <v>1905</v>
      </c>
      <c r="E860" s="10" t="s">
        <v>1906</v>
      </c>
      <c r="F860" s="9" t="s">
        <v>494</v>
      </c>
      <c r="G860" s="9" t="s">
        <v>924</v>
      </c>
      <c r="H860" s="12">
        <v>95</v>
      </c>
      <c r="I860" s="8"/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10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</row>
    <row r="861" spans="1:30" ht="15.75" thickBot="1" x14ac:dyDescent="0.3">
      <c r="A861" s="9" t="s">
        <v>1643</v>
      </c>
      <c r="B861" s="9" t="s">
        <v>1907</v>
      </c>
      <c r="C861" s="45" t="str">
        <f t="shared" si="13"/>
        <v>KB3B 26403E42 AA</v>
      </c>
      <c r="D861" s="10" t="s">
        <v>1908</v>
      </c>
      <c r="E861" s="10" t="s">
        <v>1909</v>
      </c>
      <c r="F861" s="9" t="s">
        <v>494</v>
      </c>
      <c r="G861" s="9" t="s">
        <v>924</v>
      </c>
      <c r="H861" s="12">
        <v>80</v>
      </c>
      <c r="I861" s="12">
        <v>742</v>
      </c>
      <c r="J861" s="13">
        <v>0</v>
      </c>
      <c r="K861" s="13">
        <v>1498</v>
      </c>
      <c r="L861" s="13">
        <v>1344</v>
      </c>
      <c r="M861" s="13">
        <v>1120</v>
      </c>
      <c r="N861" s="13">
        <v>924</v>
      </c>
      <c r="O861" s="13">
        <v>420</v>
      </c>
      <c r="P861" s="13">
        <v>1428</v>
      </c>
      <c r="Q861" s="13">
        <v>980</v>
      </c>
      <c r="R861" s="13">
        <v>1092</v>
      </c>
      <c r="S861" s="13">
        <v>1568</v>
      </c>
      <c r="T861" s="13">
        <v>1680</v>
      </c>
      <c r="U861" s="13">
        <v>1680</v>
      </c>
      <c r="V861" s="13">
        <v>2100</v>
      </c>
      <c r="W861" s="13">
        <v>3024</v>
      </c>
      <c r="X861" s="13">
        <v>336</v>
      </c>
      <c r="Y861" s="13">
        <v>1848</v>
      </c>
      <c r="Z861" s="13">
        <v>2016</v>
      </c>
      <c r="AA861" s="13">
        <v>84</v>
      </c>
      <c r="AB861" s="13">
        <v>728</v>
      </c>
      <c r="AC861" s="13">
        <v>1988</v>
      </c>
      <c r="AD861" s="13">
        <v>2072</v>
      </c>
    </row>
    <row r="862" spans="1:30" ht="15.75" thickBot="1" x14ac:dyDescent="0.3">
      <c r="A862" s="9" t="s">
        <v>1643</v>
      </c>
      <c r="B862" s="9" t="s">
        <v>1910</v>
      </c>
      <c r="C862" s="45" t="str">
        <f t="shared" si="13"/>
        <v>ASYW150506W16</v>
      </c>
      <c r="D862" s="10" t="s">
        <v>1911</v>
      </c>
      <c r="E862" s="10" t="s">
        <v>1912</v>
      </c>
      <c r="F862" s="9" t="s">
        <v>494</v>
      </c>
      <c r="G862" s="9" t="s">
        <v>924</v>
      </c>
      <c r="H862" s="12">
        <v>80</v>
      </c>
      <c r="I862" s="12">
        <v>64</v>
      </c>
      <c r="J862" s="13">
        <v>0</v>
      </c>
      <c r="K862" s="13">
        <v>902</v>
      </c>
      <c r="L862" s="13">
        <v>1277</v>
      </c>
      <c r="M862" s="13">
        <v>991</v>
      </c>
      <c r="N862" s="13">
        <v>1277</v>
      </c>
      <c r="O862" s="13">
        <v>1378</v>
      </c>
      <c r="P862" s="13">
        <v>1386</v>
      </c>
      <c r="Q862" s="13">
        <v>890</v>
      </c>
      <c r="R862" s="13">
        <v>1033</v>
      </c>
      <c r="S862" s="13">
        <v>1496</v>
      </c>
      <c r="T862" s="13">
        <v>1587</v>
      </c>
      <c r="U862" s="13">
        <v>1462</v>
      </c>
      <c r="V862" s="13">
        <v>1285</v>
      </c>
      <c r="W862" s="13">
        <v>2066</v>
      </c>
      <c r="X862" s="13">
        <v>2025</v>
      </c>
      <c r="Y862" s="13">
        <v>1991</v>
      </c>
      <c r="Z862" s="13">
        <v>2452</v>
      </c>
      <c r="AA862" s="13">
        <v>0</v>
      </c>
      <c r="AB862" s="13">
        <v>412</v>
      </c>
      <c r="AC862" s="13">
        <v>2066</v>
      </c>
      <c r="AD862" s="13">
        <v>2067</v>
      </c>
    </row>
    <row r="863" spans="1:30" ht="15.75" thickBot="1" x14ac:dyDescent="0.3">
      <c r="A863" s="9" t="s">
        <v>1643</v>
      </c>
      <c r="B863" s="9" t="s">
        <v>1910</v>
      </c>
      <c r="C863" s="45" t="str">
        <f t="shared" si="13"/>
        <v>KB3B 26508A40 AB</v>
      </c>
      <c r="D863" s="10" t="s">
        <v>1913</v>
      </c>
      <c r="E863" s="10" t="s">
        <v>1914</v>
      </c>
      <c r="F863" s="9" t="s">
        <v>494</v>
      </c>
      <c r="G863" s="9" t="s">
        <v>924</v>
      </c>
      <c r="H863" s="12">
        <v>80</v>
      </c>
      <c r="I863" s="12">
        <v>1177</v>
      </c>
      <c r="J863" s="13">
        <v>0</v>
      </c>
      <c r="K863" s="13">
        <v>517</v>
      </c>
      <c r="L863" s="13">
        <v>1017</v>
      </c>
      <c r="M863" s="13">
        <v>1232</v>
      </c>
      <c r="N863" s="13">
        <v>1293</v>
      </c>
      <c r="O863" s="13">
        <v>1448</v>
      </c>
      <c r="P863" s="13">
        <v>986</v>
      </c>
      <c r="Q863" s="13">
        <v>677</v>
      </c>
      <c r="R863" s="13">
        <v>986</v>
      </c>
      <c r="S863" s="13">
        <v>1266</v>
      </c>
      <c r="T863" s="13">
        <v>1386</v>
      </c>
      <c r="U863" s="13">
        <v>1293</v>
      </c>
      <c r="V863" s="13">
        <v>1078</v>
      </c>
      <c r="W863" s="13">
        <v>1725</v>
      </c>
      <c r="X863" s="13">
        <v>1756</v>
      </c>
      <c r="Y863" s="13">
        <v>1632</v>
      </c>
      <c r="Z863" s="13">
        <v>2094</v>
      </c>
      <c r="AA863" s="13">
        <v>0</v>
      </c>
      <c r="AB863" s="13">
        <v>370</v>
      </c>
      <c r="AC863" s="13">
        <v>1817</v>
      </c>
      <c r="AD863" s="13">
        <v>1694</v>
      </c>
    </row>
    <row r="864" spans="1:30" ht="15.75" thickBot="1" x14ac:dyDescent="0.3">
      <c r="A864" s="9" t="s">
        <v>1643</v>
      </c>
      <c r="B864" s="9" t="s">
        <v>1915</v>
      </c>
      <c r="C864" s="45" t="str">
        <f t="shared" si="13"/>
        <v>N1WB E412A05 CB</v>
      </c>
      <c r="D864" s="10" t="s">
        <v>1916</v>
      </c>
      <c r="E864" s="10" t="s">
        <v>1917</v>
      </c>
      <c r="F864" s="9" t="s">
        <v>261</v>
      </c>
      <c r="G864" s="9" t="s">
        <v>924</v>
      </c>
      <c r="H864" s="11">
        <v>78.260800000000003</v>
      </c>
      <c r="I864" s="12">
        <v>1320</v>
      </c>
      <c r="J864" s="13">
        <v>0</v>
      </c>
      <c r="K864" s="13">
        <v>480</v>
      </c>
      <c r="L864" s="13">
        <v>2280</v>
      </c>
      <c r="M864" s="13">
        <v>840</v>
      </c>
      <c r="N864" s="13">
        <v>1200</v>
      </c>
      <c r="O864" s="13">
        <v>1320</v>
      </c>
      <c r="P864" s="13">
        <v>960</v>
      </c>
      <c r="Q864" s="13">
        <v>1200</v>
      </c>
      <c r="R864" s="13">
        <v>1440</v>
      </c>
      <c r="S864" s="13">
        <v>1680</v>
      </c>
      <c r="T864" s="13">
        <v>1440</v>
      </c>
      <c r="U864" s="13">
        <v>1440</v>
      </c>
      <c r="V864" s="13">
        <v>2160</v>
      </c>
      <c r="W864" s="13">
        <v>2040</v>
      </c>
      <c r="X864" s="13">
        <v>2040</v>
      </c>
      <c r="Y864" s="13">
        <v>1800</v>
      </c>
      <c r="Z864" s="13">
        <v>0</v>
      </c>
      <c r="AA864" s="13">
        <v>840</v>
      </c>
      <c r="AB864" s="13">
        <v>2160</v>
      </c>
      <c r="AC864" s="13">
        <v>1920</v>
      </c>
      <c r="AD864" s="13">
        <v>2040</v>
      </c>
    </row>
    <row r="865" spans="1:30" ht="15.75" thickBot="1" x14ac:dyDescent="0.3">
      <c r="A865" s="9" t="s">
        <v>1643</v>
      </c>
      <c r="B865" s="9" t="s">
        <v>1918</v>
      </c>
      <c r="C865" s="45" t="str">
        <f t="shared" si="13"/>
        <v>N1WB E412A04 CB</v>
      </c>
      <c r="D865" s="10" t="s">
        <v>1919</v>
      </c>
      <c r="E865" s="10" t="s">
        <v>1917</v>
      </c>
      <c r="F865" s="9" t="s">
        <v>261</v>
      </c>
      <c r="G865" s="9" t="s">
        <v>924</v>
      </c>
      <c r="H865" s="11">
        <v>78.260800000000003</v>
      </c>
      <c r="I865" s="12">
        <v>1080</v>
      </c>
      <c r="J865" s="13">
        <v>0</v>
      </c>
      <c r="K865" s="13">
        <v>960</v>
      </c>
      <c r="L865" s="13">
        <v>2520</v>
      </c>
      <c r="M865" s="13">
        <v>600</v>
      </c>
      <c r="N865" s="13">
        <v>1320</v>
      </c>
      <c r="O865" s="13">
        <v>1320</v>
      </c>
      <c r="P865" s="13">
        <v>960</v>
      </c>
      <c r="Q865" s="13">
        <v>1080</v>
      </c>
      <c r="R865" s="13">
        <v>1560</v>
      </c>
      <c r="S865" s="13">
        <v>1680</v>
      </c>
      <c r="T865" s="13">
        <v>1440</v>
      </c>
      <c r="U865" s="13">
        <v>1320</v>
      </c>
      <c r="V865" s="13">
        <v>2280</v>
      </c>
      <c r="W865" s="13">
        <v>2040</v>
      </c>
      <c r="X865" s="13">
        <v>2040</v>
      </c>
      <c r="Y865" s="13">
        <v>1680</v>
      </c>
      <c r="Z865" s="13">
        <v>0</v>
      </c>
      <c r="AA865" s="13">
        <v>960</v>
      </c>
      <c r="AB865" s="13">
        <v>2040</v>
      </c>
      <c r="AC865" s="13">
        <v>2040</v>
      </c>
      <c r="AD865" s="13">
        <v>1920</v>
      </c>
    </row>
    <row r="866" spans="1:30" ht="15.75" thickBot="1" x14ac:dyDescent="0.3">
      <c r="A866" s="9" t="s">
        <v>1643</v>
      </c>
      <c r="B866" s="9" t="s">
        <v>1920</v>
      </c>
      <c r="C866" s="45" t="str">
        <f t="shared" si="13"/>
        <v>PC PP802 AC</v>
      </c>
      <c r="D866" s="10" t="s">
        <v>1921</v>
      </c>
      <c r="E866" s="10" t="s">
        <v>1922</v>
      </c>
      <c r="F866" s="9" t="s">
        <v>1164</v>
      </c>
      <c r="G866" s="9" t="s">
        <v>924</v>
      </c>
      <c r="H866" s="12">
        <v>80</v>
      </c>
      <c r="I866" s="12">
        <v>1051</v>
      </c>
      <c r="J866" s="13">
        <v>0</v>
      </c>
      <c r="K866" s="13">
        <v>1119</v>
      </c>
      <c r="L866" s="13">
        <v>980</v>
      </c>
      <c r="M866" s="13">
        <v>980</v>
      </c>
      <c r="N866" s="13">
        <v>700</v>
      </c>
      <c r="O866" s="13">
        <v>840</v>
      </c>
      <c r="P866" s="13">
        <v>840</v>
      </c>
      <c r="Q866" s="13">
        <v>840</v>
      </c>
      <c r="R866" s="13">
        <v>910</v>
      </c>
      <c r="S866" s="13">
        <v>1120</v>
      </c>
      <c r="T866" s="13">
        <v>910</v>
      </c>
      <c r="U866" s="13">
        <v>770</v>
      </c>
      <c r="V866" s="13">
        <v>630</v>
      </c>
      <c r="W866" s="13">
        <v>630</v>
      </c>
      <c r="X866" s="13">
        <v>140</v>
      </c>
      <c r="Y866" s="13">
        <v>840</v>
      </c>
      <c r="Z866" s="13">
        <v>1470</v>
      </c>
      <c r="AA866" s="13">
        <v>1750</v>
      </c>
      <c r="AB866" s="13">
        <v>1680</v>
      </c>
      <c r="AC866" s="13">
        <v>1470</v>
      </c>
      <c r="AD866" s="13">
        <v>1400</v>
      </c>
    </row>
    <row r="867" spans="1:30" ht="15.75" thickBot="1" x14ac:dyDescent="0.3">
      <c r="A867" s="9" t="s">
        <v>1643</v>
      </c>
      <c r="B867" s="9" t="s">
        <v>1923</v>
      </c>
      <c r="C867" s="45" t="str">
        <f t="shared" si="13"/>
        <v>ASYW150786W16</v>
      </c>
      <c r="D867" s="10" t="s">
        <v>1924</v>
      </c>
      <c r="E867" s="10" t="s">
        <v>1925</v>
      </c>
      <c r="F867" s="9" t="s">
        <v>261</v>
      </c>
      <c r="G867" s="9" t="s">
        <v>924</v>
      </c>
      <c r="H867" s="12">
        <v>160</v>
      </c>
      <c r="I867" s="12">
        <v>2099</v>
      </c>
      <c r="J867" s="13">
        <v>0</v>
      </c>
      <c r="K867" s="13">
        <v>0</v>
      </c>
      <c r="L867" s="13">
        <v>4069</v>
      </c>
      <c r="M867" s="13">
        <v>2050</v>
      </c>
      <c r="N867" s="13">
        <v>2410</v>
      </c>
      <c r="O867" s="13">
        <v>2670</v>
      </c>
      <c r="P867" s="13">
        <v>1960</v>
      </c>
      <c r="Q867" s="13">
        <v>2330</v>
      </c>
      <c r="R867" s="13">
        <v>3040</v>
      </c>
      <c r="S867" s="13">
        <v>3350</v>
      </c>
      <c r="T867" s="13">
        <v>2900</v>
      </c>
      <c r="U867" s="13">
        <v>2680</v>
      </c>
      <c r="V867" s="13">
        <v>4440</v>
      </c>
      <c r="W867" s="13">
        <v>4100</v>
      </c>
      <c r="X867" s="13">
        <v>4070</v>
      </c>
      <c r="Y867" s="13">
        <v>3440</v>
      </c>
      <c r="Z867" s="13">
        <v>0</v>
      </c>
      <c r="AA867" s="13">
        <v>1840</v>
      </c>
      <c r="AB867" s="13">
        <v>4140</v>
      </c>
      <c r="AC867" s="13">
        <v>4040</v>
      </c>
      <c r="AD867" s="13">
        <v>3960</v>
      </c>
    </row>
    <row r="868" spans="1:30" ht="15.75" thickBot="1" x14ac:dyDescent="0.3">
      <c r="A868" s="9" t="s">
        <v>1643</v>
      </c>
      <c r="B868" s="9" t="s">
        <v>1926</v>
      </c>
      <c r="C868" s="45" t="str">
        <f t="shared" si="13"/>
        <v>N1WB E403E32 AB</v>
      </c>
      <c r="D868" s="10" t="s">
        <v>1927</v>
      </c>
      <c r="E868" s="10" t="s">
        <v>1286</v>
      </c>
      <c r="F868" s="9" t="s">
        <v>261</v>
      </c>
      <c r="G868" s="9" t="s">
        <v>924</v>
      </c>
      <c r="H868" s="12">
        <v>40</v>
      </c>
      <c r="I868" s="12">
        <v>798</v>
      </c>
      <c r="J868" s="13">
        <v>0</v>
      </c>
      <c r="K868" s="13">
        <v>966</v>
      </c>
      <c r="L868" s="13">
        <v>1277</v>
      </c>
      <c r="M868" s="13">
        <v>991</v>
      </c>
      <c r="N868" s="13">
        <v>1277</v>
      </c>
      <c r="O868" s="13">
        <v>1378</v>
      </c>
      <c r="P868" s="13">
        <v>1386</v>
      </c>
      <c r="Q868" s="13">
        <v>890</v>
      </c>
      <c r="R868" s="13">
        <v>1033</v>
      </c>
      <c r="S868" s="13">
        <v>1496</v>
      </c>
      <c r="T868" s="13">
        <v>1587</v>
      </c>
      <c r="U868" s="13">
        <v>1462</v>
      </c>
      <c r="V868" s="13">
        <v>1285</v>
      </c>
      <c r="W868" s="13">
        <v>2066</v>
      </c>
      <c r="X868" s="13">
        <v>2025</v>
      </c>
      <c r="Y868" s="13">
        <v>1991</v>
      </c>
      <c r="Z868" s="13">
        <v>2452</v>
      </c>
      <c r="AA868" s="13">
        <v>0</v>
      </c>
      <c r="AB868" s="13">
        <v>412</v>
      </c>
      <c r="AC868" s="13">
        <v>2066</v>
      </c>
      <c r="AD868" s="13">
        <v>2067</v>
      </c>
    </row>
    <row r="869" spans="1:30" ht="15.75" thickBot="1" x14ac:dyDescent="0.3">
      <c r="A869" s="9" t="s">
        <v>1643</v>
      </c>
      <c r="B869" s="9" t="s">
        <v>1928</v>
      </c>
      <c r="C869" s="45" t="str">
        <f t="shared" si="13"/>
        <v>ASYW160A24W22</v>
      </c>
      <c r="D869" s="10" t="s">
        <v>1929</v>
      </c>
      <c r="E869" s="10" t="s">
        <v>1930</v>
      </c>
      <c r="F869" s="9" t="s">
        <v>261</v>
      </c>
      <c r="G869" s="9" t="s">
        <v>924</v>
      </c>
      <c r="H869" s="11">
        <v>83.7209</v>
      </c>
      <c r="I869" s="12">
        <v>251</v>
      </c>
      <c r="J869" s="13">
        <v>0</v>
      </c>
      <c r="K869" s="13">
        <v>1204</v>
      </c>
      <c r="L869" s="13">
        <v>2330</v>
      </c>
      <c r="M869" s="13">
        <v>1000</v>
      </c>
      <c r="N869" s="13">
        <v>1200</v>
      </c>
      <c r="O869" s="13">
        <v>1330</v>
      </c>
      <c r="P869" s="13">
        <v>980</v>
      </c>
      <c r="Q869" s="13">
        <v>1170</v>
      </c>
      <c r="R869" s="13">
        <v>1520</v>
      </c>
      <c r="S869" s="13">
        <v>1670</v>
      </c>
      <c r="T869" s="13">
        <v>1450</v>
      </c>
      <c r="U869" s="13">
        <v>1340</v>
      </c>
      <c r="V869" s="13">
        <v>2220</v>
      </c>
      <c r="W869" s="13">
        <v>2050</v>
      </c>
      <c r="X869" s="13">
        <v>2030</v>
      </c>
      <c r="Y869" s="13">
        <v>1720</v>
      </c>
      <c r="Z869" s="13">
        <v>0</v>
      </c>
      <c r="AA869" s="13">
        <v>920</v>
      </c>
      <c r="AB869" s="13">
        <v>2070</v>
      </c>
      <c r="AC869" s="13">
        <v>2020</v>
      </c>
      <c r="AD869" s="13">
        <v>1980</v>
      </c>
    </row>
    <row r="870" spans="1:30" ht="15.75" thickBot="1" x14ac:dyDescent="0.3">
      <c r="A870" s="9" t="s">
        <v>1643</v>
      </c>
      <c r="B870" s="9" t="s">
        <v>1928</v>
      </c>
      <c r="C870" s="45" t="str">
        <f t="shared" si="13"/>
        <v>ASYW160A25W21</v>
      </c>
      <c r="D870" s="10" t="s">
        <v>1931</v>
      </c>
      <c r="E870" s="10" t="s">
        <v>1932</v>
      </c>
      <c r="F870" s="9" t="s">
        <v>261</v>
      </c>
      <c r="G870" s="9" t="s">
        <v>924</v>
      </c>
      <c r="H870" s="11">
        <v>83.7209</v>
      </c>
      <c r="I870" s="12">
        <v>1002</v>
      </c>
      <c r="J870" s="13">
        <v>0</v>
      </c>
      <c r="K870" s="13">
        <v>275</v>
      </c>
      <c r="L870" s="13">
        <v>2360</v>
      </c>
      <c r="M870" s="13">
        <v>1050</v>
      </c>
      <c r="N870" s="13">
        <v>1210</v>
      </c>
      <c r="O870" s="13">
        <v>1340</v>
      </c>
      <c r="P870" s="13">
        <v>980</v>
      </c>
      <c r="Q870" s="13">
        <v>1160</v>
      </c>
      <c r="R870" s="13">
        <v>1520</v>
      </c>
      <c r="S870" s="13">
        <v>1680</v>
      </c>
      <c r="T870" s="13">
        <v>1450</v>
      </c>
      <c r="U870" s="13">
        <v>1340</v>
      </c>
      <c r="V870" s="13">
        <v>2220</v>
      </c>
      <c r="W870" s="13">
        <v>2050</v>
      </c>
      <c r="X870" s="13">
        <v>2040</v>
      </c>
      <c r="Y870" s="13">
        <v>1720</v>
      </c>
      <c r="Z870" s="13">
        <v>0</v>
      </c>
      <c r="AA870" s="13">
        <v>920</v>
      </c>
      <c r="AB870" s="13">
        <v>2070</v>
      </c>
      <c r="AC870" s="13">
        <v>2020</v>
      </c>
      <c r="AD870" s="13">
        <v>1980</v>
      </c>
    </row>
    <row r="871" spans="1:30" ht="15.75" thickBot="1" x14ac:dyDescent="0.3">
      <c r="A871" s="9" t="s">
        <v>1643</v>
      </c>
      <c r="B871" s="9" t="s">
        <v>1933</v>
      </c>
      <c r="C871" s="45" t="str">
        <f t="shared" si="13"/>
        <v>MB3B 5810699 BA</v>
      </c>
      <c r="D871" s="10" t="s">
        <v>1934</v>
      </c>
      <c r="E871" s="10" t="s">
        <v>1935</v>
      </c>
      <c r="F871" s="9" t="s">
        <v>261</v>
      </c>
      <c r="G871" s="9" t="s">
        <v>924</v>
      </c>
      <c r="H871" s="11">
        <v>102.8571</v>
      </c>
      <c r="I871" s="12">
        <v>2080</v>
      </c>
      <c r="J871" s="13">
        <v>0</v>
      </c>
      <c r="K871" s="13">
        <v>4420</v>
      </c>
      <c r="L871" s="13">
        <v>5382</v>
      </c>
      <c r="M871" s="13">
        <v>3588</v>
      </c>
      <c r="N871" s="13">
        <v>4056</v>
      </c>
      <c r="O871" s="13">
        <v>4914</v>
      </c>
      <c r="P871" s="13">
        <v>5434</v>
      </c>
      <c r="Q871" s="13">
        <v>3718</v>
      </c>
      <c r="R871" s="13">
        <v>3926</v>
      </c>
      <c r="S871" s="13">
        <v>5616</v>
      </c>
      <c r="T871" s="13">
        <v>5746</v>
      </c>
      <c r="U871" s="13">
        <v>5330</v>
      </c>
      <c r="V871" s="13">
        <v>3744</v>
      </c>
      <c r="W871" s="13">
        <v>5720</v>
      </c>
      <c r="X871" s="13">
        <v>5538</v>
      </c>
      <c r="Y871" s="13">
        <v>5538</v>
      </c>
      <c r="Z871" s="13">
        <v>6760</v>
      </c>
      <c r="AA871" s="13">
        <v>0</v>
      </c>
      <c r="AB871" s="13">
        <v>1144</v>
      </c>
      <c r="AC871" s="13">
        <v>5720</v>
      </c>
      <c r="AD871" s="13">
        <v>5616</v>
      </c>
    </row>
    <row r="872" spans="1:30" ht="15.75" thickBot="1" x14ac:dyDescent="0.3">
      <c r="A872" s="9" t="s">
        <v>1643</v>
      </c>
      <c r="B872" s="9" t="s">
        <v>1936</v>
      </c>
      <c r="C872" s="45" t="str">
        <f t="shared" si="13"/>
        <v>MB3B 5810698 AE</v>
      </c>
      <c r="D872" s="10" t="s">
        <v>1937</v>
      </c>
      <c r="E872" s="10" t="s">
        <v>1938</v>
      </c>
      <c r="F872" s="9" t="s">
        <v>261</v>
      </c>
      <c r="G872" s="9" t="s">
        <v>924</v>
      </c>
      <c r="H872" s="11">
        <v>102.8571</v>
      </c>
      <c r="I872" s="12">
        <v>1750</v>
      </c>
      <c r="J872" s="13">
        <v>0</v>
      </c>
      <c r="K872" s="13">
        <v>4750</v>
      </c>
      <c r="L872" s="13">
        <v>5434</v>
      </c>
      <c r="M872" s="13">
        <v>3796</v>
      </c>
      <c r="N872" s="13">
        <v>4056</v>
      </c>
      <c r="O872" s="13">
        <v>4836</v>
      </c>
      <c r="P872" s="13">
        <v>5174</v>
      </c>
      <c r="Q872" s="13">
        <v>3926</v>
      </c>
      <c r="R872" s="13">
        <v>3926</v>
      </c>
      <c r="S872" s="13">
        <v>5616</v>
      </c>
      <c r="T872" s="13">
        <v>5720</v>
      </c>
      <c r="U872" s="13">
        <v>5252</v>
      </c>
      <c r="V872" s="13">
        <v>3848</v>
      </c>
      <c r="W872" s="13">
        <v>5720</v>
      </c>
      <c r="X872" s="13">
        <v>5538</v>
      </c>
      <c r="Y872" s="13">
        <v>5538</v>
      </c>
      <c r="Z872" s="13">
        <v>6760</v>
      </c>
      <c r="AA872" s="13">
        <v>0</v>
      </c>
      <c r="AB872" s="13">
        <v>1118</v>
      </c>
      <c r="AC872" s="13">
        <v>5642</v>
      </c>
      <c r="AD872" s="13">
        <v>5720</v>
      </c>
    </row>
    <row r="873" spans="1:30" ht="15.75" thickBot="1" x14ac:dyDescent="0.3">
      <c r="A873" s="9" t="s">
        <v>1643</v>
      </c>
      <c r="B873" s="9" t="s">
        <v>1939</v>
      </c>
      <c r="C873" s="45" t="str">
        <f t="shared" si="13"/>
        <v>MB3B 2102039 AF</v>
      </c>
      <c r="D873" s="10" t="s">
        <v>1940</v>
      </c>
      <c r="E873" s="10" t="s">
        <v>1941</v>
      </c>
      <c r="F873" s="9" t="s">
        <v>261</v>
      </c>
      <c r="G873" s="9" t="s">
        <v>924</v>
      </c>
      <c r="H873" s="11">
        <v>36.7346</v>
      </c>
      <c r="I873" s="12">
        <v>864</v>
      </c>
      <c r="J873" s="13">
        <v>0</v>
      </c>
      <c r="K873" s="13">
        <v>918</v>
      </c>
      <c r="L873" s="13">
        <v>1518</v>
      </c>
      <c r="M873" s="13">
        <v>972</v>
      </c>
      <c r="N873" s="13">
        <v>1069</v>
      </c>
      <c r="O873" s="13">
        <v>1663</v>
      </c>
      <c r="P873" s="13">
        <v>2149</v>
      </c>
      <c r="Q873" s="13">
        <v>648</v>
      </c>
      <c r="R873" s="13">
        <v>303</v>
      </c>
      <c r="S873" s="13">
        <v>1512</v>
      </c>
      <c r="T873" s="13">
        <v>1517</v>
      </c>
      <c r="U873" s="13">
        <v>1469</v>
      </c>
      <c r="V873" s="13">
        <v>1355</v>
      </c>
      <c r="W873" s="13">
        <v>2036</v>
      </c>
      <c r="X873" s="13">
        <v>1993</v>
      </c>
      <c r="Y873" s="13">
        <v>1965</v>
      </c>
      <c r="Z873" s="13">
        <v>2592</v>
      </c>
      <c r="AA873" s="13">
        <v>0</v>
      </c>
      <c r="AB873" s="13">
        <v>405</v>
      </c>
      <c r="AC873" s="13">
        <v>2025</v>
      </c>
      <c r="AD873" s="13">
        <v>2009</v>
      </c>
    </row>
    <row r="874" spans="1:30" ht="15.75" thickBot="1" x14ac:dyDescent="0.3">
      <c r="A874" s="9" t="s">
        <v>1643</v>
      </c>
      <c r="B874" s="9" t="s">
        <v>1942</v>
      </c>
      <c r="C874" s="45" t="str">
        <f t="shared" si="13"/>
        <v>MB3B 2102038 AG</v>
      </c>
      <c r="D874" s="10" t="s">
        <v>1943</v>
      </c>
      <c r="E874" s="10" t="s">
        <v>1941</v>
      </c>
      <c r="F874" s="9" t="s">
        <v>261</v>
      </c>
      <c r="G874" s="9" t="s">
        <v>924</v>
      </c>
      <c r="H874" s="11">
        <v>36.7346</v>
      </c>
      <c r="I874" s="12">
        <v>819</v>
      </c>
      <c r="J874" s="13">
        <v>0</v>
      </c>
      <c r="K874" s="13">
        <v>1302</v>
      </c>
      <c r="L874" s="13">
        <v>1382</v>
      </c>
      <c r="M874" s="13">
        <v>1029</v>
      </c>
      <c r="N874" s="13">
        <v>1088</v>
      </c>
      <c r="O874" s="13">
        <v>1504</v>
      </c>
      <c r="P874" s="13">
        <v>1898</v>
      </c>
      <c r="Q874" s="13">
        <v>722</v>
      </c>
      <c r="R874" s="13">
        <v>1176</v>
      </c>
      <c r="S874" s="13">
        <v>996</v>
      </c>
      <c r="T874" s="13">
        <v>1617</v>
      </c>
      <c r="U874" s="13">
        <v>1478</v>
      </c>
      <c r="V874" s="13">
        <v>1197</v>
      </c>
      <c r="W874" s="13">
        <v>2201</v>
      </c>
      <c r="X874" s="13">
        <v>1798</v>
      </c>
      <c r="Y874" s="13">
        <v>1902</v>
      </c>
      <c r="Z874" s="13">
        <v>2503</v>
      </c>
      <c r="AA874" s="13">
        <v>0</v>
      </c>
      <c r="AB874" s="13">
        <v>467</v>
      </c>
      <c r="AC874" s="13">
        <v>2234</v>
      </c>
      <c r="AD874" s="13">
        <v>1865</v>
      </c>
    </row>
    <row r="875" spans="1:30" ht="15.75" thickBot="1" x14ac:dyDescent="0.3">
      <c r="A875" s="9" t="s">
        <v>1643</v>
      </c>
      <c r="B875" s="9" t="s">
        <v>1944</v>
      </c>
      <c r="C875" s="45" t="str">
        <f t="shared" si="13"/>
        <v>N1WB E10780 BA</v>
      </c>
      <c r="D875" s="10" t="s">
        <v>1945</v>
      </c>
      <c r="E875" s="10" t="s">
        <v>1946</v>
      </c>
      <c r="F875" s="9" t="s">
        <v>261</v>
      </c>
      <c r="G875" s="9" t="s">
        <v>924</v>
      </c>
      <c r="H875" s="12">
        <v>45</v>
      </c>
      <c r="I875" s="12">
        <v>384</v>
      </c>
      <c r="J875" s="13">
        <v>0</v>
      </c>
      <c r="K875" s="13">
        <v>1596</v>
      </c>
      <c r="L875" s="13">
        <v>1100</v>
      </c>
      <c r="M875" s="13">
        <v>1100</v>
      </c>
      <c r="N875" s="13">
        <v>1144</v>
      </c>
      <c r="O875" s="13">
        <v>1364</v>
      </c>
      <c r="P875" s="13">
        <v>1419</v>
      </c>
      <c r="Q875" s="13">
        <v>924</v>
      </c>
      <c r="R875" s="13">
        <v>1001</v>
      </c>
      <c r="S875" s="13">
        <v>1496</v>
      </c>
      <c r="T875" s="13">
        <v>1551</v>
      </c>
      <c r="U875" s="13">
        <v>1496</v>
      </c>
      <c r="V875" s="13">
        <v>1298</v>
      </c>
      <c r="W875" s="13">
        <v>2079</v>
      </c>
      <c r="X875" s="13">
        <v>1969</v>
      </c>
      <c r="Y875" s="13">
        <v>1991</v>
      </c>
      <c r="Z875" s="13">
        <v>2508</v>
      </c>
      <c r="AA875" s="13">
        <v>0</v>
      </c>
      <c r="AB875" s="13">
        <v>407</v>
      </c>
      <c r="AC875" s="13">
        <v>2046</v>
      </c>
      <c r="AD875" s="13">
        <v>2057</v>
      </c>
    </row>
    <row r="876" spans="1:30" ht="15.75" thickBot="1" x14ac:dyDescent="0.3">
      <c r="A876" s="9" t="s">
        <v>1643</v>
      </c>
      <c r="B876" s="9" t="s">
        <v>1947</v>
      </c>
      <c r="C876" s="45" t="str">
        <f t="shared" si="13"/>
        <v>P1WB E10610 BA</v>
      </c>
      <c r="D876" s="10" t="s">
        <v>1948</v>
      </c>
      <c r="E876" s="10" t="s">
        <v>1887</v>
      </c>
      <c r="F876" s="9" t="s">
        <v>261</v>
      </c>
      <c r="G876" s="9" t="s">
        <v>924</v>
      </c>
      <c r="H876" s="11">
        <v>51.4285</v>
      </c>
      <c r="I876" s="12">
        <v>934</v>
      </c>
      <c r="J876" s="13">
        <v>0</v>
      </c>
      <c r="K876" s="13">
        <v>1106</v>
      </c>
      <c r="L876" s="13">
        <v>1392</v>
      </c>
      <c r="M876" s="13">
        <v>1008</v>
      </c>
      <c r="N876" s="13">
        <v>1224</v>
      </c>
      <c r="O876" s="13">
        <v>1350</v>
      </c>
      <c r="P876" s="13">
        <v>1362</v>
      </c>
      <c r="Q876" s="13">
        <v>924</v>
      </c>
      <c r="R876" s="13">
        <v>1014</v>
      </c>
      <c r="S876" s="13">
        <v>1494</v>
      </c>
      <c r="T876" s="13">
        <v>1584</v>
      </c>
      <c r="U876" s="13">
        <v>1470</v>
      </c>
      <c r="V876" s="13">
        <v>1302</v>
      </c>
      <c r="W876" s="13">
        <v>2070</v>
      </c>
      <c r="X876" s="13">
        <v>1998</v>
      </c>
      <c r="Y876" s="13">
        <v>1986</v>
      </c>
      <c r="Z876" s="13">
        <v>2472</v>
      </c>
      <c r="AA876" s="13">
        <v>0</v>
      </c>
      <c r="AB876" s="13">
        <v>408</v>
      </c>
      <c r="AC876" s="13">
        <v>2052</v>
      </c>
      <c r="AD876" s="13">
        <v>2064</v>
      </c>
    </row>
    <row r="877" spans="1:30" ht="15.75" thickBot="1" x14ac:dyDescent="0.3">
      <c r="A877" s="9" t="s">
        <v>1643</v>
      </c>
      <c r="B877" s="9" t="s">
        <v>1949</v>
      </c>
      <c r="C877" s="45" t="str">
        <f t="shared" si="13"/>
        <v>MB3B 2610020 AB</v>
      </c>
      <c r="D877" s="10" t="s">
        <v>1950</v>
      </c>
      <c r="E877" s="10" t="s">
        <v>1951</v>
      </c>
      <c r="F877" s="9" t="s">
        <v>261</v>
      </c>
      <c r="G877" s="9" t="s">
        <v>924</v>
      </c>
      <c r="H877" s="11">
        <v>34.999000000000002</v>
      </c>
      <c r="I877" s="12">
        <v>402</v>
      </c>
      <c r="J877" s="13">
        <v>0</v>
      </c>
      <c r="K877" s="13">
        <v>1556</v>
      </c>
      <c r="L877" s="13">
        <v>1391</v>
      </c>
      <c r="M877" s="13">
        <v>1021</v>
      </c>
      <c r="N877" s="13">
        <v>1108</v>
      </c>
      <c r="O877" s="13">
        <v>1518</v>
      </c>
      <c r="P877" s="13">
        <v>1895</v>
      </c>
      <c r="Q877" s="13">
        <v>371</v>
      </c>
      <c r="R877" s="13">
        <v>1043</v>
      </c>
      <c r="S877" s="13">
        <v>1494</v>
      </c>
      <c r="T877" s="13">
        <v>1575</v>
      </c>
      <c r="U877" s="13">
        <v>1485</v>
      </c>
      <c r="V877" s="13">
        <v>1285</v>
      </c>
      <c r="W877" s="13">
        <v>2068</v>
      </c>
      <c r="X877" s="13">
        <v>1998</v>
      </c>
      <c r="Y877" s="13">
        <v>1991</v>
      </c>
      <c r="Z877" s="13">
        <v>2472</v>
      </c>
      <c r="AA877" s="13">
        <v>0</v>
      </c>
      <c r="AB877" s="13">
        <v>412</v>
      </c>
      <c r="AC877" s="13">
        <v>2063</v>
      </c>
      <c r="AD877" s="13">
        <v>2055</v>
      </c>
    </row>
    <row r="878" spans="1:30" ht="15.75" thickBot="1" x14ac:dyDescent="0.3">
      <c r="A878" s="9" t="s">
        <v>1643</v>
      </c>
      <c r="B878" s="9" t="s">
        <v>1949</v>
      </c>
      <c r="C878" s="45" t="str">
        <f t="shared" si="13"/>
        <v>MB3B 2610020 AC</v>
      </c>
      <c r="D878" s="10" t="s">
        <v>1952</v>
      </c>
      <c r="E878" s="10" t="s">
        <v>1951</v>
      </c>
      <c r="F878" s="9" t="s">
        <v>261</v>
      </c>
      <c r="G878" s="9" t="s">
        <v>924</v>
      </c>
      <c r="H878" s="11">
        <v>34.999000000000002</v>
      </c>
      <c r="I878" s="8"/>
      <c r="J878" s="13">
        <v>0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0</v>
      </c>
      <c r="R878" s="13">
        <v>0</v>
      </c>
      <c r="S878" s="13">
        <v>22</v>
      </c>
      <c r="T878" s="13">
        <v>88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</row>
    <row r="879" spans="1:30" ht="15.75" thickBot="1" x14ac:dyDescent="0.3">
      <c r="A879" s="9" t="s">
        <v>1643</v>
      </c>
      <c r="B879" s="9" t="s">
        <v>1953</v>
      </c>
      <c r="C879" s="45" t="str">
        <f t="shared" si="13"/>
        <v>MB3B 58111K48 CB</v>
      </c>
      <c r="D879" s="10" t="s">
        <v>1954</v>
      </c>
      <c r="E879" s="10" t="s">
        <v>1955</v>
      </c>
      <c r="F879" s="9" t="s">
        <v>364</v>
      </c>
      <c r="G879" s="9" t="s">
        <v>924</v>
      </c>
      <c r="H879" s="12">
        <v>60</v>
      </c>
      <c r="I879" s="12">
        <v>2929</v>
      </c>
      <c r="J879" s="13">
        <v>0</v>
      </c>
      <c r="K879" s="13">
        <v>3749</v>
      </c>
      <c r="L879" s="13">
        <v>5343</v>
      </c>
      <c r="M879" s="13">
        <v>3662</v>
      </c>
      <c r="N879" s="13">
        <v>4049</v>
      </c>
      <c r="O879" s="13">
        <v>4939</v>
      </c>
      <c r="P879" s="13">
        <v>5225</v>
      </c>
      <c r="Q879" s="13">
        <v>3881</v>
      </c>
      <c r="R879" s="13">
        <v>3998</v>
      </c>
      <c r="S879" s="13">
        <v>5578</v>
      </c>
      <c r="T879" s="13">
        <v>5720</v>
      </c>
      <c r="U879" s="13">
        <v>5275</v>
      </c>
      <c r="V879" s="13">
        <v>3831</v>
      </c>
      <c r="W879" s="13">
        <v>5720</v>
      </c>
      <c r="X879" s="13">
        <v>5553</v>
      </c>
      <c r="Y879" s="13">
        <v>5493</v>
      </c>
      <c r="Z879" s="13">
        <v>6788</v>
      </c>
      <c r="AA879" s="13">
        <v>0</v>
      </c>
      <c r="AB879" s="13">
        <v>1126</v>
      </c>
      <c r="AC879" s="13">
        <v>5653</v>
      </c>
      <c r="AD879" s="13">
        <v>5653</v>
      </c>
    </row>
    <row r="880" spans="1:30" ht="15.75" thickBot="1" x14ac:dyDescent="0.3">
      <c r="A880" s="9" t="s">
        <v>1643</v>
      </c>
      <c r="B880" s="9" t="s">
        <v>1956</v>
      </c>
      <c r="C880" s="45" t="str">
        <f t="shared" si="13"/>
        <v>P1WB E280A55 BB</v>
      </c>
      <c r="D880" s="10" t="s">
        <v>1957</v>
      </c>
      <c r="E880" s="10" t="s">
        <v>1958</v>
      </c>
      <c r="F880" s="9" t="s">
        <v>261</v>
      </c>
      <c r="G880" s="9" t="s">
        <v>924</v>
      </c>
      <c r="H880" s="11">
        <v>34.285699999999999</v>
      </c>
      <c r="I880" s="12">
        <v>413</v>
      </c>
      <c r="J880" s="13">
        <v>0</v>
      </c>
      <c r="K880" s="13">
        <v>1287</v>
      </c>
      <c r="L880" s="13">
        <v>2360</v>
      </c>
      <c r="M880" s="13">
        <v>1050</v>
      </c>
      <c r="N880" s="13">
        <v>1210</v>
      </c>
      <c r="O880" s="13">
        <v>1340</v>
      </c>
      <c r="P880" s="13">
        <v>980</v>
      </c>
      <c r="Q880" s="13">
        <v>1160</v>
      </c>
      <c r="R880" s="13">
        <v>1520</v>
      </c>
      <c r="S880" s="13">
        <v>1680</v>
      </c>
      <c r="T880" s="13">
        <v>1450</v>
      </c>
      <c r="U880" s="13">
        <v>1340</v>
      </c>
      <c r="V880" s="13">
        <v>2220</v>
      </c>
      <c r="W880" s="13">
        <v>2050</v>
      </c>
      <c r="X880" s="13">
        <v>2040</v>
      </c>
      <c r="Y880" s="13">
        <v>1720</v>
      </c>
      <c r="Z880" s="13">
        <v>0</v>
      </c>
      <c r="AA880" s="13">
        <v>920</v>
      </c>
      <c r="AB880" s="13">
        <v>2070</v>
      </c>
      <c r="AC880" s="13">
        <v>2020</v>
      </c>
      <c r="AD880" s="13">
        <v>1980</v>
      </c>
    </row>
    <row r="881" spans="1:30" ht="15.75" thickBot="1" x14ac:dyDescent="0.3">
      <c r="A881" s="9" t="s">
        <v>1643</v>
      </c>
      <c r="B881" s="9" t="s">
        <v>1959</v>
      </c>
      <c r="C881" s="45" t="str">
        <f t="shared" si="13"/>
        <v>P1WB E280A54 BB</v>
      </c>
      <c r="D881" s="10" t="s">
        <v>1960</v>
      </c>
      <c r="E881" s="10" t="s">
        <v>1961</v>
      </c>
      <c r="F881" s="9" t="s">
        <v>261</v>
      </c>
      <c r="G881" s="9" t="s">
        <v>924</v>
      </c>
      <c r="H881" s="11">
        <v>34.285699999999999</v>
      </c>
      <c r="I881" s="12">
        <v>335</v>
      </c>
      <c r="J881" s="13">
        <v>0</v>
      </c>
      <c r="K881" s="13">
        <v>1455</v>
      </c>
      <c r="L881" s="13">
        <v>2330</v>
      </c>
      <c r="M881" s="13">
        <v>1000</v>
      </c>
      <c r="N881" s="13">
        <v>1200</v>
      </c>
      <c r="O881" s="13">
        <v>1330</v>
      </c>
      <c r="P881" s="13">
        <v>980</v>
      </c>
      <c r="Q881" s="13">
        <v>1170</v>
      </c>
      <c r="R881" s="13">
        <v>1520</v>
      </c>
      <c r="S881" s="13">
        <v>1670</v>
      </c>
      <c r="T881" s="13">
        <v>1450</v>
      </c>
      <c r="U881" s="13">
        <v>1340</v>
      </c>
      <c r="V881" s="13">
        <v>2220</v>
      </c>
      <c r="W881" s="13">
        <v>2050</v>
      </c>
      <c r="X881" s="13">
        <v>2030</v>
      </c>
      <c r="Y881" s="13">
        <v>1720</v>
      </c>
      <c r="Z881" s="13">
        <v>0</v>
      </c>
      <c r="AA881" s="13">
        <v>920</v>
      </c>
      <c r="AB881" s="13">
        <v>2070</v>
      </c>
      <c r="AC881" s="13">
        <v>2020</v>
      </c>
      <c r="AD881" s="13">
        <v>1980</v>
      </c>
    </row>
    <row r="882" spans="1:30" ht="15.75" thickBot="1" x14ac:dyDescent="0.3">
      <c r="A882" s="9" t="s">
        <v>1643</v>
      </c>
      <c r="B882" s="9" t="s">
        <v>1962</v>
      </c>
      <c r="C882" s="45" t="str">
        <f t="shared" si="13"/>
        <v>ASYW20506W15</v>
      </c>
      <c r="D882" s="10" t="s">
        <v>1963</v>
      </c>
      <c r="E882" s="10" t="s">
        <v>1912</v>
      </c>
      <c r="F882" s="9" t="s">
        <v>494</v>
      </c>
      <c r="G882" s="9" t="s">
        <v>924</v>
      </c>
      <c r="H882" s="11">
        <v>34.999000000000002</v>
      </c>
      <c r="I882" s="12">
        <v>363</v>
      </c>
      <c r="J882" s="13">
        <v>287</v>
      </c>
      <c r="K882" s="13">
        <v>1529</v>
      </c>
      <c r="L882" s="13">
        <v>991</v>
      </c>
      <c r="M882" s="13">
        <v>1277</v>
      </c>
      <c r="N882" s="13">
        <v>1378</v>
      </c>
      <c r="O882" s="13">
        <v>1386</v>
      </c>
      <c r="P882" s="13">
        <v>890</v>
      </c>
      <c r="Q882" s="13">
        <v>1033</v>
      </c>
      <c r="R882" s="13">
        <v>1496</v>
      </c>
      <c r="S882" s="13">
        <v>1587</v>
      </c>
      <c r="T882" s="13">
        <v>1462</v>
      </c>
      <c r="U882" s="13">
        <v>1285</v>
      </c>
      <c r="V882" s="13">
        <v>2066</v>
      </c>
      <c r="W882" s="13">
        <v>2025</v>
      </c>
      <c r="X882" s="13">
        <v>1991</v>
      </c>
      <c r="Y882" s="13">
        <v>2452</v>
      </c>
      <c r="Z882" s="13">
        <v>0</v>
      </c>
      <c r="AA882" s="13">
        <v>412</v>
      </c>
      <c r="AB882" s="13">
        <v>2066</v>
      </c>
      <c r="AC882" s="13">
        <v>2067</v>
      </c>
      <c r="AD882" s="13">
        <v>1957</v>
      </c>
    </row>
    <row r="883" spans="1:30" ht="15.75" thickBot="1" x14ac:dyDescent="0.3">
      <c r="A883" s="9" t="s">
        <v>1643</v>
      </c>
      <c r="B883" s="9" t="s">
        <v>1964</v>
      </c>
      <c r="C883" s="45" t="str">
        <f t="shared" si="13"/>
        <v>N1WB E00170 DB</v>
      </c>
      <c r="D883" s="10" t="s">
        <v>1965</v>
      </c>
      <c r="E883" s="10" t="s">
        <v>1966</v>
      </c>
      <c r="F883" s="9" t="s">
        <v>261</v>
      </c>
      <c r="G883" s="9" t="s">
        <v>924</v>
      </c>
      <c r="H883" s="12">
        <v>100</v>
      </c>
      <c r="I883" s="12">
        <v>836</v>
      </c>
      <c r="J883" s="13">
        <v>0</v>
      </c>
      <c r="K883" s="13">
        <v>685</v>
      </c>
      <c r="L883" s="13">
        <v>1334</v>
      </c>
      <c r="M883" s="13">
        <v>889</v>
      </c>
      <c r="N883" s="13">
        <v>1170</v>
      </c>
      <c r="O883" s="13">
        <v>1428</v>
      </c>
      <c r="P883" s="13">
        <v>1965</v>
      </c>
      <c r="Q883" s="13">
        <v>188</v>
      </c>
      <c r="R883" s="13">
        <v>1053</v>
      </c>
      <c r="S883" s="13">
        <v>1521</v>
      </c>
      <c r="T883" s="13">
        <v>1544</v>
      </c>
      <c r="U883" s="13">
        <v>1521</v>
      </c>
      <c r="V883" s="13">
        <v>1264</v>
      </c>
      <c r="W883" s="13">
        <v>2082</v>
      </c>
      <c r="X883" s="13">
        <v>1942</v>
      </c>
      <c r="Y883" s="13">
        <v>2036</v>
      </c>
      <c r="Z883" s="13">
        <v>2527</v>
      </c>
      <c r="AA883" s="13">
        <v>0</v>
      </c>
      <c r="AB883" s="13">
        <v>398</v>
      </c>
      <c r="AC883" s="13">
        <v>2013</v>
      </c>
      <c r="AD883" s="13">
        <v>2059</v>
      </c>
    </row>
    <row r="884" spans="1:30" ht="15.75" thickBot="1" x14ac:dyDescent="0.3">
      <c r="A884" s="9" t="s">
        <v>1643</v>
      </c>
      <c r="B884" s="9" t="s">
        <v>1964</v>
      </c>
      <c r="C884" s="45" t="str">
        <f t="shared" si="13"/>
        <v>N1WB E50230 AA</v>
      </c>
      <c r="D884" s="10" t="s">
        <v>1967</v>
      </c>
      <c r="E884" s="10" t="s">
        <v>1299</v>
      </c>
      <c r="F884" s="9" t="s">
        <v>261</v>
      </c>
      <c r="G884" s="9" t="s">
        <v>924</v>
      </c>
      <c r="H884" s="11">
        <v>37.8947</v>
      </c>
      <c r="I884" s="12">
        <v>231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129</v>
      </c>
      <c r="S884" s="13">
        <v>240</v>
      </c>
      <c r="T884" s="13">
        <v>240</v>
      </c>
      <c r="U884" s="13">
        <v>120</v>
      </c>
      <c r="V884" s="13">
        <v>300</v>
      </c>
      <c r="W884" s="13">
        <v>300</v>
      </c>
      <c r="X884" s="13">
        <v>300</v>
      </c>
      <c r="Y884" s="13">
        <v>360</v>
      </c>
      <c r="Z884" s="13">
        <v>0</v>
      </c>
      <c r="AA884" s="13">
        <v>60</v>
      </c>
      <c r="AB884" s="13">
        <v>300</v>
      </c>
      <c r="AC884" s="13">
        <v>300</v>
      </c>
      <c r="AD884" s="13">
        <v>300</v>
      </c>
    </row>
    <row r="885" spans="1:30" ht="15.75" thickBot="1" x14ac:dyDescent="0.3">
      <c r="A885" s="9" t="s">
        <v>1643</v>
      </c>
      <c r="B885" s="9" t="s">
        <v>1964</v>
      </c>
      <c r="C885" s="45" t="str">
        <f t="shared" si="13"/>
        <v>N1WB E51104 AA</v>
      </c>
      <c r="D885" s="10" t="s">
        <v>1968</v>
      </c>
      <c r="E885" s="10" t="s">
        <v>1969</v>
      </c>
      <c r="F885" s="9" t="s">
        <v>261</v>
      </c>
      <c r="G885" s="9" t="s">
        <v>924</v>
      </c>
      <c r="H885" s="11">
        <v>112.5</v>
      </c>
      <c r="I885" s="12">
        <v>1681</v>
      </c>
      <c r="J885" s="13">
        <v>0</v>
      </c>
      <c r="K885" s="13">
        <v>119</v>
      </c>
      <c r="L885" s="13">
        <v>1240</v>
      </c>
      <c r="M885" s="13">
        <v>1240</v>
      </c>
      <c r="N885" s="13">
        <v>1400</v>
      </c>
      <c r="O885" s="13">
        <v>1320</v>
      </c>
      <c r="P885" s="13">
        <v>1000</v>
      </c>
      <c r="Q885" s="13">
        <v>1000</v>
      </c>
      <c r="R885" s="13">
        <v>1080</v>
      </c>
      <c r="S885" s="13">
        <v>1440</v>
      </c>
      <c r="T885" s="13">
        <v>1600</v>
      </c>
      <c r="U885" s="13">
        <v>1480</v>
      </c>
      <c r="V885" s="13">
        <v>1240</v>
      </c>
      <c r="W885" s="13">
        <v>2160</v>
      </c>
      <c r="X885" s="13">
        <v>1960</v>
      </c>
      <c r="Y885" s="13">
        <v>2040</v>
      </c>
      <c r="Z885" s="13">
        <v>2400</v>
      </c>
      <c r="AA885" s="13">
        <v>0</v>
      </c>
      <c r="AB885" s="13">
        <v>400</v>
      </c>
      <c r="AC885" s="13">
        <v>2040</v>
      </c>
      <c r="AD885" s="13">
        <v>2160</v>
      </c>
    </row>
    <row r="886" spans="1:30" ht="15.75" thickBot="1" x14ac:dyDescent="0.3">
      <c r="A886" s="9" t="s">
        <v>1643</v>
      </c>
      <c r="B886" s="9" t="s">
        <v>1964</v>
      </c>
      <c r="C886" s="45" t="str">
        <f t="shared" si="13"/>
        <v>N1WB E51105 AA</v>
      </c>
      <c r="D886" s="10" t="s">
        <v>1970</v>
      </c>
      <c r="E886" s="10" t="s">
        <v>1969</v>
      </c>
      <c r="F886" s="9" t="s">
        <v>261</v>
      </c>
      <c r="G886" s="9" t="s">
        <v>924</v>
      </c>
      <c r="H886" s="11">
        <v>112.5</v>
      </c>
      <c r="I886" s="12">
        <v>1757</v>
      </c>
      <c r="J886" s="13">
        <v>0</v>
      </c>
      <c r="K886" s="13">
        <v>0</v>
      </c>
      <c r="L886" s="13">
        <v>843</v>
      </c>
      <c r="M886" s="13">
        <v>1040</v>
      </c>
      <c r="N886" s="13">
        <v>1200</v>
      </c>
      <c r="O886" s="13">
        <v>1480</v>
      </c>
      <c r="P886" s="13">
        <v>2080</v>
      </c>
      <c r="Q886" s="13">
        <v>200</v>
      </c>
      <c r="R886" s="13">
        <v>1080</v>
      </c>
      <c r="S886" s="13">
        <v>1440</v>
      </c>
      <c r="T886" s="13">
        <v>1600</v>
      </c>
      <c r="U886" s="13">
        <v>1480</v>
      </c>
      <c r="V886" s="13">
        <v>1240</v>
      </c>
      <c r="W886" s="13">
        <v>2160</v>
      </c>
      <c r="X886" s="13">
        <v>1960</v>
      </c>
      <c r="Y886" s="13">
        <v>2040</v>
      </c>
      <c r="Z886" s="13">
        <v>2400</v>
      </c>
      <c r="AA886" s="13">
        <v>0</v>
      </c>
      <c r="AB886" s="13">
        <v>400</v>
      </c>
      <c r="AC886" s="13">
        <v>2040</v>
      </c>
      <c r="AD886" s="13">
        <v>2120</v>
      </c>
    </row>
    <row r="887" spans="1:30" ht="15.75" thickBot="1" x14ac:dyDescent="0.3">
      <c r="A887" s="9" t="s">
        <v>1643</v>
      </c>
      <c r="B887" s="9" t="s">
        <v>1971</v>
      </c>
      <c r="C887" s="45" t="str">
        <f t="shared" si="13"/>
        <v>KB3B 16E214 AC</v>
      </c>
      <c r="D887" s="10" t="s">
        <v>1972</v>
      </c>
      <c r="E887" s="10" t="s">
        <v>1973</v>
      </c>
      <c r="F887" s="9" t="s">
        <v>494</v>
      </c>
      <c r="G887" s="9" t="s">
        <v>924</v>
      </c>
      <c r="H887" s="12">
        <v>60</v>
      </c>
      <c r="I887" s="8"/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7</v>
      </c>
      <c r="AA887" s="13">
        <v>0</v>
      </c>
      <c r="AB887" s="13">
        <v>0</v>
      </c>
      <c r="AC887" s="13">
        <v>0</v>
      </c>
      <c r="AD887" s="13">
        <v>0</v>
      </c>
    </row>
    <row r="888" spans="1:30" ht="15.75" thickBot="1" x14ac:dyDescent="0.3">
      <c r="A888" s="9" t="s">
        <v>1643</v>
      </c>
      <c r="B888" s="9" t="s">
        <v>1974</v>
      </c>
      <c r="C888" s="45" t="str">
        <f t="shared" si="13"/>
        <v>PC PP801 AC</v>
      </c>
      <c r="D888" s="10" t="s">
        <v>1975</v>
      </c>
      <c r="E888" s="10" t="s">
        <v>1976</v>
      </c>
      <c r="F888" s="9" t="s">
        <v>1164</v>
      </c>
      <c r="G888" s="9" t="s">
        <v>924</v>
      </c>
      <c r="H888" s="11">
        <v>47.368400000000001</v>
      </c>
      <c r="I888" s="12">
        <v>216</v>
      </c>
      <c r="J888" s="13">
        <v>0</v>
      </c>
      <c r="K888" s="13">
        <v>1188</v>
      </c>
      <c r="L888" s="13">
        <v>216</v>
      </c>
      <c r="M888" s="13">
        <v>972</v>
      </c>
      <c r="N888" s="13">
        <v>972</v>
      </c>
      <c r="O888" s="13">
        <v>972</v>
      </c>
      <c r="P888" s="13">
        <v>756</v>
      </c>
      <c r="Q888" s="13">
        <v>756</v>
      </c>
      <c r="R888" s="13">
        <v>864</v>
      </c>
      <c r="S888" s="13">
        <v>864</v>
      </c>
      <c r="T888" s="13">
        <v>972</v>
      </c>
      <c r="U888" s="13">
        <v>1080</v>
      </c>
      <c r="V888" s="13">
        <v>864</v>
      </c>
      <c r="W888" s="13">
        <v>756</v>
      </c>
      <c r="X888" s="13">
        <v>648</v>
      </c>
      <c r="Y888" s="13">
        <v>648</v>
      </c>
      <c r="Z888" s="13">
        <v>108</v>
      </c>
      <c r="AA888" s="13">
        <v>1296</v>
      </c>
      <c r="AB888" s="13">
        <v>1728</v>
      </c>
      <c r="AC888" s="13">
        <v>1620</v>
      </c>
      <c r="AD888" s="13">
        <v>1512</v>
      </c>
    </row>
    <row r="889" spans="1:30" ht="15.75" thickBot="1" x14ac:dyDescent="0.3">
      <c r="A889" s="9" t="s">
        <v>1643</v>
      </c>
      <c r="B889" s="9" t="s">
        <v>1977</v>
      </c>
      <c r="C889" s="45" t="str">
        <f t="shared" si="13"/>
        <v>PC PP800 AC</v>
      </c>
      <c r="D889" s="10" t="s">
        <v>1978</v>
      </c>
      <c r="E889" s="10" t="s">
        <v>1979</v>
      </c>
      <c r="F889" s="9" t="s">
        <v>1164</v>
      </c>
      <c r="G889" s="9" t="s">
        <v>924</v>
      </c>
      <c r="H889" s="11">
        <v>47.368400000000001</v>
      </c>
      <c r="I889" s="12">
        <v>563</v>
      </c>
      <c r="J889" s="13">
        <v>0</v>
      </c>
      <c r="K889" s="13">
        <v>841</v>
      </c>
      <c r="L889" s="13">
        <v>216</v>
      </c>
      <c r="M889" s="13">
        <v>864</v>
      </c>
      <c r="N889" s="13">
        <v>972</v>
      </c>
      <c r="O889" s="13">
        <v>972</v>
      </c>
      <c r="P889" s="13">
        <v>756</v>
      </c>
      <c r="Q889" s="13">
        <v>864</v>
      </c>
      <c r="R889" s="13">
        <v>756</v>
      </c>
      <c r="S889" s="13">
        <v>864</v>
      </c>
      <c r="T889" s="13">
        <v>972</v>
      </c>
      <c r="U889" s="13">
        <v>1080</v>
      </c>
      <c r="V889" s="13">
        <v>864</v>
      </c>
      <c r="W889" s="13">
        <v>756</v>
      </c>
      <c r="X889" s="13">
        <v>648</v>
      </c>
      <c r="Y889" s="13">
        <v>648</v>
      </c>
      <c r="Z889" s="13">
        <v>108</v>
      </c>
      <c r="AA889" s="13">
        <v>1296</v>
      </c>
      <c r="AB889" s="13">
        <v>1728</v>
      </c>
      <c r="AC889" s="13">
        <v>1728</v>
      </c>
      <c r="AD889" s="13">
        <v>1404</v>
      </c>
    </row>
    <row r="890" spans="1:30" ht="15.75" thickBot="1" x14ac:dyDescent="0.3">
      <c r="A890" s="9" t="s">
        <v>1643</v>
      </c>
      <c r="B890" s="9" t="s">
        <v>1980</v>
      </c>
      <c r="C890" s="45" t="str">
        <f t="shared" si="13"/>
        <v>N1WB E28253 AD</v>
      </c>
      <c r="D890" s="10" t="s">
        <v>1981</v>
      </c>
      <c r="E890" s="10" t="s">
        <v>1982</v>
      </c>
      <c r="F890" s="9" t="s">
        <v>261</v>
      </c>
      <c r="G890" s="9" t="s">
        <v>924</v>
      </c>
      <c r="H890" s="12">
        <v>30</v>
      </c>
      <c r="I890" s="12">
        <v>604</v>
      </c>
      <c r="J890" s="13">
        <v>0</v>
      </c>
      <c r="K890" s="13">
        <v>1256</v>
      </c>
      <c r="L890" s="13">
        <v>1380</v>
      </c>
      <c r="M890" s="13">
        <v>952</v>
      </c>
      <c r="N890" s="13">
        <v>1192</v>
      </c>
      <c r="O890" s="13">
        <v>1488</v>
      </c>
      <c r="P890" s="13">
        <v>1796</v>
      </c>
      <c r="Q890" s="13">
        <v>448</v>
      </c>
      <c r="R890" s="13">
        <v>1004</v>
      </c>
      <c r="S890" s="13">
        <v>1512</v>
      </c>
      <c r="T890" s="13">
        <v>1568</v>
      </c>
      <c r="U890" s="13">
        <v>1496</v>
      </c>
      <c r="V890" s="13">
        <v>1276</v>
      </c>
      <c r="W890" s="13">
        <v>2064</v>
      </c>
      <c r="X890" s="13">
        <v>2008</v>
      </c>
      <c r="Y890" s="13">
        <v>1992</v>
      </c>
      <c r="Z890" s="13">
        <v>2464</v>
      </c>
      <c r="AA890" s="13">
        <v>0</v>
      </c>
      <c r="AB890" s="13">
        <v>412</v>
      </c>
      <c r="AC890" s="13">
        <v>2068</v>
      </c>
      <c r="AD890" s="13">
        <v>2064</v>
      </c>
    </row>
    <row r="891" spans="1:30" ht="15.75" thickBot="1" x14ac:dyDescent="0.3">
      <c r="A891" s="9" t="s">
        <v>1643</v>
      </c>
      <c r="B891" s="9" t="s">
        <v>1980</v>
      </c>
      <c r="C891" s="45" t="str">
        <f t="shared" si="13"/>
        <v>T1WB E28253 AB</v>
      </c>
      <c r="D891" s="10" t="s">
        <v>1983</v>
      </c>
      <c r="E891" s="10" t="s">
        <v>1982</v>
      </c>
      <c r="F891" s="9" t="s">
        <v>261</v>
      </c>
      <c r="G891" s="9" t="s">
        <v>924</v>
      </c>
      <c r="H891" s="12">
        <v>30</v>
      </c>
      <c r="I891" s="8"/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22</v>
      </c>
      <c r="T891" s="13">
        <v>88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</row>
    <row r="892" spans="1:30" ht="15.75" thickBot="1" x14ac:dyDescent="0.3">
      <c r="A892" s="9" t="s">
        <v>1643</v>
      </c>
      <c r="B892" s="9" t="s">
        <v>1984</v>
      </c>
      <c r="C892" s="45" t="str">
        <f t="shared" si="13"/>
        <v>N1WB E28252 AD</v>
      </c>
      <c r="D892" s="10" t="s">
        <v>1985</v>
      </c>
      <c r="E892" s="10" t="s">
        <v>1982</v>
      </c>
      <c r="F892" s="9" t="s">
        <v>261</v>
      </c>
      <c r="G892" s="9" t="s">
        <v>924</v>
      </c>
      <c r="H892" s="12">
        <v>30</v>
      </c>
      <c r="I892" s="12">
        <v>540</v>
      </c>
      <c r="J892" s="13">
        <v>0</v>
      </c>
      <c r="K892" s="13">
        <v>1500</v>
      </c>
      <c r="L892" s="13">
        <v>1352</v>
      </c>
      <c r="M892" s="13">
        <v>988</v>
      </c>
      <c r="N892" s="13">
        <v>1144</v>
      </c>
      <c r="O892" s="13">
        <v>1364</v>
      </c>
      <c r="P892" s="13">
        <v>1432</v>
      </c>
      <c r="Q892" s="13">
        <v>988</v>
      </c>
      <c r="R892" s="13">
        <v>1048</v>
      </c>
      <c r="S892" s="13">
        <v>1500</v>
      </c>
      <c r="T892" s="13">
        <v>1580</v>
      </c>
      <c r="U892" s="13">
        <v>1484</v>
      </c>
      <c r="V892" s="13">
        <v>1292</v>
      </c>
      <c r="W892" s="13">
        <v>2064</v>
      </c>
      <c r="X892" s="13">
        <v>2004</v>
      </c>
      <c r="Y892" s="13">
        <v>1980</v>
      </c>
      <c r="Z892" s="13">
        <v>2480</v>
      </c>
      <c r="AA892" s="13">
        <v>0</v>
      </c>
      <c r="AB892" s="13">
        <v>408</v>
      </c>
      <c r="AC892" s="13">
        <v>2056</v>
      </c>
      <c r="AD892" s="13">
        <v>2076</v>
      </c>
    </row>
    <row r="893" spans="1:30" ht="15.75" thickBot="1" x14ac:dyDescent="0.3">
      <c r="A893" s="9" t="s">
        <v>1643</v>
      </c>
      <c r="B893" s="9" t="s">
        <v>1984</v>
      </c>
      <c r="C893" s="45" t="str">
        <f t="shared" si="13"/>
        <v>T1WB E28252 AB</v>
      </c>
      <c r="D893" s="10" t="s">
        <v>1986</v>
      </c>
      <c r="E893" s="10" t="s">
        <v>1982</v>
      </c>
      <c r="F893" s="9" t="s">
        <v>261</v>
      </c>
      <c r="G893" s="9" t="s">
        <v>924</v>
      </c>
      <c r="H893" s="12">
        <v>30</v>
      </c>
      <c r="I893" s="8"/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22</v>
      </c>
      <c r="T893" s="13">
        <v>88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</row>
  </sheetData>
  <mergeCells count="3">
    <mergeCell ref="A1:AD1"/>
    <mergeCell ref="A2:AD2"/>
    <mergeCell ref="A3:A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2719-E278-44C3-9E3B-353A6DF27BE3}">
  <dimension ref="A1:X2306"/>
  <sheetViews>
    <sheetView topLeftCell="A2071" workbookViewId="0">
      <selection activeCell="B2084" sqref="B2084"/>
    </sheetView>
  </sheetViews>
  <sheetFormatPr defaultRowHeight="15" x14ac:dyDescent="0.25"/>
  <cols>
    <col min="1" max="1" width="22.85546875" bestFit="1" customWidth="1"/>
    <col min="2" max="2" width="20.140625" bestFit="1" customWidth="1"/>
    <col min="3" max="3" width="28.7109375" bestFit="1" customWidth="1"/>
    <col min="4" max="4" width="29.7109375" bestFit="1" customWidth="1"/>
    <col min="5" max="5" width="28.42578125" bestFit="1" customWidth="1"/>
    <col min="6" max="6" width="30.5703125" bestFit="1" customWidth="1"/>
    <col min="7" max="7" width="7.5703125" bestFit="1" customWidth="1"/>
    <col min="8" max="8" width="13.42578125" bestFit="1" customWidth="1"/>
    <col min="9" max="9" width="28.5703125" bestFit="1" customWidth="1"/>
    <col min="10" max="11" width="12.5703125" bestFit="1" customWidth="1"/>
    <col min="12" max="12" width="12" bestFit="1" customWidth="1"/>
    <col min="13" max="13" width="13.28515625" bestFit="1" customWidth="1"/>
    <col min="14" max="14" width="7.5703125" bestFit="1" customWidth="1"/>
    <col min="15" max="15" width="8.28515625" bestFit="1" customWidth="1"/>
    <col min="16" max="16" width="9.85546875" bestFit="1" customWidth="1"/>
    <col min="17" max="17" width="4.140625" bestFit="1" customWidth="1"/>
    <col min="18" max="18" width="11" bestFit="1" customWidth="1"/>
    <col min="19" max="19" width="12.85546875" bestFit="1" customWidth="1"/>
    <col min="20" max="20" width="16.5703125" bestFit="1" customWidth="1"/>
    <col min="21" max="21" width="12.85546875" bestFit="1" customWidth="1"/>
    <col min="22" max="22" width="17.85546875" bestFit="1" customWidth="1"/>
    <col min="23" max="23" width="23.140625" bestFit="1" customWidth="1"/>
    <col min="24" max="24" width="20.42578125" bestFit="1" customWidth="1"/>
  </cols>
  <sheetData>
    <row r="1" spans="1:24" ht="18" x14ac:dyDescent="0.25">
      <c r="B1" s="17" t="s">
        <v>1987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ht="15.75" thickBot="1" x14ac:dyDescent="0.3">
      <c r="B2" s="42" t="s">
        <v>1988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1:24" ht="15.75" thickBot="1" x14ac:dyDescent="0.3">
      <c r="A3" s="44" t="s">
        <v>250</v>
      </c>
      <c r="B3" s="18" t="s">
        <v>250</v>
      </c>
      <c r="C3" s="18" t="s">
        <v>1989</v>
      </c>
      <c r="D3" s="18" t="s">
        <v>251</v>
      </c>
      <c r="E3" s="18" t="s">
        <v>1990</v>
      </c>
      <c r="F3" s="18" t="s">
        <v>1991</v>
      </c>
      <c r="G3" s="18" t="s">
        <v>1992</v>
      </c>
      <c r="H3" s="18" t="s">
        <v>1993</v>
      </c>
      <c r="I3" s="18" t="s">
        <v>1994</v>
      </c>
      <c r="J3" s="18" t="s">
        <v>1995</v>
      </c>
      <c r="K3" s="18" t="s">
        <v>1996</v>
      </c>
      <c r="L3" s="18" t="s">
        <v>1997</v>
      </c>
      <c r="M3" s="18" t="s">
        <v>1998</v>
      </c>
      <c r="N3" s="18" t="s">
        <v>1999</v>
      </c>
      <c r="O3" s="18" t="s">
        <v>2000</v>
      </c>
      <c r="P3" s="18" t="s">
        <v>255</v>
      </c>
      <c r="Q3" s="18" t="s">
        <v>2001</v>
      </c>
      <c r="R3" s="18" t="s">
        <v>2002</v>
      </c>
      <c r="S3" s="18" t="s">
        <v>2003</v>
      </c>
      <c r="T3" s="18" t="s">
        <v>2004</v>
      </c>
      <c r="U3" s="18" t="s">
        <v>2005</v>
      </c>
      <c r="V3" s="18" t="s">
        <v>2006</v>
      </c>
      <c r="W3" s="18" t="s">
        <v>2007</v>
      </c>
      <c r="X3" s="18" t="s">
        <v>2008</v>
      </c>
    </row>
    <row r="4" spans="1:24" ht="15.75" thickBot="1" x14ac:dyDescent="0.3">
      <c r="A4" t="str">
        <f>TRIM(B4)</f>
        <v>68566341AB</v>
      </c>
      <c r="B4" s="20" t="s">
        <v>396</v>
      </c>
      <c r="C4" s="20" t="s">
        <v>2009</v>
      </c>
      <c r="D4" s="20" t="s">
        <v>2010</v>
      </c>
      <c r="E4" s="19"/>
      <c r="F4" s="20" t="s">
        <v>2011</v>
      </c>
      <c r="G4" s="23" t="s">
        <v>2012</v>
      </c>
      <c r="H4" s="20" t="s">
        <v>2013</v>
      </c>
      <c r="I4" s="19"/>
      <c r="J4" s="20" t="s">
        <v>394</v>
      </c>
      <c r="K4" s="20" t="s">
        <v>262</v>
      </c>
      <c r="L4" s="19"/>
      <c r="M4" s="20" t="s">
        <v>2014</v>
      </c>
      <c r="N4" s="23" t="s">
        <v>2015</v>
      </c>
      <c r="O4" s="23" t="s">
        <v>2016</v>
      </c>
      <c r="P4" s="24">
        <v>1779</v>
      </c>
      <c r="Q4" s="23" t="s">
        <v>2017</v>
      </c>
      <c r="R4" s="25">
        <v>1.463956550362</v>
      </c>
      <c r="S4" s="24">
        <v>78120</v>
      </c>
      <c r="T4" s="26">
        <v>1215.2</v>
      </c>
      <c r="U4" s="26">
        <v>0</v>
      </c>
      <c r="V4" s="25">
        <v>1.463956550362</v>
      </c>
      <c r="W4" s="27">
        <v>46088</v>
      </c>
      <c r="X4" s="27">
        <v>46090</v>
      </c>
    </row>
    <row r="5" spans="1:24" ht="15.75" thickBot="1" x14ac:dyDescent="0.3">
      <c r="A5" t="str">
        <f t="shared" ref="A5:A68" si="0">TRIM(B5)</f>
        <v>68618402AA</v>
      </c>
      <c r="B5" s="22" t="s">
        <v>886</v>
      </c>
      <c r="C5" s="22" t="s">
        <v>2018</v>
      </c>
      <c r="D5" s="22" t="s">
        <v>2019</v>
      </c>
      <c r="E5" s="22" t="s">
        <v>2020</v>
      </c>
      <c r="F5" s="22" t="s">
        <v>2021</v>
      </c>
      <c r="G5" s="28" t="s">
        <v>2012</v>
      </c>
      <c r="H5" s="22" t="s">
        <v>2022</v>
      </c>
      <c r="I5" s="21"/>
      <c r="J5" s="22" t="s">
        <v>698</v>
      </c>
      <c r="K5" s="22" t="s">
        <v>262</v>
      </c>
      <c r="L5" s="21"/>
      <c r="M5" s="22" t="s">
        <v>2014</v>
      </c>
      <c r="N5" s="28" t="s">
        <v>2015</v>
      </c>
      <c r="O5" s="28" t="s">
        <v>2016</v>
      </c>
      <c r="P5" s="29">
        <v>150</v>
      </c>
      <c r="Q5" s="28" t="s">
        <v>2017</v>
      </c>
      <c r="R5" s="31">
        <v>1.6233766233760001</v>
      </c>
      <c r="S5" s="29">
        <v>5940</v>
      </c>
      <c r="T5" s="32">
        <v>92.4</v>
      </c>
      <c r="U5" s="32">
        <v>0</v>
      </c>
      <c r="V5" s="31">
        <v>1.6233766233760001</v>
      </c>
      <c r="W5" s="33">
        <v>46088</v>
      </c>
      <c r="X5" s="33">
        <v>46090</v>
      </c>
    </row>
    <row r="6" spans="1:24" ht="15.75" thickBot="1" x14ac:dyDescent="0.3">
      <c r="A6" t="str">
        <f t="shared" si="0"/>
        <v>85824848</v>
      </c>
      <c r="B6" s="22" t="s">
        <v>408</v>
      </c>
      <c r="C6" s="22" t="s">
        <v>2023</v>
      </c>
      <c r="D6" s="22" t="s">
        <v>2024</v>
      </c>
      <c r="E6" s="22" t="s">
        <v>2025</v>
      </c>
      <c r="F6" s="22" t="s">
        <v>2026</v>
      </c>
      <c r="G6" s="28" t="s">
        <v>2012</v>
      </c>
      <c r="H6" s="22" t="s">
        <v>2027</v>
      </c>
      <c r="I6" s="21"/>
      <c r="J6" s="22" t="s">
        <v>404</v>
      </c>
      <c r="K6" s="22" t="s">
        <v>262</v>
      </c>
      <c r="L6" s="21"/>
      <c r="M6" s="22" t="s">
        <v>2014</v>
      </c>
      <c r="N6" s="28" t="s">
        <v>2015</v>
      </c>
      <c r="O6" s="28" t="s">
        <v>2016</v>
      </c>
      <c r="P6" s="29">
        <v>17</v>
      </c>
      <c r="Q6" s="28" t="s">
        <v>2017</v>
      </c>
      <c r="R6" s="31">
        <v>1.3575865128660001</v>
      </c>
      <c r="S6" s="29">
        <v>805</v>
      </c>
      <c r="T6" s="32">
        <v>12.522222222222</v>
      </c>
      <c r="U6" s="32">
        <v>0</v>
      </c>
      <c r="V6" s="31">
        <v>1.3575865128660001</v>
      </c>
      <c r="W6" s="33">
        <v>46088</v>
      </c>
      <c r="X6" s="33">
        <v>46090</v>
      </c>
    </row>
    <row r="7" spans="1:24" ht="15.75" thickBot="1" x14ac:dyDescent="0.3">
      <c r="A7" t="str">
        <f t="shared" si="0"/>
        <v>85861637</v>
      </c>
      <c r="B7" s="22" t="s">
        <v>922</v>
      </c>
      <c r="C7" s="22" t="s">
        <v>2028</v>
      </c>
      <c r="D7" s="22" t="s">
        <v>2029</v>
      </c>
      <c r="E7" s="21"/>
      <c r="F7" s="22" t="s">
        <v>2030</v>
      </c>
      <c r="G7" s="28" t="s">
        <v>2012</v>
      </c>
      <c r="H7" s="22" t="s">
        <v>2013</v>
      </c>
      <c r="I7" s="21"/>
      <c r="J7" s="22" t="s">
        <v>404</v>
      </c>
      <c r="K7" s="22" t="s">
        <v>924</v>
      </c>
      <c r="L7" s="21"/>
      <c r="M7" s="22" t="s">
        <v>2014</v>
      </c>
      <c r="N7" s="28" t="s">
        <v>2015</v>
      </c>
      <c r="O7" s="28" t="s">
        <v>2016</v>
      </c>
      <c r="P7" s="29">
        <v>360</v>
      </c>
      <c r="Q7" s="28" t="s">
        <v>2017</v>
      </c>
      <c r="R7" s="31">
        <v>3.2142857142849999</v>
      </c>
      <c r="S7" s="29">
        <v>7200</v>
      </c>
      <c r="T7" s="32">
        <v>112</v>
      </c>
      <c r="U7" s="32">
        <v>0</v>
      </c>
      <c r="V7" s="31">
        <v>3.2142857142849999</v>
      </c>
      <c r="W7" s="33">
        <v>46090</v>
      </c>
      <c r="X7" s="33">
        <v>46090</v>
      </c>
    </row>
    <row r="8" spans="1:24" ht="15.75" thickBot="1" x14ac:dyDescent="0.3">
      <c r="A8" t="str">
        <f t="shared" si="0"/>
        <v>ASYCS14A18OS</v>
      </c>
      <c r="B8" s="22" t="s">
        <v>1655</v>
      </c>
      <c r="C8" s="22" t="s">
        <v>2031</v>
      </c>
      <c r="D8" s="22" t="s">
        <v>2032</v>
      </c>
      <c r="E8" s="21"/>
      <c r="F8" s="22" t="s">
        <v>2033</v>
      </c>
      <c r="G8" s="28" t="s">
        <v>2012</v>
      </c>
      <c r="H8" s="22" t="s">
        <v>2013</v>
      </c>
      <c r="I8" s="21"/>
      <c r="J8" s="22" t="s">
        <v>364</v>
      </c>
      <c r="K8" s="22" t="s">
        <v>924</v>
      </c>
      <c r="L8" s="21"/>
      <c r="M8" s="22" t="s">
        <v>2034</v>
      </c>
      <c r="N8" s="28" t="s">
        <v>2015</v>
      </c>
      <c r="O8" s="28" t="s">
        <v>2016</v>
      </c>
      <c r="P8" s="29">
        <v>1377</v>
      </c>
      <c r="Q8" s="28" t="s">
        <v>2017</v>
      </c>
      <c r="R8" s="31">
        <v>1.9602167579309999</v>
      </c>
      <c r="S8" s="29">
        <v>45159</v>
      </c>
      <c r="T8" s="32">
        <v>702.47333333333302</v>
      </c>
      <c r="U8" s="32">
        <v>0</v>
      </c>
      <c r="V8" s="31">
        <v>1.9602167579309999</v>
      </c>
      <c r="W8" s="33">
        <v>46088</v>
      </c>
      <c r="X8" s="33">
        <v>46090</v>
      </c>
    </row>
    <row r="9" spans="1:24" ht="15.75" thickBot="1" x14ac:dyDescent="0.3">
      <c r="A9" t="str">
        <f t="shared" si="0"/>
        <v>ASYE025B85B</v>
      </c>
      <c r="B9" s="22" t="s">
        <v>288</v>
      </c>
      <c r="C9" s="22" t="s">
        <v>2035</v>
      </c>
      <c r="D9" s="22" t="s">
        <v>2036</v>
      </c>
      <c r="E9" s="21"/>
      <c r="F9" s="22" t="s">
        <v>2030</v>
      </c>
      <c r="G9" s="28" t="s">
        <v>2012</v>
      </c>
      <c r="H9" s="22" t="s">
        <v>2037</v>
      </c>
      <c r="I9" s="21"/>
      <c r="J9" s="22" t="s">
        <v>261</v>
      </c>
      <c r="K9" s="22" t="s">
        <v>262</v>
      </c>
      <c r="L9" s="21"/>
      <c r="M9" s="22" t="s">
        <v>2034</v>
      </c>
      <c r="N9" s="28" t="s">
        <v>2015</v>
      </c>
      <c r="O9" s="28" t="s">
        <v>2016</v>
      </c>
      <c r="P9" s="29">
        <v>205</v>
      </c>
      <c r="Q9" s="28" t="s">
        <v>2017</v>
      </c>
      <c r="R9" s="31">
        <v>3.0590927178670002</v>
      </c>
      <c r="S9" s="29">
        <v>4308</v>
      </c>
      <c r="T9" s="32">
        <v>67.013333333332994</v>
      </c>
      <c r="U9" s="32">
        <v>0</v>
      </c>
      <c r="V9" s="31">
        <v>3.0590927178670002</v>
      </c>
      <c r="W9" s="33">
        <v>46090</v>
      </c>
      <c r="X9" s="33">
        <v>46090</v>
      </c>
    </row>
    <row r="10" spans="1:24" ht="15.75" thickBot="1" x14ac:dyDescent="0.3">
      <c r="A10" t="str">
        <f t="shared" si="0"/>
        <v>ASYE23900ABP</v>
      </c>
      <c r="B10" s="22" t="s">
        <v>351</v>
      </c>
      <c r="C10" s="22" t="s">
        <v>2038</v>
      </c>
      <c r="D10" s="22" t="s">
        <v>2039</v>
      </c>
      <c r="E10" s="21"/>
      <c r="F10" s="22" t="s">
        <v>2040</v>
      </c>
      <c r="G10" s="28" t="s">
        <v>2012</v>
      </c>
      <c r="H10" s="22" t="s">
        <v>2013</v>
      </c>
      <c r="I10" s="21"/>
      <c r="J10" s="22" t="s">
        <v>261</v>
      </c>
      <c r="K10" s="22" t="s">
        <v>262</v>
      </c>
      <c r="L10" s="21"/>
      <c r="M10" s="22" t="s">
        <v>2034</v>
      </c>
      <c r="N10" s="28" t="s">
        <v>2015</v>
      </c>
      <c r="O10" s="28" t="s">
        <v>2016</v>
      </c>
      <c r="P10" s="29">
        <v>31</v>
      </c>
      <c r="Q10" s="28" t="s">
        <v>2017</v>
      </c>
      <c r="R10" s="31">
        <v>1.586669699727</v>
      </c>
      <c r="S10" s="29">
        <v>1256</v>
      </c>
      <c r="T10" s="32">
        <v>19.537777777776999</v>
      </c>
      <c r="U10" s="32">
        <v>0</v>
      </c>
      <c r="V10" s="31">
        <v>1.586669699727</v>
      </c>
      <c r="W10" s="33">
        <v>46088</v>
      </c>
      <c r="X10" s="33">
        <v>46090</v>
      </c>
    </row>
    <row r="11" spans="1:24" ht="15.75" thickBot="1" x14ac:dyDescent="0.3">
      <c r="A11" t="str">
        <f t="shared" si="0"/>
        <v>ASYE23900ASE</v>
      </c>
      <c r="B11" s="22" t="s">
        <v>356</v>
      </c>
      <c r="C11" s="22" t="s">
        <v>2041</v>
      </c>
      <c r="D11" s="22" t="s">
        <v>2042</v>
      </c>
      <c r="E11" s="22" t="s">
        <v>2043</v>
      </c>
      <c r="F11" s="22" t="s">
        <v>2040</v>
      </c>
      <c r="G11" s="28" t="s">
        <v>2012</v>
      </c>
      <c r="H11" s="22" t="s">
        <v>2013</v>
      </c>
      <c r="I11" s="21"/>
      <c r="J11" s="22" t="s">
        <v>261</v>
      </c>
      <c r="K11" s="22" t="s">
        <v>262</v>
      </c>
      <c r="L11" s="21"/>
      <c r="M11" s="22" t="s">
        <v>2034</v>
      </c>
      <c r="N11" s="28" t="s">
        <v>2015</v>
      </c>
      <c r="O11" s="28" t="s">
        <v>2016</v>
      </c>
      <c r="P11" s="29">
        <v>26</v>
      </c>
      <c r="Q11" s="28" t="s">
        <v>2017</v>
      </c>
      <c r="R11" s="31">
        <v>1.096018735363</v>
      </c>
      <c r="S11" s="29">
        <v>1525</v>
      </c>
      <c r="T11" s="32">
        <v>23.722222222222001</v>
      </c>
      <c r="U11" s="32">
        <v>0</v>
      </c>
      <c r="V11" s="31">
        <v>1.096018735363</v>
      </c>
      <c r="W11" s="33">
        <v>46088</v>
      </c>
      <c r="X11" s="33">
        <v>46090</v>
      </c>
    </row>
    <row r="12" spans="1:24" ht="15.75" thickBot="1" x14ac:dyDescent="0.3">
      <c r="A12" t="str">
        <f t="shared" si="0"/>
        <v>ASYE23901ABP</v>
      </c>
      <c r="B12" s="22" t="s">
        <v>309</v>
      </c>
      <c r="C12" s="22" t="s">
        <v>2044</v>
      </c>
      <c r="D12" s="22" t="s">
        <v>2045</v>
      </c>
      <c r="E12" s="22" t="s">
        <v>2046</v>
      </c>
      <c r="F12" s="22" t="s">
        <v>2040</v>
      </c>
      <c r="G12" s="28" t="s">
        <v>2012</v>
      </c>
      <c r="H12" s="22" t="s">
        <v>2013</v>
      </c>
      <c r="I12" s="21"/>
      <c r="J12" s="22" t="s">
        <v>261</v>
      </c>
      <c r="K12" s="22" t="s">
        <v>262</v>
      </c>
      <c r="L12" s="21"/>
      <c r="M12" s="22" t="s">
        <v>2034</v>
      </c>
      <c r="N12" s="28" t="s">
        <v>2015</v>
      </c>
      <c r="O12" s="28" t="s">
        <v>2016</v>
      </c>
      <c r="P12" s="29">
        <v>54</v>
      </c>
      <c r="Q12" s="28" t="s">
        <v>2017</v>
      </c>
      <c r="R12" s="31">
        <v>2.7638762511369999</v>
      </c>
      <c r="S12" s="29">
        <v>1256</v>
      </c>
      <c r="T12" s="32">
        <v>19.537777777776999</v>
      </c>
      <c r="U12" s="32">
        <v>0</v>
      </c>
      <c r="V12" s="31">
        <v>2.7638762511369999</v>
      </c>
      <c r="W12" s="33">
        <v>46089</v>
      </c>
      <c r="X12" s="33">
        <v>46090</v>
      </c>
    </row>
    <row r="13" spans="1:24" ht="15.75" thickBot="1" x14ac:dyDescent="0.3">
      <c r="A13" t="str">
        <f t="shared" si="0"/>
        <v>ASYE23901ASE</v>
      </c>
      <c r="B13" s="22" t="s">
        <v>315</v>
      </c>
      <c r="C13" s="22" t="s">
        <v>2047</v>
      </c>
      <c r="D13" s="22" t="s">
        <v>2042</v>
      </c>
      <c r="E13" s="22" t="s">
        <v>2048</v>
      </c>
      <c r="F13" s="22" t="s">
        <v>2040</v>
      </c>
      <c r="G13" s="28" t="s">
        <v>2012</v>
      </c>
      <c r="H13" s="22" t="s">
        <v>2013</v>
      </c>
      <c r="I13" s="21"/>
      <c r="J13" s="22" t="s">
        <v>261</v>
      </c>
      <c r="K13" s="22" t="s">
        <v>262</v>
      </c>
      <c r="L13" s="21"/>
      <c r="M13" s="22" t="s">
        <v>2034</v>
      </c>
      <c r="N13" s="28" t="s">
        <v>2015</v>
      </c>
      <c r="O13" s="28" t="s">
        <v>2016</v>
      </c>
      <c r="P13" s="29">
        <v>47</v>
      </c>
      <c r="Q13" s="28" t="s">
        <v>2017</v>
      </c>
      <c r="R13" s="31">
        <v>1.969640528962</v>
      </c>
      <c r="S13" s="29">
        <v>1534</v>
      </c>
      <c r="T13" s="32">
        <v>23.862222222222002</v>
      </c>
      <c r="U13" s="32">
        <v>0</v>
      </c>
      <c r="V13" s="31">
        <v>1.969640528962</v>
      </c>
      <c r="W13" s="33">
        <v>46088</v>
      </c>
      <c r="X13" s="33">
        <v>46090</v>
      </c>
    </row>
    <row r="14" spans="1:24" ht="15.75" thickBot="1" x14ac:dyDescent="0.3">
      <c r="A14" t="str">
        <f t="shared" si="0"/>
        <v>ASYE23901ATS</v>
      </c>
      <c r="B14" s="22" t="s">
        <v>317</v>
      </c>
      <c r="C14" s="22" t="s">
        <v>2049</v>
      </c>
      <c r="D14" s="22" t="s">
        <v>2050</v>
      </c>
      <c r="E14" s="22" t="s">
        <v>2051</v>
      </c>
      <c r="F14" s="22" t="s">
        <v>2040</v>
      </c>
      <c r="G14" s="28" t="s">
        <v>2012</v>
      </c>
      <c r="H14" s="22" t="s">
        <v>2013</v>
      </c>
      <c r="I14" s="21"/>
      <c r="J14" s="22" t="s">
        <v>261</v>
      </c>
      <c r="K14" s="22" t="s">
        <v>262</v>
      </c>
      <c r="L14" s="21"/>
      <c r="M14" s="22" t="s">
        <v>2034</v>
      </c>
      <c r="N14" s="28" t="s">
        <v>2015</v>
      </c>
      <c r="O14" s="28" t="s">
        <v>2016</v>
      </c>
      <c r="P14" s="29">
        <v>43</v>
      </c>
      <c r="Q14" s="28" t="s">
        <v>2017</v>
      </c>
      <c r="R14" s="31">
        <v>1.0701841712289999</v>
      </c>
      <c r="S14" s="29">
        <v>2583</v>
      </c>
      <c r="T14" s="32">
        <v>40.18</v>
      </c>
      <c r="U14" s="32">
        <v>0</v>
      </c>
      <c r="V14" s="31">
        <v>1.0701841712289999</v>
      </c>
      <c r="W14" s="33">
        <v>46088</v>
      </c>
      <c r="X14" s="33">
        <v>46090</v>
      </c>
    </row>
    <row r="15" spans="1:24" ht="15.75" thickBot="1" x14ac:dyDescent="0.3">
      <c r="A15" t="str">
        <f t="shared" si="0"/>
        <v>ASYHS111K35W20</v>
      </c>
      <c r="B15" s="22" t="s">
        <v>1660</v>
      </c>
      <c r="C15" s="22" t="s">
        <v>2052</v>
      </c>
      <c r="D15" s="22" t="s">
        <v>1661</v>
      </c>
      <c r="E15" s="22" t="s">
        <v>2053</v>
      </c>
      <c r="F15" s="22" t="s">
        <v>2054</v>
      </c>
      <c r="G15" s="28" t="s">
        <v>2012</v>
      </c>
      <c r="H15" s="22" t="s">
        <v>2055</v>
      </c>
      <c r="I15" s="21"/>
      <c r="J15" s="22" t="s">
        <v>364</v>
      </c>
      <c r="K15" s="22" t="s">
        <v>924</v>
      </c>
      <c r="L15" s="21"/>
      <c r="M15" s="22" t="s">
        <v>2034</v>
      </c>
      <c r="N15" s="28" t="s">
        <v>2015</v>
      </c>
      <c r="O15" s="28" t="s">
        <v>2016</v>
      </c>
      <c r="P15" s="29">
        <v>3417</v>
      </c>
      <c r="Q15" s="28" t="s">
        <v>2017</v>
      </c>
      <c r="R15" s="31">
        <v>3.6013490567140001</v>
      </c>
      <c r="S15" s="29">
        <v>60995</v>
      </c>
      <c r="T15" s="32">
        <v>948.81111111111102</v>
      </c>
      <c r="U15" s="32">
        <v>0</v>
      </c>
      <c r="V15" s="31">
        <v>3.6013490567140001</v>
      </c>
      <c r="W15" s="33">
        <v>46090</v>
      </c>
      <c r="X15" s="33">
        <v>46090</v>
      </c>
    </row>
    <row r="16" spans="1:24" ht="15.75" thickBot="1" x14ac:dyDescent="0.3">
      <c r="A16" t="str">
        <f t="shared" si="0"/>
        <v>ASYHS20777W14P703</v>
      </c>
      <c r="B16" s="22" t="s">
        <v>1673</v>
      </c>
      <c r="C16" s="22" t="s">
        <v>2056</v>
      </c>
      <c r="D16" s="22" t="s">
        <v>2057</v>
      </c>
      <c r="E16" s="22" t="s">
        <v>2058</v>
      </c>
      <c r="F16" s="22" t="s">
        <v>2059</v>
      </c>
      <c r="G16" s="28" t="s">
        <v>2012</v>
      </c>
      <c r="H16" s="22" t="s">
        <v>2055</v>
      </c>
      <c r="I16" s="21"/>
      <c r="J16" s="22" t="s">
        <v>261</v>
      </c>
      <c r="K16" s="22" t="s">
        <v>924</v>
      </c>
      <c r="L16" s="21"/>
      <c r="M16" s="22" t="s">
        <v>2034</v>
      </c>
      <c r="N16" s="28" t="s">
        <v>2015</v>
      </c>
      <c r="O16" s="28" t="s">
        <v>2016</v>
      </c>
      <c r="P16" s="29">
        <v>1951</v>
      </c>
      <c r="Q16" s="28" t="s">
        <v>2017</v>
      </c>
      <c r="R16" s="31">
        <v>2.0338500100769998</v>
      </c>
      <c r="S16" s="29">
        <v>61667</v>
      </c>
      <c r="T16" s="32">
        <v>959.26444444444405</v>
      </c>
      <c r="U16" s="32">
        <v>0</v>
      </c>
      <c r="V16" s="31">
        <v>2.0338500100769998</v>
      </c>
      <c r="W16" s="33">
        <v>46089</v>
      </c>
      <c r="X16" s="33">
        <v>46090</v>
      </c>
    </row>
    <row r="17" spans="1:24" ht="15.75" thickBot="1" x14ac:dyDescent="0.3">
      <c r="A17" t="str">
        <f t="shared" si="0"/>
        <v>ASYHS24B02W21W22</v>
      </c>
      <c r="B17" s="22" t="s">
        <v>1675</v>
      </c>
      <c r="C17" s="22" t="s">
        <v>2060</v>
      </c>
      <c r="D17" s="22" t="s">
        <v>2061</v>
      </c>
      <c r="E17" s="21"/>
      <c r="F17" s="22" t="s">
        <v>2062</v>
      </c>
      <c r="G17" s="28" t="s">
        <v>2012</v>
      </c>
      <c r="H17" s="22" t="s">
        <v>2055</v>
      </c>
      <c r="I17" s="21"/>
      <c r="J17" s="22" t="s">
        <v>261</v>
      </c>
      <c r="K17" s="22" t="s">
        <v>924</v>
      </c>
      <c r="L17" s="21"/>
      <c r="M17" s="22" t="s">
        <v>2034</v>
      </c>
      <c r="N17" s="28" t="s">
        <v>2015</v>
      </c>
      <c r="O17" s="28" t="s">
        <v>2016</v>
      </c>
      <c r="P17" s="29">
        <v>1669</v>
      </c>
      <c r="Q17" s="28" t="s">
        <v>2017</v>
      </c>
      <c r="R17" s="31">
        <v>2.8261736682869998</v>
      </c>
      <c r="S17" s="29">
        <v>37964</v>
      </c>
      <c r="T17" s="32">
        <v>590.55111111111103</v>
      </c>
      <c r="U17" s="32">
        <v>0</v>
      </c>
      <c r="V17" s="31">
        <v>2.8261736682869998</v>
      </c>
      <c r="W17" s="33">
        <v>46089</v>
      </c>
      <c r="X17" s="33">
        <v>46090</v>
      </c>
    </row>
    <row r="18" spans="1:24" ht="15.75" thickBot="1" x14ac:dyDescent="0.3">
      <c r="A18" t="str">
        <f t="shared" si="0"/>
        <v>ASYHS25A65W2</v>
      </c>
      <c r="B18" s="22" t="s">
        <v>1668</v>
      </c>
      <c r="C18" s="22" t="s">
        <v>2063</v>
      </c>
      <c r="D18" s="22" t="s">
        <v>2064</v>
      </c>
      <c r="E18" s="22" t="s">
        <v>2065</v>
      </c>
      <c r="F18" s="22" t="s">
        <v>2066</v>
      </c>
      <c r="G18" s="28" t="s">
        <v>2012</v>
      </c>
      <c r="H18" s="22" t="s">
        <v>2055</v>
      </c>
      <c r="I18" s="21"/>
      <c r="J18" s="22" t="s">
        <v>261</v>
      </c>
      <c r="K18" s="22" t="s">
        <v>924</v>
      </c>
      <c r="L18" s="21"/>
      <c r="M18" s="22" t="s">
        <v>2034</v>
      </c>
      <c r="N18" s="28" t="s">
        <v>2015</v>
      </c>
      <c r="O18" s="28" t="s">
        <v>2016</v>
      </c>
      <c r="P18" s="29">
        <v>431</v>
      </c>
      <c r="Q18" s="28" t="s">
        <v>2017</v>
      </c>
      <c r="R18" s="31">
        <v>1.5801952125659999</v>
      </c>
      <c r="S18" s="29">
        <v>17534</v>
      </c>
      <c r="T18" s="32">
        <v>272.75111111111102</v>
      </c>
      <c r="U18" s="32">
        <v>0</v>
      </c>
      <c r="V18" s="31">
        <v>1.5801952125659999</v>
      </c>
      <c r="W18" s="33">
        <v>46088</v>
      </c>
      <c r="X18" s="33">
        <v>46090</v>
      </c>
    </row>
    <row r="19" spans="1:24" ht="15.75" thickBot="1" x14ac:dyDescent="0.3">
      <c r="A19" t="str">
        <f t="shared" si="0"/>
        <v>ASYHS30776W14P703</v>
      </c>
      <c r="B19" s="22" t="s">
        <v>1677</v>
      </c>
      <c r="C19" s="22" t="s">
        <v>2067</v>
      </c>
      <c r="D19" s="22" t="s">
        <v>2057</v>
      </c>
      <c r="E19" s="22" t="s">
        <v>2068</v>
      </c>
      <c r="F19" s="22" t="s">
        <v>2069</v>
      </c>
      <c r="G19" s="28" t="s">
        <v>2012</v>
      </c>
      <c r="H19" s="22" t="s">
        <v>2055</v>
      </c>
      <c r="I19" s="21"/>
      <c r="J19" s="22" t="s">
        <v>261</v>
      </c>
      <c r="K19" s="22" t="s">
        <v>924</v>
      </c>
      <c r="L19" s="21"/>
      <c r="M19" s="22" t="s">
        <v>2034</v>
      </c>
      <c r="N19" s="28" t="s">
        <v>2015</v>
      </c>
      <c r="O19" s="28" t="s">
        <v>2016</v>
      </c>
      <c r="P19" s="29">
        <v>1223</v>
      </c>
      <c r="Q19" s="28" t="s">
        <v>2017</v>
      </c>
      <c r="R19" s="31">
        <v>1.2749351933999999</v>
      </c>
      <c r="S19" s="29">
        <v>61667</v>
      </c>
      <c r="T19" s="32">
        <v>959.26444444444405</v>
      </c>
      <c r="U19" s="32">
        <v>0</v>
      </c>
      <c r="V19" s="31">
        <v>1.2749351933999999</v>
      </c>
      <c r="W19" s="33">
        <v>46088</v>
      </c>
      <c r="X19" s="33">
        <v>46090</v>
      </c>
    </row>
    <row r="20" spans="1:24" ht="15.75" thickBot="1" x14ac:dyDescent="0.3">
      <c r="A20" t="str">
        <f t="shared" si="0"/>
        <v>ASYHS40522W21W22</v>
      </c>
      <c r="B20" s="22" t="s">
        <v>1695</v>
      </c>
      <c r="C20" s="22" t="s">
        <v>2070</v>
      </c>
      <c r="D20" s="22" t="s">
        <v>1696</v>
      </c>
      <c r="E20" s="22" t="s">
        <v>2071</v>
      </c>
      <c r="F20" s="22" t="s">
        <v>2072</v>
      </c>
      <c r="G20" s="28" t="s">
        <v>2012</v>
      </c>
      <c r="H20" s="22" t="s">
        <v>2055</v>
      </c>
      <c r="I20" s="21"/>
      <c r="J20" s="22" t="s">
        <v>261</v>
      </c>
      <c r="K20" s="22" t="s">
        <v>924</v>
      </c>
      <c r="L20" s="21"/>
      <c r="M20" s="22" t="s">
        <v>2034</v>
      </c>
      <c r="N20" s="28" t="s">
        <v>2015</v>
      </c>
      <c r="O20" s="28" t="s">
        <v>2016</v>
      </c>
      <c r="P20" s="29">
        <v>1483</v>
      </c>
      <c r="Q20" s="28" t="s">
        <v>2017</v>
      </c>
      <c r="R20" s="31">
        <v>2.5112136309580002</v>
      </c>
      <c r="S20" s="29">
        <v>37964</v>
      </c>
      <c r="T20" s="32">
        <v>590.55111111111103</v>
      </c>
      <c r="U20" s="32">
        <v>0</v>
      </c>
      <c r="V20" s="31">
        <v>2.5112136309580002</v>
      </c>
      <c r="W20" s="33">
        <v>46089</v>
      </c>
      <c r="X20" s="33">
        <v>46090</v>
      </c>
    </row>
    <row r="21" spans="1:24" ht="15.75" thickBot="1" x14ac:dyDescent="0.3">
      <c r="A21" t="str">
        <f t="shared" si="0"/>
        <v>ASYHS49D59W16</v>
      </c>
      <c r="B21" s="22" t="s">
        <v>1706</v>
      </c>
      <c r="C21" s="22" t="s">
        <v>2073</v>
      </c>
      <c r="D21" s="22" t="s">
        <v>1707</v>
      </c>
      <c r="E21" s="22" t="s">
        <v>2074</v>
      </c>
      <c r="F21" s="22" t="s">
        <v>2075</v>
      </c>
      <c r="G21" s="28" t="s">
        <v>2012</v>
      </c>
      <c r="H21" s="22" t="s">
        <v>2055</v>
      </c>
      <c r="I21" s="21"/>
      <c r="J21" s="22" t="s">
        <v>261</v>
      </c>
      <c r="K21" s="22" t="s">
        <v>924</v>
      </c>
      <c r="L21" s="21"/>
      <c r="M21" s="22" t="s">
        <v>2034</v>
      </c>
      <c r="N21" s="28" t="s">
        <v>2015</v>
      </c>
      <c r="O21" s="28" t="s">
        <v>2016</v>
      </c>
      <c r="P21" s="29">
        <v>1142</v>
      </c>
      <c r="Q21" s="28" t="s">
        <v>2017</v>
      </c>
      <c r="R21" s="31">
        <v>3.9214938151959999</v>
      </c>
      <c r="S21" s="29">
        <v>18721</v>
      </c>
      <c r="T21" s="32">
        <v>291.21555555555602</v>
      </c>
      <c r="U21" s="32">
        <v>0</v>
      </c>
      <c r="V21" s="31">
        <v>3.9214938151959999</v>
      </c>
      <c r="W21" s="33">
        <v>46090</v>
      </c>
      <c r="X21" s="33">
        <v>46090</v>
      </c>
    </row>
    <row r="22" spans="1:24" ht="15.75" thickBot="1" x14ac:dyDescent="0.3">
      <c r="A22" t="str">
        <f t="shared" si="0"/>
        <v>ASYHS52C05W16P703</v>
      </c>
      <c r="B22" s="22" t="s">
        <v>1711</v>
      </c>
      <c r="C22" s="22" t="s">
        <v>2076</v>
      </c>
      <c r="D22" s="22" t="s">
        <v>2077</v>
      </c>
      <c r="E22" s="22" t="s">
        <v>2078</v>
      </c>
      <c r="F22" s="22" t="s">
        <v>2079</v>
      </c>
      <c r="G22" s="28" t="s">
        <v>2012</v>
      </c>
      <c r="H22" s="22" t="s">
        <v>2080</v>
      </c>
      <c r="I22" s="21"/>
      <c r="J22" s="22" t="s">
        <v>261</v>
      </c>
      <c r="K22" s="22" t="s">
        <v>924</v>
      </c>
      <c r="L22" s="21"/>
      <c r="M22" s="22" t="s">
        <v>2034</v>
      </c>
      <c r="N22" s="28" t="s">
        <v>2015</v>
      </c>
      <c r="O22" s="28" t="s">
        <v>2016</v>
      </c>
      <c r="P22" s="29">
        <v>2974</v>
      </c>
      <c r="Q22" s="28" t="s">
        <v>2017</v>
      </c>
      <c r="R22" s="31">
        <v>3.10921636503</v>
      </c>
      <c r="S22" s="29">
        <v>61490</v>
      </c>
      <c r="T22" s="32">
        <v>956.51111111111095</v>
      </c>
      <c r="U22" s="32">
        <v>0</v>
      </c>
      <c r="V22" s="31">
        <v>3.10921636503</v>
      </c>
      <c r="W22" s="33">
        <v>46090</v>
      </c>
      <c r="X22" s="33">
        <v>46090</v>
      </c>
    </row>
    <row r="23" spans="1:24" ht="15.75" thickBot="1" x14ac:dyDescent="0.3">
      <c r="A23" t="str">
        <f t="shared" si="0"/>
        <v>ASYHS52K76W16P703</v>
      </c>
      <c r="B23" s="22" t="s">
        <v>1713</v>
      </c>
      <c r="C23" s="22" t="s">
        <v>2081</v>
      </c>
      <c r="D23" s="22" t="s">
        <v>1714</v>
      </c>
      <c r="E23" s="22" t="s">
        <v>2082</v>
      </c>
      <c r="F23" s="22" t="s">
        <v>2083</v>
      </c>
      <c r="G23" s="28" t="s">
        <v>2012</v>
      </c>
      <c r="H23" s="22" t="s">
        <v>2080</v>
      </c>
      <c r="I23" s="21"/>
      <c r="J23" s="22" t="s">
        <v>261</v>
      </c>
      <c r="K23" s="22" t="s">
        <v>924</v>
      </c>
      <c r="L23" s="21"/>
      <c r="M23" s="22" t="s">
        <v>2034</v>
      </c>
      <c r="N23" s="28" t="s">
        <v>2015</v>
      </c>
      <c r="O23" s="28" t="s">
        <v>2016</v>
      </c>
      <c r="P23" s="29">
        <v>1979</v>
      </c>
      <c r="Q23" s="28" t="s">
        <v>2017</v>
      </c>
      <c r="R23" s="31">
        <v>2.0646126025870002</v>
      </c>
      <c r="S23" s="29">
        <v>61620</v>
      </c>
      <c r="T23" s="32">
        <v>958.53333333333296</v>
      </c>
      <c r="U23" s="32">
        <v>0</v>
      </c>
      <c r="V23" s="31">
        <v>2.0646126025870002</v>
      </c>
      <c r="W23" s="33">
        <v>46089</v>
      </c>
      <c r="X23" s="33">
        <v>46090</v>
      </c>
    </row>
    <row r="24" spans="1:24" ht="15.75" thickBot="1" x14ac:dyDescent="0.3">
      <c r="A24" t="str">
        <f t="shared" si="0"/>
        <v>ASYHS52K77W16P703</v>
      </c>
      <c r="B24" s="22" t="s">
        <v>1715</v>
      </c>
      <c r="C24" s="22" t="s">
        <v>2076</v>
      </c>
      <c r="D24" s="22" t="s">
        <v>1716</v>
      </c>
      <c r="E24" s="22" t="s">
        <v>2084</v>
      </c>
      <c r="F24" s="22" t="s">
        <v>2085</v>
      </c>
      <c r="G24" s="28" t="s">
        <v>2012</v>
      </c>
      <c r="H24" s="22" t="s">
        <v>2080</v>
      </c>
      <c r="I24" s="21"/>
      <c r="J24" s="22" t="s">
        <v>261</v>
      </c>
      <c r="K24" s="22" t="s">
        <v>924</v>
      </c>
      <c r="L24" s="21"/>
      <c r="M24" s="22" t="s">
        <v>2034</v>
      </c>
      <c r="N24" s="28" t="s">
        <v>2015</v>
      </c>
      <c r="O24" s="28" t="s">
        <v>2016</v>
      </c>
      <c r="P24" s="29">
        <v>1313</v>
      </c>
      <c r="Q24" s="28" t="s">
        <v>2017</v>
      </c>
      <c r="R24" s="31">
        <v>1.372697070371</v>
      </c>
      <c r="S24" s="29">
        <v>61490</v>
      </c>
      <c r="T24" s="32">
        <v>956.51111111111095</v>
      </c>
      <c r="U24" s="32">
        <v>0</v>
      </c>
      <c r="V24" s="31">
        <v>1.372697070371</v>
      </c>
      <c r="W24" s="33">
        <v>46088</v>
      </c>
      <c r="X24" s="33">
        <v>46090</v>
      </c>
    </row>
    <row r="25" spans="1:24" ht="15.75" thickBot="1" x14ac:dyDescent="0.3">
      <c r="A25" t="str">
        <f t="shared" si="0"/>
        <v>ASYHS69A30W15P703</v>
      </c>
      <c r="B25" s="22" t="s">
        <v>1690</v>
      </c>
      <c r="C25" s="22" t="s">
        <v>2086</v>
      </c>
      <c r="D25" s="22" t="s">
        <v>1691</v>
      </c>
      <c r="E25" s="22" t="s">
        <v>2087</v>
      </c>
      <c r="F25" s="22" t="s">
        <v>2088</v>
      </c>
      <c r="G25" s="28" t="s">
        <v>2012</v>
      </c>
      <c r="H25" s="22" t="s">
        <v>2080</v>
      </c>
      <c r="I25" s="21"/>
      <c r="J25" s="22" t="s">
        <v>261</v>
      </c>
      <c r="K25" s="22" t="s">
        <v>924</v>
      </c>
      <c r="L25" s="21"/>
      <c r="M25" s="22" t="s">
        <v>2034</v>
      </c>
      <c r="N25" s="28" t="s">
        <v>2015</v>
      </c>
      <c r="O25" s="28" t="s">
        <v>2016</v>
      </c>
      <c r="P25" s="29">
        <v>1099</v>
      </c>
      <c r="Q25" s="28" t="s">
        <v>2017</v>
      </c>
      <c r="R25" s="31">
        <v>3.9604237905709998</v>
      </c>
      <c r="S25" s="29">
        <v>17839</v>
      </c>
      <c r="T25" s="32">
        <v>277.495555555556</v>
      </c>
      <c r="U25" s="32">
        <v>0</v>
      </c>
      <c r="V25" s="31">
        <v>3.9604237905709998</v>
      </c>
      <c r="W25" s="33">
        <v>46090</v>
      </c>
      <c r="X25" s="33">
        <v>46090</v>
      </c>
    </row>
    <row r="26" spans="1:24" ht="15.75" thickBot="1" x14ac:dyDescent="0.3">
      <c r="A26" t="str">
        <f t="shared" si="0"/>
        <v>ASYHS77A96W14P703</v>
      </c>
      <c r="B26" s="22" t="s">
        <v>1736</v>
      </c>
      <c r="C26" s="22" t="s">
        <v>2067</v>
      </c>
      <c r="D26" s="22" t="s">
        <v>2089</v>
      </c>
      <c r="E26" s="22" t="s">
        <v>2090</v>
      </c>
      <c r="F26" s="22" t="s">
        <v>2091</v>
      </c>
      <c r="G26" s="28" t="s">
        <v>2012</v>
      </c>
      <c r="H26" s="22" t="s">
        <v>2080</v>
      </c>
      <c r="I26" s="21"/>
      <c r="J26" s="22" t="s">
        <v>261</v>
      </c>
      <c r="K26" s="22" t="s">
        <v>924</v>
      </c>
      <c r="L26" s="21"/>
      <c r="M26" s="22" t="s">
        <v>2034</v>
      </c>
      <c r="N26" s="28" t="s">
        <v>2015</v>
      </c>
      <c r="O26" s="28" t="s">
        <v>2016</v>
      </c>
      <c r="P26" s="29">
        <v>2295</v>
      </c>
      <c r="Q26" s="28" t="s">
        <v>2017</v>
      </c>
      <c r="R26" s="31">
        <v>2.3924581102650002</v>
      </c>
      <c r="S26" s="29">
        <v>61667</v>
      </c>
      <c r="T26" s="32">
        <v>959.26444444444405</v>
      </c>
      <c r="U26" s="32">
        <v>0</v>
      </c>
      <c r="V26" s="31">
        <v>2.3924581102650002</v>
      </c>
      <c r="W26" s="33">
        <v>46089</v>
      </c>
      <c r="X26" s="33">
        <v>46090</v>
      </c>
    </row>
    <row r="27" spans="1:24" ht="15.75" thickBot="1" x14ac:dyDescent="0.3">
      <c r="A27" t="str">
        <f t="shared" si="0"/>
        <v>ASYHS81753W2</v>
      </c>
      <c r="B27" s="22" t="s">
        <v>1743</v>
      </c>
      <c r="C27" s="22" t="s">
        <v>2063</v>
      </c>
      <c r="D27" s="22" t="s">
        <v>2092</v>
      </c>
      <c r="E27" s="22" t="s">
        <v>2093</v>
      </c>
      <c r="F27" s="22" t="s">
        <v>2094</v>
      </c>
      <c r="G27" s="28" t="s">
        <v>2012</v>
      </c>
      <c r="H27" s="22" t="s">
        <v>2055</v>
      </c>
      <c r="I27" s="21"/>
      <c r="J27" s="22" t="s">
        <v>494</v>
      </c>
      <c r="K27" s="22" t="s">
        <v>924</v>
      </c>
      <c r="L27" s="21"/>
      <c r="M27" s="22" t="s">
        <v>2034</v>
      </c>
      <c r="N27" s="28" t="s">
        <v>2015</v>
      </c>
      <c r="O27" s="28" t="s">
        <v>2016</v>
      </c>
      <c r="P27" s="29">
        <v>3118</v>
      </c>
      <c r="Q27" s="28" t="s">
        <v>2017</v>
      </c>
      <c r="R27" s="31">
        <v>3.810555818084</v>
      </c>
      <c r="S27" s="29">
        <v>52602</v>
      </c>
      <c r="T27" s="32">
        <v>818.25333333333299</v>
      </c>
      <c r="U27" s="32">
        <v>0</v>
      </c>
      <c r="V27" s="31">
        <v>3.810555818084</v>
      </c>
      <c r="W27" s="33">
        <v>46090</v>
      </c>
      <c r="X27" s="33">
        <v>46090</v>
      </c>
    </row>
    <row r="28" spans="1:24" ht="15.75" thickBot="1" x14ac:dyDescent="0.3">
      <c r="A28" t="str">
        <f t="shared" si="0"/>
        <v>ASYMS10723OS</v>
      </c>
      <c r="B28" s="22" t="s">
        <v>1782</v>
      </c>
      <c r="C28" s="22" t="s">
        <v>2095</v>
      </c>
      <c r="D28" s="22" t="s">
        <v>1783</v>
      </c>
      <c r="E28" s="22" t="s">
        <v>2096</v>
      </c>
      <c r="F28" s="22" t="s">
        <v>2097</v>
      </c>
      <c r="G28" s="28" t="s">
        <v>2012</v>
      </c>
      <c r="H28" s="22" t="s">
        <v>2013</v>
      </c>
      <c r="I28" s="21"/>
      <c r="J28" s="22" t="s">
        <v>261</v>
      </c>
      <c r="K28" s="22" t="s">
        <v>924</v>
      </c>
      <c r="L28" s="21"/>
      <c r="M28" s="22" t="s">
        <v>2034</v>
      </c>
      <c r="N28" s="28" t="s">
        <v>2015</v>
      </c>
      <c r="O28" s="28" t="s">
        <v>2016</v>
      </c>
      <c r="P28" s="29">
        <v>951</v>
      </c>
      <c r="Q28" s="28" t="s">
        <v>2017</v>
      </c>
      <c r="R28" s="31">
        <v>3.2408669574700002</v>
      </c>
      <c r="S28" s="29">
        <v>18864</v>
      </c>
      <c r="T28" s="32">
        <v>293.44</v>
      </c>
      <c r="U28" s="32">
        <v>0</v>
      </c>
      <c r="V28" s="31">
        <v>3.2408669574700002</v>
      </c>
      <c r="W28" s="33">
        <v>46090</v>
      </c>
      <c r="X28" s="33">
        <v>46090</v>
      </c>
    </row>
    <row r="29" spans="1:24" ht="15.75" thickBot="1" x14ac:dyDescent="0.3">
      <c r="A29" t="str">
        <f t="shared" si="0"/>
        <v>ASYMS20K50W14</v>
      </c>
      <c r="B29" s="22" t="s">
        <v>1791</v>
      </c>
      <c r="C29" s="22" t="s">
        <v>2098</v>
      </c>
      <c r="D29" s="22" t="s">
        <v>1792</v>
      </c>
      <c r="E29" s="22" t="s">
        <v>2099</v>
      </c>
      <c r="F29" s="22" t="s">
        <v>2100</v>
      </c>
      <c r="G29" s="28" t="s">
        <v>2012</v>
      </c>
      <c r="H29" s="22" t="s">
        <v>2013</v>
      </c>
      <c r="I29" s="21"/>
      <c r="J29" s="22" t="s">
        <v>494</v>
      </c>
      <c r="K29" s="22" t="s">
        <v>924</v>
      </c>
      <c r="L29" s="21"/>
      <c r="M29" s="22" t="s">
        <v>2034</v>
      </c>
      <c r="N29" s="28" t="s">
        <v>2015</v>
      </c>
      <c r="O29" s="28" t="s">
        <v>2016</v>
      </c>
      <c r="P29" s="29">
        <v>6604</v>
      </c>
      <c r="Q29" s="28" t="s">
        <v>2017</v>
      </c>
      <c r="R29" s="31">
        <v>2.680160964778</v>
      </c>
      <c r="S29" s="29">
        <v>158402</v>
      </c>
      <c r="T29" s="32">
        <v>2464.03111111111</v>
      </c>
      <c r="U29" s="32">
        <v>0</v>
      </c>
      <c r="V29" s="31">
        <v>2.680160964778</v>
      </c>
      <c r="W29" s="33">
        <v>46089</v>
      </c>
      <c r="X29" s="33">
        <v>46090</v>
      </c>
    </row>
    <row r="30" spans="1:24" ht="15.75" thickBot="1" x14ac:dyDescent="0.3">
      <c r="A30" t="str">
        <f t="shared" si="0"/>
        <v>ASYPW20116W13HV</v>
      </c>
      <c r="B30" s="22" t="s">
        <v>1810</v>
      </c>
      <c r="C30" s="22" t="s">
        <v>2101</v>
      </c>
      <c r="D30" s="22" t="s">
        <v>1811</v>
      </c>
      <c r="E30" s="22" t="s">
        <v>2102</v>
      </c>
      <c r="F30" s="22" t="s">
        <v>2103</v>
      </c>
      <c r="G30" s="28" t="s">
        <v>2012</v>
      </c>
      <c r="H30" s="22" t="s">
        <v>2080</v>
      </c>
      <c r="I30" s="21"/>
      <c r="J30" s="22" t="s">
        <v>494</v>
      </c>
      <c r="K30" s="22" t="s">
        <v>924</v>
      </c>
      <c r="L30" s="21"/>
      <c r="M30" s="22" t="s">
        <v>2034</v>
      </c>
      <c r="N30" s="28" t="s">
        <v>2015</v>
      </c>
      <c r="O30" s="28" t="s">
        <v>2016</v>
      </c>
      <c r="P30" s="29">
        <v>585</v>
      </c>
      <c r="Q30" s="28" t="s">
        <v>2017</v>
      </c>
      <c r="R30" s="31">
        <v>2.1588486140719998</v>
      </c>
      <c r="S30" s="29">
        <v>17420</v>
      </c>
      <c r="T30" s="32">
        <v>270.97777777777799</v>
      </c>
      <c r="U30" s="32">
        <v>0</v>
      </c>
      <c r="V30" s="31">
        <v>2.1588486140719998</v>
      </c>
      <c r="W30" s="33">
        <v>46089</v>
      </c>
      <c r="X30" s="33">
        <v>46090</v>
      </c>
    </row>
    <row r="31" spans="1:24" ht="15.75" thickBot="1" x14ac:dyDescent="0.3">
      <c r="A31" t="str">
        <f t="shared" si="0"/>
        <v>ASYPW31530W1</v>
      </c>
      <c r="B31" s="22" t="s">
        <v>1818</v>
      </c>
      <c r="C31" s="22" t="s">
        <v>2104</v>
      </c>
      <c r="D31" s="22" t="s">
        <v>2105</v>
      </c>
      <c r="E31" s="22" t="s">
        <v>2106</v>
      </c>
      <c r="F31" s="22" t="s">
        <v>2107</v>
      </c>
      <c r="G31" s="28" t="s">
        <v>2012</v>
      </c>
      <c r="H31" s="22" t="s">
        <v>2080</v>
      </c>
      <c r="I31" s="21"/>
      <c r="J31" s="22" t="s">
        <v>494</v>
      </c>
      <c r="K31" s="22" t="s">
        <v>924</v>
      </c>
      <c r="L31" s="21"/>
      <c r="M31" s="22" t="s">
        <v>2034</v>
      </c>
      <c r="N31" s="28" t="s">
        <v>2015</v>
      </c>
      <c r="O31" s="28" t="s">
        <v>2016</v>
      </c>
      <c r="P31" s="29">
        <v>628</v>
      </c>
      <c r="Q31" s="28" t="s">
        <v>2017</v>
      </c>
      <c r="R31" s="31">
        <v>2.1205708882979999</v>
      </c>
      <c r="S31" s="29">
        <v>19038</v>
      </c>
      <c r="T31" s="32">
        <v>296.14666666666699</v>
      </c>
      <c r="U31" s="32">
        <v>0</v>
      </c>
      <c r="V31" s="31">
        <v>2.1205708882979999</v>
      </c>
      <c r="W31" s="33">
        <v>46089</v>
      </c>
      <c r="X31" s="33">
        <v>46090</v>
      </c>
    </row>
    <row r="32" spans="1:24" ht="15.75" thickBot="1" x14ac:dyDescent="0.3">
      <c r="A32" t="str">
        <f t="shared" si="0"/>
        <v>ASYPW50723MS1</v>
      </c>
      <c r="B32" s="22" t="s">
        <v>1827</v>
      </c>
      <c r="C32" s="22" t="s">
        <v>2108</v>
      </c>
      <c r="D32" s="22" t="s">
        <v>2109</v>
      </c>
      <c r="E32" s="22" t="s">
        <v>2110</v>
      </c>
      <c r="F32" s="22" t="s">
        <v>2111</v>
      </c>
      <c r="G32" s="28" t="s">
        <v>2012</v>
      </c>
      <c r="H32" s="22" t="s">
        <v>2080</v>
      </c>
      <c r="I32" s="21"/>
      <c r="J32" s="22" t="s">
        <v>261</v>
      </c>
      <c r="K32" s="22" t="s">
        <v>924</v>
      </c>
      <c r="L32" s="21"/>
      <c r="M32" s="22" t="s">
        <v>2034</v>
      </c>
      <c r="N32" s="28" t="s">
        <v>2015</v>
      </c>
      <c r="O32" s="28" t="s">
        <v>2016</v>
      </c>
      <c r="P32" s="29">
        <v>332</v>
      </c>
      <c r="Q32" s="28" t="s">
        <v>2017</v>
      </c>
      <c r="R32" s="31">
        <v>1.0686389516749999</v>
      </c>
      <c r="S32" s="29">
        <v>19972</v>
      </c>
      <c r="T32" s="32">
        <v>310.675555555556</v>
      </c>
      <c r="U32" s="32">
        <v>0</v>
      </c>
      <c r="V32" s="31">
        <v>1.0686389516749999</v>
      </c>
      <c r="W32" s="33">
        <v>46088</v>
      </c>
      <c r="X32" s="33">
        <v>46090</v>
      </c>
    </row>
    <row r="33" spans="1:24" ht="15.75" thickBot="1" x14ac:dyDescent="0.3">
      <c r="A33" t="str">
        <f t="shared" si="0"/>
        <v>ASYPW50K21W15P703</v>
      </c>
      <c r="B33" s="22" t="s">
        <v>1831</v>
      </c>
      <c r="C33" s="22" t="s">
        <v>2112</v>
      </c>
      <c r="D33" s="22" t="s">
        <v>2113</v>
      </c>
      <c r="E33" s="22" t="s">
        <v>2114</v>
      </c>
      <c r="F33" s="22" t="s">
        <v>2115</v>
      </c>
      <c r="G33" s="28" t="s">
        <v>2012</v>
      </c>
      <c r="H33" s="22" t="s">
        <v>2080</v>
      </c>
      <c r="I33" s="21"/>
      <c r="J33" s="22" t="s">
        <v>261</v>
      </c>
      <c r="K33" s="22" t="s">
        <v>924</v>
      </c>
      <c r="L33" s="21"/>
      <c r="M33" s="22" t="s">
        <v>2034</v>
      </c>
      <c r="N33" s="28" t="s">
        <v>2015</v>
      </c>
      <c r="O33" s="28" t="s">
        <v>2016</v>
      </c>
      <c r="P33" s="29">
        <v>837</v>
      </c>
      <c r="Q33" s="28" t="s">
        <v>2017</v>
      </c>
      <c r="R33" s="31">
        <v>3.1431241811519999</v>
      </c>
      <c r="S33" s="29">
        <v>17119</v>
      </c>
      <c r="T33" s="32">
        <v>266.29555555555601</v>
      </c>
      <c r="U33" s="32">
        <v>0</v>
      </c>
      <c r="V33" s="31">
        <v>3.1431241811519999</v>
      </c>
      <c r="W33" s="33">
        <v>46090</v>
      </c>
      <c r="X33" s="33">
        <v>46090</v>
      </c>
    </row>
    <row r="34" spans="1:24" ht="15.75" thickBot="1" x14ac:dyDescent="0.3">
      <c r="A34" t="str">
        <f t="shared" si="0"/>
        <v>ASYW150786W16</v>
      </c>
      <c r="B34" s="22" t="s">
        <v>1924</v>
      </c>
      <c r="C34" s="22" t="s">
        <v>2116</v>
      </c>
      <c r="D34" s="22" t="s">
        <v>2117</v>
      </c>
      <c r="E34" s="22" t="s">
        <v>2118</v>
      </c>
      <c r="F34" s="22" t="s">
        <v>2119</v>
      </c>
      <c r="G34" s="28" t="s">
        <v>2012</v>
      </c>
      <c r="H34" s="22" t="s">
        <v>2055</v>
      </c>
      <c r="I34" s="21"/>
      <c r="J34" s="22" t="s">
        <v>261</v>
      </c>
      <c r="K34" s="22" t="s">
        <v>924</v>
      </c>
      <c r="L34" s="21"/>
      <c r="M34" s="22" t="s">
        <v>2034</v>
      </c>
      <c r="N34" s="28" t="s">
        <v>2015</v>
      </c>
      <c r="O34" s="28" t="s">
        <v>2016</v>
      </c>
      <c r="P34" s="29">
        <v>2099</v>
      </c>
      <c r="Q34" s="28" t="s">
        <v>2017</v>
      </c>
      <c r="R34" s="31">
        <v>3.604918764812</v>
      </c>
      <c r="S34" s="29">
        <v>37431</v>
      </c>
      <c r="T34" s="32">
        <v>582.26</v>
      </c>
      <c r="U34" s="32">
        <v>0</v>
      </c>
      <c r="V34" s="31">
        <v>3.604918764812</v>
      </c>
      <c r="W34" s="33">
        <v>46090</v>
      </c>
      <c r="X34" s="33">
        <v>46090</v>
      </c>
    </row>
    <row r="35" spans="1:24" ht="15.75" thickBot="1" x14ac:dyDescent="0.3">
      <c r="A35" t="str">
        <f t="shared" si="0"/>
        <v>ASYW160A25W21</v>
      </c>
      <c r="B35" s="22" t="s">
        <v>1931</v>
      </c>
      <c r="C35" s="22" t="s">
        <v>2073</v>
      </c>
      <c r="D35" s="22" t="s">
        <v>2120</v>
      </c>
      <c r="E35" s="22" t="s">
        <v>2121</v>
      </c>
      <c r="F35" s="22" t="s">
        <v>2122</v>
      </c>
      <c r="G35" s="28" t="s">
        <v>2012</v>
      </c>
      <c r="H35" s="22" t="s">
        <v>2055</v>
      </c>
      <c r="I35" s="21"/>
      <c r="J35" s="22" t="s">
        <v>261</v>
      </c>
      <c r="K35" s="22" t="s">
        <v>924</v>
      </c>
      <c r="L35" s="21"/>
      <c r="M35" s="22" t="s">
        <v>2034</v>
      </c>
      <c r="N35" s="28" t="s">
        <v>2015</v>
      </c>
      <c r="O35" s="28" t="s">
        <v>2016</v>
      </c>
      <c r="P35" s="29">
        <v>1002</v>
      </c>
      <c r="Q35" s="28" t="s">
        <v>2017</v>
      </c>
      <c r="R35" s="31">
        <v>3.3896903496439998</v>
      </c>
      <c r="S35" s="29">
        <v>19003</v>
      </c>
      <c r="T35" s="32">
        <v>295.602222222222</v>
      </c>
      <c r="U35" s="32">
        <v>0</v>
      </c>
      <c r="V35" s="31">
        <v>3.3896903496439998</v>
      </c>
      <c r="W35" s="33">
        <v>46090</v>
      </c>
      <c r="X35" s="33">
        <v>46090</v>
      </c>
    </row>
    <row r="36" spans="1:24" ht="15.75" thickBot="1" x14ac:dyDescent="0.3">
      <c r="A36" t="str">
        <f t="shared" si="0"/>
        <v>ASYW20506W15</v>
      </c>
      <c r="B36" s="22" t="s">
        <v>1963</v>
      </c>
      <c r="C36" s="22" t="s">
        <v>2123</v>
      </c>
      <c r="D36" s="22" t="s">
        <v>1912</v>
      </c>
      <c r="E36" s="22" t="s">
        <v>2124</v>
      </c>
      <c r="F36" s="22" t="s">
        <v>2125</v>
      </c>
      <c r="G36" s="28" t="s">
        <v>2012</v>
      </c>
      <c r="H36" s="22" t="s">
        <v>2080</v>
      </c>
      <c r="I36" s="21"/>
      <c r="J36" s="22" t="s">
        <v>494</v>
      </c>
      <c r="K36" s="22" t="s">
        <v>924</v>
      </c>
      <c r="L36" s="21"/>
      <c r="M36" s="22" t="s">
        <v>2034</v>
      </c>
      <c r="N36" s="28" t="s">
        <v>2015</v>
      </c>
      <c r="O36" s="28" t="s">
        <v>2016</v>
      </c>
      <c r="P36" s="29">
        <v>363</v>
      </c>
      <c r="Q36" s="28" t="s">
        <v>2017</v>
      </c>
      <c r="R36" s="31">
        <v>1.38630750821</v>
      </c>
      <c r="S36" s="29">
        <v>16833</v>
      </c>
      <c r="T36" s="32">
        <v>261.84666666666698</v>
      </c>
      <c r="U36" s="32">
        <v>0</v>
      </c>
      <c r="V36" s="31">
        <v>1.38630750821</v>
      </c>
      <c r="W36" s="33">
        <v>46088</v>
      </c>
      <c r="X36" s="33">
        <v>46090</v>
      </c>
    </row>
    <row r="37" spans="1:24" ht="15.75" thickBot="1" x14ac:dyDescent="0.3">
      <c r="A37" t="str">
        <f t="shared" si="0"/>
        <v>BLKBR58111K36</v>
      </c>
      <c r="B37" s="22" t="s">
        <v>2126</v>
      </c>
      <c r="C37" s="21"/>
      <c r="D37" s="22" t="s">
        <v>2127</v>
      </c>
      <c r="E37" s="22" t="s">
        <v>2128</v>
      </c>
      <c r="F37" s="22" t="s">
        <v>2129</v>
      </c>
      <c r="G37" s="28" t="s">
        <v>2012</v>
      </c>
      <c r="H37" s="22" t="s">
        <v>2013</v>
      </c>
      <c r="I37" s="21"/>
      <c r="J37" s="22" t="s">
        <v>364</v>
      </c>
      <c r="K37" s="22" t="s">
        <v>924</v>
      </c>
      <c r="L37" s="21"/>
      <c r="M37" s="22" t="s">
        <v>2130</v>
      </c>
      <c r="N37" s="28" t="s">
        <v>2015</v>
      </c>
      <c r="O37" s="28" t="s">
        <v>2016</v>
      </c>
      <c r="P37" s="29">
        <v>2911</v>
      </c>
      <c r="Q37" s="28" t="s">
        <v>2017</v>
      </c>
      <c r="R37" s="31">
        <v>3.35278534956</v>
      </c>
      <c r="S37" s="29">
        <v>55815</v>
      </c>
      <c r="T37" s="32">
        <v>868.23333333333301</v>
      </c>
      <c r="U37" s="32">
        <v>0</v>
      </c>
      <c r="V37" s="31">
        <v>3.35278534956</v>
      </c>
      <c r="W37" s="33">
        <v>46090</v>
      </c>
      <c r="X37" s="33">
        <v>46090</v>
      </c>
    </row>
    <row r="38" spans="1:24" ht="15.75" thickBot="1" x14ac:dyDescent="0.3">
      <c r="A38" t="str">
        <f t="shared" si="0"/>
        <v>BT1CC009</v>
      </c>
      <c r="B38" s="22" t="s">
        <v>459</v>
      </c>
      <c r="C38" s="22" t="s">
        <v>2131</v>
      </c>
      <c r="D38" s="22" t="s">
        <v>2132</v>
      </c>
      <c r="E38" s="22" t="s">
        <v>2133</v>
      </c>
      <c r="F38" s="22" t="s">
        <v>2134</v>
      </c>
      <c r="G38" s="28" t="s">
        <v>2012</v>
      </c>
      <c r="H38" s="22" t="s">
        <v>2135</v>
      </c>
      <c r="I38" s="21"/>
      <c r="J38" s="22" t="s">
        <v>404</v>
      </c>
      <c r="K38" s="22" t="s">
        <v>262</v>
      </c>
      <c r="L38" s="21"/>
      <c r="M38" s="22" t="s">
        <v>2014</v>
      </c>
      <c r="N38" s="28" t="s">
        <v>2015</v>
      </c>
      <c r="O38" s="28" t="s">
        <v>2016</v>
      </c>
      <c r="P38" s="29">
        <v>33</v>
      </c>
      <c r="Q38" s="28" t="s">
        <v>2017</v>
      </c>
      <c r="R38" s="31">
        <v>3.3997252747250002</v>
      </c>
      <c r="S38" s="29">
        <v>624</v>
      </c>
      <c r="T38" s="32">
        <v>9.7066666666660009</v>
      </c>
      <c r="U38" s="32">
        <v>0</v>
      </c>
      <c r="V38" s="31">
        <v>3.3997252747250002</v>
      </c>
      <c r="W38" s="33">
        <v>46090</v>
      </c>
      <c r="X38" s="33">
        <v>46090</v>
      </c>
    </row>
    <row r="39" spans="1:24" ht="15.75" thickBot="1" x14ac:dyDescent="0.3">
      <c r="A39" t="str">
        <f t="shared" si="0"/>
        <v>C0240302</v>
      </c>
      <c r="B39" s="22" t="s">
        <v>1344</v>
      </c>
      <c r="C39" s="22" t="s">
        <v>2136</v>
      </c>
      <c r="D39" s="22" t="s">
        <v>2137</v>
      </c>
      <c r="E39" s="22" t="s">
        <v>2138</v>
      </c>
      <c r="F39" s="22" t="s">
        <v>2139</v>
      </c>
      <c r="G39" s="28" t="s">
        <v>2012</v>
      </c>
      <c r="H39" s="22" t="s">
        <v>2140</v>
      </c>
      <c r="I39" s="21"/>
      <c r="J39" s="22" t="s">
        <v>404</v>
      </c>
      <c r="K39" s="22" t="s">
        <v>924</v>
      </c>
      <c r="L39" s="21"/>
      <c r="M39" s="22" t="s">
        <v>2014</v>
      </c>
      <c r="N39" s="28" t="s">
        <v>2015</v>
      </c>
      <c r="O39" s="28" t="s">
        <v>2016</v>
      </c>
      <c r="P39" s="29">
        <v>11073</v>
      </c>
      <c r="Q39" s="28" t="s">
        <v>2017</v>
      </c>
      <c r="R39" s="31">
        <v>3.9111852433280001</v>
      </c>
      <c r="S39" s="29">
        <v>182000</v>
      </c>
      <c r="T39" s="32">
        <v>2831.1111111111099</v>
      </c>
      <c r="U39" s="32">
        <v>0</v>
      </c>
      <c r="V39" s="31">
        <v>3.9111852433280001</v>
      </c>
      <c r="W39" s="33">
        <v>46090</v>
      </c>
      <c r="X39" s="33">
        <v>46090</v>
      </c>
    </row>
    <row r="40" spans="1:24" ht="15.75" thickBot="1" x14ac:dyDescent="0.3">
      <c r="A40" t="str">
        <f t="shared" si="0"/>
        <v>DET17A040A</v>
      </c>
      <c r="B40" s="22" t="s">
        <v>1399</v>
      </c>
      <c r="C40" s="22" t="s">
        <v>2141</v>
      </c>
      <c r="D40" s="22" t="s">
        <v>2142</v>
      </c>
      <c r="E40" s="21"/>
      <c r="F40" s="22" t="s">
        <v>2143</v>
      </c>
      <c r="G40" s="28" t="s">
        <v>2012</v>
      </c>
      <c r="H40" s="22" t="s">
        <v>2013</v>
      </c>
      <c r="I40" s="21"/>
      <c r="J40" s="22" t="s">
        <v>261</v>
      </c>
      <c r="K40" s="22" t="s">
        <v>924</v>
      </c>
      <c r="L40" s="21"/>
      <c r="M40" s="22" t="s">
        <v>2034</v>
      </c>
      <c r="N40" s="28" t="s">
        <v>2015</v>
      </c>
      <c r="O40" s="28" t="s">
        <v>2016</v>
      </c>
      <c r="P40" s="29">
        <v>345</v>
      </c>
      <c r="Q40" s="28" t="s">
        <v>2017</v>
      </c>
      <c r="R40" s="31">
        <v>1.634382566585</v>
      </c>
      <c r="S40" s="29">
        <v>13570</v>
      </c>
      <c r="T40" s="32">
        <v>211.08888888888899</v>
      </c>
      <c r="U40" s="32">
        <v>0</v>
      </c>
      <c r="V40" s="31">
        <v>1.634382566585</v>
      </c>
      <c r="W40" s="33">
        <v>46088</v>
      </c>
      <c r="X40" s="33">
        <v>46090</v>
      </c>
    </row>
    <row r="41" spans="1:24" ht="15.75" thickBot="1" x14ac:dyDescent="0.3">
      <c r="A41" t="str">
        <f t="shared" si="0"/>
        <v>DET2102892MB</v>
      </c>
      <c r="B41" s="22" t="s">
        <v>1195</v>
      </c>
      <c r="C41" s="22" t="s">
        <v>2144</v>
      </c>
      <c r="D41" s="22" t="s">
        <v>2145</v>
      </c>
      <c r="E41" s="22" t="s">
        <v>2146</v>
      </c>
      <c r="F41" s="22" t="s">
        <v>2147</v>
      </c>
      <c r="G41" s="28" t="s">
        <v>2012</v>
      </c>
      <c r="H41" s="22" t="s">
        <v>2080</v>
      </c>
      <c r="I41" s="21"/>
      <c r="J41" s="22" t="s">
        <v>261</v>
      </c>
      <c r="K41" s="22" t="s">
        <v>924</v>
      </c>
      <c r="L41" s="21"/>
      <c r="M41" s="22" t="s">
        <v>2034</v>
      </c>
      <c r="N41" s="28" t="s">
        <v>2015</v>
      </c>
      <c r="O41" s="28" t="s">
        <v>2016</v>
      </c>
      <c r="P41" s="29">
        <v>932</v>
      </c>
      <c r="Q41" s="28" t="s">
        <v>2017</v>
      </c>
      <c r="R41" s="31">
        <v>3.8313266219640001</v>
      </c>
      <c r="S41" s="29">
        <v>15638</v>
      </c>
      <c r="T41" s="32">
        <v>243.25777777777799</v>
      </c>
      <c r="U41" s="32">
        <v>0</v>
      </c>
      <c r="V41" s="31">
        <v>3.8313266219640001</v>
      </c>
      <c r="W41" s="33">
        <v>46090</v>
      </c>
      <c r="X41" s="33">
        <v>46090</v>
      </c>
    </row>
    <row r="42" spans="1:24" ht="15.75" thickBot="1" x14ac:dyDescent="0.3">
      <c r="A42" t="str">
        <f t="shared" si="0"/>
        <v>DET2610116A</v>
      </c>
      <c r="B42" s="22" t="s">
        <v>1265</v>
      </c>
      <c r="C42" s="22" t="s">
        <v>2148</v>
      </c>
      <c r="D42" s="22" t="s">
        <v>2149</v>
      </c>
      <c r="E42" s="22" t="s">
        <v>2150</v>
      </c>
      <c r="F42" s="22" t="s">
        <v>2151</v>
      </c>
      <c r="G42" s="28" t="s">
        <v>2012</v>
      </c>
      <c r="H42" s="22" t="s">
        <v>2080</v>
      </c>
      <c r="I42" s="21"/>
      <c r="J42" s="22" t="s">
        <v>494</v>
      </c>
      <c r="K42" s="22" t="s">
        <v>924</v>
      </c>
      <c r="L42" s="21"/>
      <c r="M42" s="22" t="s">
        <v>2034</v>
      </c>
      <c r="N42" s="28" t="s">
        <v>2015</v>
      </c>
      <c r="O42" s="28" t="s">
        <v>2016</v>
      </c>
      <c r="P42" s="29">
        <v>885</v>
      </c>
      <c r="Q42" s="28" t="s">
        <v>2017</v>
      </c>
      <c r="R42" s="31">
        <v>3.3957775541870001</v>
      </c>
      <c r="S42" s="29">
        <v>16754</v>
      </c>
      <c r="T42" s="32">
        <v>260.61777777777797</v>
      </c>
      <c r="U42" s="32">
        <v>0</v>
      </c>
      <c r="V42" s="31">
        <v>3.3957775541870001</v>
      </c>
      <c r="W42" s="33">
        <v>46090</v>
      </c>
      <c r="X42" s="33">
        <v>46090</v>
      </c>
    </row>
    <row r="43" spans="1:24" ht="15.75" thickBot="1" x14ac:dyDescent="0.3">
      <c r="A43" t="str">
        <f t="shared" si="0"/>
        <v>DET2610117A</v>
      </c>
      <c r="B43" s="22" t="s">
        <v>1267</v>
      </c>
      <c r="C43" s="22" t="s">
        <v>2152</v>
      </c>
      <c r="D43" s="22" t="s">
        <v>2149</v>
      </c>
      <c r="E43" s="22" t="s">
        <v>2153</v>
      </c>
      <c r="F43" s="22" t="s">
        <v>2154</v>
      </c>
      <c r="G43" s="28" t="s">
        <v>2012</v>
      </c>
      <c r="H43" s="22" t="s">
        <v>2080</v>
      </c>
      <c r="I43" s="21"/>
      <c r="J43" s="22" t="s">
        <v>494</v>
      </c>
      <c r="K43" s="22" t="s">
        <v>924</v>
      </c>
      <c r="L43" s="21"/>
      <c r="M43" s="22" t="s">
        <v>2034</v>
      </c>
      <c r="N43" s="28" t="s">
        <v>2015</v>
      </c>
      <c r="O43" s="28" t="s">
        <v>2016</v>
      </c>
      <c r="P43" s="29">
        <v>262</v>
      </c>
      <c r="Q43" s="28" t="s">
        <v>2017</v>
      </c>
      <c r="R43" s="31">
        <v>1.013165131307</v>
      </c>
      <c r="S43" s="29">
        <v>16624</v>
      </c>
      <c r="T43" s="32">
        <v>258.59555555555602</v>
      </c>
      <c r="U43" s="32">
        <v>0</v>
      </c>
      <c r="V43" s="31">
        <v>1.013165131307</v>
      </c>
      <c r="W43" s="33">
        <v>46088</v>
      </c>
      <c r="X43" s="33">
        <v>46090</v>
      </c>
    </row>
    <row r="44" spans="1:24" ht="15.75" thickBot="1" x14ac:dyDescent="0.3">
      <c r="A44" t="str">
        <f t="shared" si="0"/>
        <v>DET2610130A</v>
      </c>
      <c r="B44" s="22" t="s">
        <v>1352</v>
      </c>
      <c r="C44" s="22" t="s">
        <v>2155</v>
      </c>
      <c r="D44" s="22" t="s">
        <v>2156</v>
      </c>
      <c r="E44" s="22" t="s">
        <v>2157</v>
      </c>
      <c r="F44" s="22" t="s">
        <v>2158</v>
      </c>
      <c r="G44" s="28" t="s">
        <v>2012</v>
      </c>
      <c r="H44" s="22" t="s">
        <v>2080</v>
      </c>
      <c r="I44" s="21"/>
      <c r="J44" s="22" t="s">
        <v>494</v>
      </c>
      <c r="K44" s="22" t="s">
        <v>924</v>
      </c>
      <c r="L44" s="21"/>
      <c r="M44" s="22" t="s">
        <v>2034</v>
      </c>
      <c r="N44" s="28" t="s">
        <v>2015</v>
      </c>
      <c r="O44" s="28" t="s">
        <v>2016</v>
      </c>
      <c r="P44" s="29">
        <v>1002</v>
      </c>
      <c r="Q44" s="28" t="s">
        <v>2017</v>
      </c>
      <c r="R44" s="31">
        <v>3.7276785714280001</v>
      </c>
      <c r="S44" s="29">
        <v>17280</v>
      </c>
      <c r="T44" s="32">
        <v>268.8</v>
      </c>
      <c r="U44" s="32">
        <v>0</v>
      </c>
      <c r="V44" s="31">
        <v>3.7276785714280001</v>
      </c>
      <c r="W44" s="33">
        <v>46090</v>
      </c>
      <c r="X44" s="33">
        <v>46090</v>
      </c>
    </row>
    <row r="45" spans="1:24" ht="15.75" thickBot="1" x14ac:dyDescent="0.3">
      <c r="A45" t="str">
        <f t="shared" si="0"/>
        <v>DET2613110A</v>
      </c>
      <c r="B45" s="22" t="s">
        <v>1428</v>
      </c>
      <c r="C45" s="22" t="s">
        <v>2159</v>
      </c>
      <c r="D45" s="22" t="s">
        <v>1429</v>
      </c>
      <c r="E45" s="22" t="s">
        <v>2159</v>
      </c>
      <c r="F45" s="22" t="s">
        <v>2160</v>
      </c>
      <c r="G45" s="28" t="s">
        <v>2012</v>
      </c>
      <c r="H45" s="22" t="s">
        <v>2080</v>
      </c>
      <c r="I45" s="21"/>
      <c r="J45" s="22" t="s">
        <v>494</v>
      </c>
      <c r="K45" s="22" t="s">
        <v>924</v>
      </c>
      <c r="L45" s="21"/>
      <c r="M45" s="22" t="s">
        <v>2034</v>
      </c>
      <c r="N45" s="28" t="s">
        <v>2015</v>
      </c>
      <c r="O45" s="28" t="s">
        <v>2016</v>
      </c>
      <c r="P45" s="29">
        <v>628</v>
      </c>
      <c r="Q45" s="28" t="s">
        <v>2017</v>
      </c>
      <c r="R45" s="31">
        <v>2.5338246765469998</v>
      </c>
      <c r="S45" s="29">
        <v>15933</v>
      </c>
      <c r="T45" s="32">
        <v>247.84666666666701</v>
      </c>
      <c r="U45" s="32">
        <v>0</v>
      </c>
      <c r="V45" s="31">
        <v>2.5338246765469998</v>
      </c>
      <c r="W45" s="33">
        <v>46089</v>
      </c>
      <c r="X45" s="33">
        <v>46090</v>
      </c>
    </row>
    <row r="46" spans="1:24" ht="15.75" thickBot="1" x14ac:dyDescent="0.3">
      <c r="A46" t="str">
        <f t="shared" si="0"/>
        <v>DET26625A65A</v>
      </c>
      <c r="B46" s="22" t="s">
        <v>1583</v>
      </c>
      <c r="C46" s="22" t="s">
        <v>2161</v>
      </c>
      <c r="D46" s="22" t="s">
        <v>2162</v>
      </c>
      <c r="E46" s="22" t="s">
        <v>2065</v>
      </c>
      <c r="F46" s="22" t="s">
        <v>2163</v>
      </c>
      <c r="G46" s="28" t="s">
        <v>2012</v>
      </c>
      <c r="H46" s="22" t="s">
        <v>2080</v>
      </c>
      <c r="I46" s="21"/>
      <c r="J46" s="22" t="s">
        <v>494</v>
      </c>
      <c r="K46" s="22" t="s">
        <v>924</v>
      </c>
      <c r="L46" s="21"/>
      <c r="M46" s="22" t="s">
        <v>2034</v>
      </c>
      <c r="N46" s="28" t="s">
        <v>2015</v>
      </c>
      <c r="O46" s="28" t="s">
        <v>2016</v>
      </c>
      <c r="P46" s="29">
        <v>1050</v>
      </c>
      <c r="Q46" s="28" t="s">
        <v>2017</v>
      </c>
      <c r="R46" s="31">
        <v>3.9556962025310001</v>
      </c>
      <c r="S46" s="29">
        <v>17064</v>
      </c>
      <c r="T46" s="32">
        <v>265.44</v>
      </c>
      <c r="U46" s="32">
        <v>0</v>
      </c>
      <c r="V46" s="31">
        <v>3.9556962025310001</v>
      </c>
      <c r="W46" s="33">
        <v>46090</v>
      </c>
      <c r="X46" s="33">
        <v>46090</v>
      </c>
    </row>
    <row r="47" spans="1:24" ht="15.75" thickBot="1" x14ac:dyDescent="0.3">
      <c r="A47" t="str">
        <f t="shared" si="0"/>
        <v>DET2K004OS</v>
      </c>
      <c r="B47" s="22" t="s">
        <v>1584</v>
      </c>
      <c r="C47" s="21"/>
      <c r="D47" s="22" t="s">
        <v>2164</v>
      </c>
      <c r="E47" s="21"/>
      <c r="F47" s="22" t="s">
        <v>2165</v>
      </c>
      <c r="G47" s="28" t="s">
        <v>2012</v>
      </c>
      <c r="H47" s="22" t="s">
        <v>2013</v>
      </c>
      <c r="I47" s="21"/>
      <c r="J47" s="22" t="s">
        <v>494</v>
      </c>
      <c r="K47" s="22" t="s">
        <v>924</v>
      </c>
      <c r="L47" s="21"/>
      <c r="M47" s="22" t="s">
        <v>2034</v>
      </c>
      <c r="N47" s="28" t="s">
        <v>2015</v>
      </c>
      <c r="O47" s="28" t="s">
        <v>2016</v>
      </c>
      <c r="P47" s="29">
        <v>3394</v>
      </c>
      <c r="Q47" s="28" t="s">
        <v>2017</v>
      </c>
      <c r="R47" s="31">
        <v>3.8736922198969999</v>
      </c>
      <c r="S47" s="29">
        <v>56325</v>
      </c>
      <c r="T47" s="32">
        <v>876.16666666666697</v>
      </c>
      <c r="U47" s="32">
        <v>0</v>
      </c>
      <c r="V47" s="31">
        <v>3.8736922198969999</v>
      </c>
      <c r="W47" s="33">
        <v>46090</v>
      </c>
      <c r="X47" s="33">
        <v>46090</v>
      </c>
    </row>
    <row r="48" spans="1:24" ht="15.75" thickBot="1" x14ac:dyDescent="0.3">
      <c r="A48" t="str">
        <f t="shared" si="0"/>
        <v>DET5811271</v>
      </c>
      <c r="B48" s="22" t="s">
        <v>1446</v>
      </c>
      <c r="C48" s="22" t="s">
        <v>2166</v>
      </c>
      <c r="D48" s="22" t="s">
        <v>2167</v>
      </c>
      <c r="E48" s="21"/>
      <c r="F48" s="22" t="s">
        <v>2168</v>
      </c>
      <c r="G48" s="28" t="s">
        <v>2012</v>
      </c>
      <c r="H48" s="22" t="s">
        <v>2055</v>
      </c>
      <c r="I48" s="21"/>
      <c r="J48" s="22" t="s">
        <v>364</v>
      </c>
      <c r="K48" s="22" t="s">
        <v>924</v>
      </c>
      <c r="L48" s="21"/>
      <c r="M48" s="22" t="s">
        <v>2034</v>
      </c>
      <c r="N48" s="28" t="s">
        <v>2015</v>
      </c>
      <c r="O48" s="28" t="s">
        <v>2016</v>
      </c>
      <c r="P48" s="29">
        <v>3640</v>
      </c>
      <c r="Q48" s="28" t="s">
        <v>2017</v>
      </c>
      <c r="R48" s="31">
        <v>3.83638003115</v>
      </c>
      <c r="S48" s="29">
        <v>60995</v>
      </c>
      <c r="T48" s="32">
        <v>948.81111111111102</v>
      </c>
      <c r="U48" s="32">
        <v>0</v>
      </c>
      <c r="V48" s="31">
        <v>3.83638003115</v>
      </c>
      <c r="W48" s="33">
        <v>46090</v>
      </c>
      <c r="X48" s="33">
        <v>46090</v>
      </c>
    </row>
    <row r="49" spans="1:24" ht="15.75" thickBot="1" x14ac:dyDescent="0.3">
      <c r="A49" t="str">
        <f t="shared" si="0"/>
        <v>DET58112K76A</v>
      </c>
      <c r="B49" s="22" t="s">
        <v>1222</v>
      </c>
      <c r="C49" s="22" t="s">
        <v>2081</v>
      </c>
      <c r="D49" s="22" t="s">
        <v>2169</v>
      </c>
      <c r="E49" s="22" t="s">
        <v>2082</v>
      </c>
      <c r="F49" s="22" t="s">
        <v>2170</v>
      </c>
      <c r="G49" s="28" t="s">
        <v>2012</v>
      </c>
      <c r="H49" s="22" t="s">
        <v>2080</v>
      </c>
      <c r="I49" s="21"/>
      <c r="J49" s="22" t="s">
        <v>261</v>
      </c>
      <c r="K49" s="22" t="s">
        <v>924</v>
      </c>
      <c r="L49" s="21"/>
      <c r="M49" s="22" t="s">
        <v>2034</v>
      </c>
      <c r="N49" s="28" t="s">
        <v>2015</v>
      </c>
      <c r="O49" s="28" t="s">
        <v>2016</v>
      </c>
      <c r="P49" s="29">
        <v>1556</v>
      </c>
      <c r="Q49" s="28" t="s">
        <v>2017</v>
      </c>
      <c r="R49" s="31">
        <v>1.697413396038</v>
      </c>
      <c r="S49" s="29">
        <v>58930</v>
      </c>
      <c r="T49" s="32">
        <v>916.68888888888898</v>
      </c>
      <c r="U49" s="32">
        <v>0</v>
      </c>
      <c r="V49" s="31">
        <v>1.697413396038</v>
      </c>
      <c r="W49" s="33">
        <v>46088</v>
      </c>
      <c r="X49" s="33">
        <v>46090</v>
      </c>
    </row>
    <row r="50" spans="1:24" ht="15.75" thickBot="1" x14ac:dyDescent="0.3">
      <c r="A50" t="str">
        <f t="shared" si="0"/>
        <v>DET58112K77A</v>
      </c>
      <c r="B50" s="22" t="s">
        <v>1224</v>
      </c>
      <c r="C50" s="22" t="s">
        <v>2076</v>
      </c>
      <c r="D50" s="22" t="s">
        <v>2169</v>
      </c>
      <c r="E50" s="22" t="s">
        <v>2084</v>
      </c>
      <c r="F50" s="22" t="s">
        <v>2171</v>
      </c>
      <c r="G50" s="28" t="s">
        <v>2012</v>
      </c>
      <c r="H50" s="22" t="s">
        <v>2080</v>
      </c>
      <c r="I50" s="21"/>
      <c r="J50" s="22" t="s">
        <v>261</v>
      </c>
      <c r="K50" s="22" t="s">
        <v>924</v>
      </c>
      <c r="L50" s="21"/>
      <c r="M50" s="22" t="s">
        <v>2034</v>
      </c>
      <c r="N50" s="28" t="s">
        <v>2015</v>
      </c>
      <c r="O50" s="28" t="s">
        <v>2016</v>
      </c>
      <c r="P50" s="29">
        <v>923</v>
      </c>
      <c r="Q50" s="28" t="s">
        <v>2017</v>
      </c>
      <c r="R50" s="31">
        <v>1.0033772031529999</v>
      </c>
      <c r="S50" s="29">
        <v>59136</v>
      </c>
      <c r="T50" s="32">
        <v>919.89333333333298</v>
      </c>
      <c r="U50" s="32">
        <v>0</v>
      </c>
      <c r="V50" s="31">
        <v>1.0033772031529999</v>
      </c>
      <c r="W50" s="33">
        <v>46088</v>
      </c>
      <c r="X50" s="33">
        <v>46090</v>
      </c>
    </row>
    <row r="51" spans="1:24" ht="15.75" thickBot="1" x14ac:dyDescent="0.3">
      <c r="A51" t="str">
        <f t="shared" si="0"/>
        <v>DET5B852</v>
      </c>
      <c r="B51" s="22" t="s">
        <v>1542</v>
      </c>
      <c r="C51" s="22" t="s">
        <v>2172</v>
      </c>
      <c r="D51" s="22" t="s">
        <v>2173</v>
      </c>
      <c r="E51" s="21"/>
      <c r="F51" s="22" t="s">
        <v>2174</v>
      </c>
      <c r="G51" s="28" t="s">
        <v>2012</v>
      </c>
      <c r="H51" s="22" t="s">
        <v>2055</v>
      </c>
      <c r="I51" s="21"/>
      <c r="J51" s="22" t="s">
        <v>364</v>
      </c>
      <c r="K51" s="22" t="s">
        <v>924</v>
      </c>
      <c r="L51" s="21"/>
      <c r="M51" s="22" t="s">
        <v>2034</v>
      </c>
      <c r="N51" s="28" t="s">
        <v>2015</v>
      </c>
      <c r="O51" s="28" t="s">
        <v>2016</v>
      </c>
      <c r="P51" s="29">
        <v>1961</v>
      </c>
      <c r="Q51" s="28" t="s">
        <v>2017</v>
      </c>
      <c r="R51" s="31">
        <v>3.4924724544069998</v>
      </c>
      <c r="S51" s="29">
        <v>36096</v>
      </c>
      <c r="T51" s="32">
        <v>561.493333333333</v>
      </c>
      <c r="U51" s="32">
        <v>0</v>
      </c>
      <c r="V51" s="31">
        <v>3.4924724544069998</v>
      </c>
      <c r="W51" s="33">
        <v>46090</v>
      </c>
      <c r="X51" s="33">
        <v>46090</v>
      </c>
    </row>
    <row r="52" spans="1:24" ht="15.75" thickBot="1" x14ac:dyDescent="0.3">
      <c r="A52" t="str">
        <f t="shared" si="0"/>
        <v>DET68424074</v>
      </c>
      <c r="B52" s="22" t="s">
        <v>1115</v>
      </c>
      <c r="C52" s="22" t="s">
        <v>2175</v>
      </c>
      <c r="D52" s="22" t="s">
        <v>1116</v>
      </c>
      <c r="E52" s="21"/>
      <c r="F52" s="22" t="s">
        <v>2176</v>
      </c>
      <c r="G52" s="28" t="s">
        <v>2012</v>
      </c>
      <c r="H52" s="22" t="s">
        <v>2022</v>
      </c>
      <c r="I52" s="21"/>
      <c r="J52" s="22" t="s">
        <v>1117</v>
      </c>
      <c r="K52" s="22" t="s">
        <v>924</v>
      </c>
      <c r="L52" s="21"/>
      <c r="M52" s="22" t="s">
        <v>2034</v>
      </c>
      <c r="N52" s="28" t="s">
        <v>2015</v>
      </c>
      <c r="O52" s="28" t="s">
        <v>2016</v>
      </c>
      <c r="P52" s="29">
        <v>1012</v>
      </c>
      <c r="Q52" s="28" t="s">
        <v>2017</v>
      </c>
      <c r="R52" s="31">
        <v>2.6272975873159998</v>
      </c>
      <c r="S52" s="29">
        <v>24762</v>
      </c>
      <c r="T52" s="32">
        <v>385.18666666666701</v>
      </c>
      <c r="U52" s="32">
        <v>0</v>
      </c>
      <c r="V52" s="31">
        <v>2.6272975873159998</v>
      </c>
      <c r="W52" s="33">
        <v>46089</v>
      </c>
      <c r="X52" s="33">
        <v>46090</v>
      </c>
    </row>
    <row r="53" spans="1:24" ht="15.75" thickBot="1" x14ac:dyDescent="0.3">
      <c r="A53" t="str">
        <f t="shared" si="0"/>
        <v>DET68431601</v>
      </c>
      <c r="B53" s="22" t="s">
        <v>1120</v>
      </c>
      <c r="C53" s="22" t="s">
        <v>2177</v>
      </c>
      <c r="D53" s="22" t="s">
        <v>2178</v>
      </c>
      <c r="E53" s="21"/>
      <c r="F53" s="22" t="s">
        <v>2179</v>
      </c>
      <c r="G53" s="28" t="s">
        <v>2012</v>
      </c>
      <c r="H53" s="22" t="s">
        <v>2022</v>
      </c>
      <c r="I53" s="21"/>
      <c r="J53" s="22" t="s">
        <v>1117</v>
      </c>
      <c r="K53" s="22" t="s">
        <v>924</v>
      </c>
      <c r="L53" s="21"/>
      <c r="M53" s="22" t="s">
        <v>2034</v>
      </c>
      <c r="N53" s="28" t="s">
        <v>2015</v>
      </c>
      <c r="O53" s="28" t="s">
        <v>2016</v>
      </c>
      <c r="P53" s="29">
        <v>913</v>
      </c>
      <c r="Q53" s="28" t="s">
        <v>2017</v>
      </c>
      <c r="R53" s="31">
        <v>2.0578100113189999</v>
      </c>
      <c r="S53" s="29">
        <v>28522</v>
      </c>
      <c r="T53" s="32">
        <v>443.67555555555498</v>
      </c>
      <c r="U53" s="32">
        <v>0</v>
      </c>
      <c r="V53" s="31">
        <v>2.0578100113189999</v>
      </c>
      <c r="W53" s="33">
        <v>46089</v>
      </c>
      <c r="X53" s="33">
        <v>46090</v>
      </c>
    </row>
    <row r="54" spans="1:24" ht="15.75" thickBot="1" x14ac:dyDescent="0.3">
      <c r="A54" t="str">
        <f t="shared" si="0"/>
        <v>DET8A297PIA02OS</v>
      </c>
      <c r="B54" s="22" t="s">
        <v>1571</v>
      </c>
      <c r="C54" s="22" t="s">
        <v>2180</v>
      </c>
      <c r="D54" s="22" t="s">
        <v>2181</v>
      </c>
      <c r="E54" s="21"/>
      <c r="F54" s="22" t="s">
        <v>2139</v>
      </c>
      <c r="G54" s="28" t="s">
        <v>2012</v>
      </c>
      <c r="H54" s="22" t="s">
        <v>2013</v>
      </c>
      <c r="I54" s="21"/>
      <c r="J54" s="22" t="s">
        <v>1128</v>
      </c>
      <c r="K54" s="22" t="s">
        <v>924</v>
      </c>
      <c r="L54" s="21"/>
      <c r="M54" s="22" t="s">
        <v>2014</v>
      </c>
      <c r="N54" s="28" t="s">
        <v>2015</v>
      </c>
      <c r="O54" s="28" t="s">
        <v>2016</v>
      </c>
      <c r="P54" s="29">
        <v>1671</v>
      </c>
      <c r="Q54" s="28" t="s">
        <v>2017</v>
      </c>
      <c r="R54" s="31">
        <v>1.4134398496239999</v>
      </c>
      <c r="S54" s="29">
        <v>76000</v>
      </c>
      <c r="T54" s="32">
        <v>1182.2222222222199</v>
      </c>
      <c r="U54" s="32">
        <v>0</v>
      </c>
      <c r="V54" s="31">
        <v>1.4134398496239999</v>
      </c>
      <c r="W54" s="33">
        <v>46088</v>
      </c>
      <c r="X54" s="33">
        <v>46090</v>
      </c>
    </row>
    <row r="55" spans="1:24" ht="15.75" thickBot="1" x14ac:dyDescent="0.3">
      <c r="A55" t="str">
        <f t="shared" si="0"/>
        <v>DETE10832A</v>
      </c>
      <c r="B55" s="22" t="s">
        <v>1131</v>
      </c>
      <c r="C55" s="22" t="s">
        <v>2182</v>
      </c>
      <c r="D55" s="22" t="s">
        <v>2183</v>
      </c>
      <c r="E55" s="21"/>
      <c r="F55" s="22" t="s">
        <v>2184</v>
      </c>
      <c r="G55" s="28" t="s">
        <v>2012</v>
      </c>
      <c r="H55" s="22" t="s">
        <v>2080</v>
      </c>
      <c r="I55" s="21"/>
      <c r="J55" s="22" t="s">
        <v>261</v>
      </c>
      <c r="K55" s="22" t="s">
        <v>924</v>
      </c>
      <c r="L55" s="21"/>
      <c r="M55" s="22" t="s">
        <v>2034</v>
      </c>
      <c r="N55" s="28" t="s">
        <v>2015</v>
      </c>
      <c r="O55" s="28" t="s">
        <v>2016</v>
      </c>
      <c r="P55" s="29">
        <v>1176</v>
      </c>
      <c r="Q55" s="28" t="s">
        <v>2017</v>
      </c>
      <c r="R55" s="31">
        <v>2.218309859154</v>
      </c>
      <c r="S55" s="29">
        <v>34080</v>
      </c>
      <c r="T55" s="32">
        <v>530.13333333333298</v>
      </c>
      <c r="U55" s="32">
        <v>0</v>
      </c>
      <c r="V55" s="31">
        <v>2.218309859154</v>
      </c>
      <c r="W55" s="33">
        <v>46089</v>
      </c>
      <c r="X55" s="33">
        <v>46090</v>
      </c>
    </row>
    <row r="56" spans="1:24" ht="15.75" thickBot="1" x14ac:dyDescent="0.3">
      <c r="A56" t="str">
        <f t="shared" si="0"/>
        <v>DETE200L76A</v>
      </c>
      <c r="B56" s="22" t="s">
        <v>1227</v>
      </c>
      <c r="C56" s="22" t="s">
        <v>2185</v>
      </c>
      <c r="D56" s="22" t="s">
        <v>2186</v>
      </c>
      <c r="E56" s="22" t="s">
        <v>2187</v>
      </c>
      <c r="F56" s="22" t="s">
        <v>2188</v>
      </c>
      <c r="G56" s="28" t="s">
        <v>2012</v>
      </c>
      <c r="H56" s="22" t="s">
        <v>2055</v>
      </c>
      <c r="I56" s="21"/>
      <c r="J56" s="22" t="s">
        <v>261</v>
      </c>
      <c r="K56" s="22" t="s">
        <v>924</v>
      </c>
      <c r="L56" s="21"/>
      <c r="M56" s="22" t="s">
        <v>2034</v>
      </c>
      <c r="N56" s="28" t="s">
        <v>2015</v>
      </c>
      <c r="O56" s="28" t="s">
        <v>2016</v>
      </c>
      <c r="P56" s="29">
        <v>669</v>
      </c>
      <c r="Q56" s="28" t="s">
        <v>2017</v>
      </c>
      <c r="R56" s="31">
        <v>2.7023024101250002</v>
      </c>
      <c r="S56" s="29">
        <v>15915</v>
      </c>
      <c r="T56" s="32">
        <v>247.566666666667</v>
      </c>
      <c r="U56" s="32">
        <v>0</v>
      </c>
      <c r="V56" s="31">
        <v>2.7023024101250002</v>
      </c>
      <c r="W56" s="33">
        <v>46089</v>
      </c>
      <c r="X56" s="33">
        <v>46090</v>
      </c>
    </row>
    <row r="57" spans="1:24" ht="15.75" thickBot="1" x14ac:dyDescent="0.3">
      <c r="A57" t="str">
        <f t="shared" si="0"/>
        <v>DETE280K21AB</v>
      </c>
      <c r="B57" s="22" t="s">
        <v>1483</v>
      </c>
      <c r="C57" s="22" t="s">
        <v>2189</v>
      </c>
      <c r="D57" s="22" t="s">
        <v>2190</v>
      </c>
      <c r="E57" s="21"/>
      <c r="F57" s="22" t="s">
        <v>2191</v>
      </c>
      <c r="G57" s="28" t="s">
        <v>2012</v>
      </c>
      <c r="H57" s="22" t="s">
        <v>2013</v>
      </c>
      <c r="I57" s="21"/>
      <c r="J57" s="22" t="s">
        <v>261</v>
      </c>
      <c r="K57" s="22" t="s">
        <v>924</v>
      </c>
      <c r="L57" s="21"/>
      <c r="M57" s="22" t="s">
        <v>2034</v>
      </c>
      <c r="N57" s="28" t="s">
        <v>2015</v>
      </c>
      <c r="O57" s="28" t="s">
        <v>2016</v>
      </c>
      <c r="P57" s="29">
        <v>301</v>
      </c>
      <c r="Q57" s="28" t="s">
        <v>2017</v>
      </c>
      <c r="R57" s="31">
        <v>1.2152995854790001</v>
      </c>
      <c r="S57" s="29">
        <v>15922</v>
      </c>
      <c r="T57" s="32">
        <v>247.675555555556</v>
      </c>
      <c r="U57" s="32">
        <v>0</v>
      </c>
      <c r="V57" s="31">
        <v>1.2152995854790001</v>
      </c>
      <c r="W57" s="33">
        <v>46088</v>
      </c>
      <c r="X57" s="33">
        <v>46090</v>
      </c>
    </row>
    <row r="58" spans="1:24" ht="15.75" thickBot="1" x14ac:dyDescent="0.3">
      <c r="A58" t="str">
        <f t="shared" si="0"/>
        <v>DETE286G50A</v>
      </c>
      <c r="B58" s="22" t="s">
        <v>1234</v>
      </c>
      <c r="C58" s="22" t="s">
        <v>2192</v>
      </c>
      <c r="D58" s="22" t="s">
        <v>2193</v>
      </c>
      <c r="E58" s="22" t="s">
        <v>2194</v>
      </c>
      <c r="F58" s="22" t="s">
        <v>2195</v>
      </c>
      <c r="G58" s="28" t="s">
        <v>2012</v>
      </c>
      <c r="H58" s="22" t="s">
        <v>2080</v>
      </c>
      <c r="I58" s="21"/>
      <c r="J58" s="22" t="s">
        <v>261</v>
      </c>
      <c r="K58" s="22" t="s">
        <v>924</v>
      </c>
      <c r="L58" s="21"/>
      <c r="M58" s="22" t="s">
        <v>2034</v>
      </c>
      <c r="N58" s="28" t="s">
        <v>2015</v>
      </c>
      <c r="O58" s="28" t="s">
        <v>2016</v>
      </c>
      <c r="P58" s="29">
        <v>552</v>
      </c>
      <c r="Q58" s="28" t="s">
        <v>2017</v>
      </c>
      <c r="R58" s="31">
        <v>2.0776179324180002</v>
      </c>
      <c r="S58" s="29">
        <v>17080</v>
      </c>
      <c r="T58" s="32">
        <v>265.68888888888898</v>
      </c>
      <c r="U58" s="32">
        <v>0</v>
      </c>
      <c r="V58" s="31">
        <v>2.0776179324180002</v>
      </c>
      <c r="W58" s="33">
        <v>46089</v>
      </c>
      <c r="X58" s="33">
        <v>46090</v>
      </c>
    </row>
    <row r="59" spans="1:24" ht="15.75" thickBot="1" x14ac:dyDescent="0.3">
      <c r="A59" t="str">
        <f t="shared" si="0"/>
        <v>DETE312A48B</v>
      </c>
      <c r="B59" s="22" t="s">
        <v>1485</v>
      </c>
      <c r="C59" s="22" t="s">
        <v>2196</v>
      </c>
      <c r="D59" s="22" t="s">
        <v>2197</v>
      </c>
      <c r="E59" s="21"/>
      <c r="F59" s="22" t="s">
        <v>2198</v>
      </c>
      <c r="G59" s="28" t="s">
        <v>2012</v>
      </c>
      <c r="H59" s="22" t="s">
        <v>2013</v>
      </c>
      <c r="I59" s="21"/>
      <c r="J59" s="22" t="s">
        <v>261</v>
      </c>
      <c r="K59" s="22" t="s">
        <v>924</v>
      </c>
      <c r="L59" s="21"/>
      <c r="M59" s="22" t="s">
        <v>2034</v>
      </c>
      <c r="N59" s="28" t="s">
        <v>2015</v>
      </c>
      <c r="O59" s="28" t="s">
        <v>2016</v>
      </c>
      <c r="P59" s="29">
        <v>959</v>
      </c>
      <c r="Q59" s="28" t="s">
        <v>2017</v>
      </c>
      <c r="R59" s="31">
        <v>3.6249779502549999</v>
      </c>
      <c r="S59" s="29">
        <v>17007</v>
      </c>
      <c r="T59" s="32">
        <v>264.553333333333</v>
      </c>
      <c r="U59" s="32">
        <v>0</v>
      </c>
      <c r="V59" s="31">
        <v>3.6249779502549999</v>
      </c>
      <c r="W59" s="33">
        <v>46090</v>
      </c>
      <c r="X59" s="33">
        <v>46090</v>
      </c>
    </row>
    <row r="60" spans="1:24" ht="15.75" thickBot="1" x14ac:dyDescent="0.3">
      <c r="A60" t="str">
        <f t="shared" si="0"/>
        <v>DETX67111</v>
      </c>
      <c r="B60" s="22" t="s">
        <v>1307</v>
      </c>
      <c r="C60" s="22" t="s">
        <v>2199</v>
      </c>
      <c r="D60" s="22" t="s">
        <v>2200</v>
      </c>
      <c r="E60" s="21"/>
      <c r="F60" s="22" t="s">
        <v>2201</v>
      </c>
      <c r="G60" s="28" t="s">
        <v>2012</v>
      </c>
      <c r="H60" s="22" t="s">
        <v>2055</v>
      </c>
      <c r="I60" s="21"/>
      <c r="J60" s="22" t="s">
        <v>364</v>
      </c>
      <c r="K60" s="22" t="s">
        <v>924</v>
      </c>
      <c r="L60" s="21"/>
      <c r="M60" s="22" t="s">
        <v>2034</v>
      </c>
      <c r="N60" s="28" t="s">
        <v>2015</v>
      </c>
      <c r="O60" s="28" t="s">
        <v>2016</v>
      </c>
      <c r="P60" s="29">
        <v>59</v>
      </c>
      <c r="Q60" s="28" t="s">
        <v>2017</v>
      </c>
      <c r="R60" s="31">
        <v>3.9467816262820001</v>
      </c>
      <c r="S60" s="29">
        <v>961</v>
      </c>
      <c r="T60" s="32">
        <v>14.948888888888</v>
      </c>
      <c r="U60" s="32">
        <v>0</v>
      </c>
      <c r="V60" s="31">
        <v>3.9467816262820001</v>
      </c>
      <c r="W60" s="33">
        <v>46090</v>
      </c>
      <c r="X60" s="33">
        <v>46090</v>
      </c>
    </row>
    <row r="61" spans="1:24" ht="15.75" thickBot="1" x14ac:dyDescent="0.3">
      <c r="A61" t="str">
        <f t="shared" si="0"/>
        <v>DPCBEI82073G00R</v>
      </c>
      <c r="B61" s="22" t="s">
        <v>1382</v>
      </c>
      <c r="C61" s="22" t="s">
        <v>2202</v>
      </c>
      <c r="D61" s="22" t="s">
        <v>1383</v>
      </c>
      <c r="E61" s="21"/>
      <c r="F61" s="22" t="s">
        <v>2139</v>
      </c>
      <c r="G61" s="28" t="s">
        <v>2012</v>
      </c>
      <c r="H61" s="22" t="s">
        <v>2203</v>
      </c>
      <c r="I61" s="21"/>
      <c r="J61" s="22" t="s">
        <v>404</v>
      </c>
      <c r="K61" s="22" t="s">
        <v>924</v>
      </c>
      <c r="L61" s="21"/>
      <c r="M61" s="22" t="s">
        <v>2014</v>
      </c>
      <c r="N61" s="28" t="s">
        <v>2015</v>
      </c>
      <c r="O61" s="28" t="s">
        <v>2016</v>
      </c>
      <c r="P61" s="29">
        <v>4754</v>
      </c>
      <c r="Q61" s="28" t="s">
        <v>2017</v>
      </c>
      <c r="R61" s="31">
        <v>2.756261595547</v>
      </c>
      <c r="S61" s="29">
        <v>110880</v>
      </c>
      <c r="T61" s="32">
        <v>1724.8</v>
      </c>
      <c r="U61" s="32">
        <v>0</v>
      </c>
      <c r="V61" s="31">
        <v>2.756261595547</v>
      </c>
      <c r="W61" s="33">
        <v>46089</v>
      </c>
      <c r="X61" s="33">
        <v>46090</v>
      </c>
    </row>
    <row r="62" spans="1:24" ht="15.75" thickBot="1" x14ac:dyDescent="0.3">
      <c r="A62" t="str">
        <f t="shared" si="0"/>
        <v>DPCBEI82076G00L</v>
      </c>
      <c r="B62" s="22" t="s">
        <v>1384</v>
      </c>
      <c r="C62" s="22" t="s">
        <v>2204</v>
      </c>
      <c r="D62" s="22" t="s">
        <v>1385</v>
      </c>
      <c r="E62" s="21"/>
      <c r="F62" s="22" t="s">
        <v>2139</v>
      </c>
      <c r="G62" s="28" t="s">
        <v>2012</v>
      </c>
      <c r="H62" s="22" t="s">
        <v>2203</v>
      </c>
      <c r="I62" s="21"/>
      <c r="J62" s="22" t="s">
        <v>404</v>
      </c>
      <c r="K62" s="22" t="s">
        <v>924</v>
      </c>
      <c r="L62" s="21"/>
      <c r="M62" s="22" t="s">
        <v>2014</v>
      </c>
      <c r="N62" s="28" t="s">
        <v>2015</v>
      </c>
      <c r="O62" s="28" t="s">
        <v>2016</v>
      </c>
      <c r="P62" s="29">
        <v>4089</v>
      </c>
      <c r="Q62" s="28" t="s">
        <v>2017</v>
      </c>
      <c r="R62" s="31">
        <v>2.370709647495</v>
      </c>
      <c r="S62" s="29">
        <v>110880</v>
      </c>
      <c r="T62" s="32">
        <v>1724.8</v>
      </c>
      <c r="U62" s="32">
        <v>0</v>
      </c>
      <c r="V62" s="31">
        <v>2.370709647495</v>
      </c>
      <c r="W62" s="33">
        <v>46089</v>
      </c>
      <c r="X62" s="33">
        <v>46090</v>
      </c>
    </row>
    <row r="63" spans="1:24" ht="15.75" thickBot="1" x14ac:dyDescent="0.3">
      <c r="A63" t="str">
        <f t="shared" si="0"/>
        <v>KB3B 17G750 AE</v>
      </c>
      <c r="B63" s="22" t="s">
        <v>645</v>
      </c>
      <c r="C63" s="22" t="s">
        <v>2205</v>
      </c>
      <c r="D63" s="22" t="s">
        <v>2206</v>
      </c>
      <c r="E63" s="21"/>
      <c r="F63" s="22" t="s">
        <v>2207</v>
      </c>
      <c r="G63" s="28" t="s">
        <v>2012</v>
      </c>
      <c r="H63" s="22" t="s">
        <v>2080</v>
      </c>
      <c r="I63" s="21"/>
      <c r="J63" s="22" t="s">
        <v>494</v>
      </c>
      <c r="K63" s="22" t="s">
        <v>262</v>
      </c>
      <c r="L63" s="21"/>
      <c r="M63" s="22" t="s">
        <v>2014</v>
      </c>
      <c r="N63" s="28" t="s">
        <v>2015</v>
      </c>
      <c r="O63" s="28" t="s">
        <v>2016</v>
      </c>
      <c r="P63" s="29">
        <v>40</v>
      </c>
      <c r="Q63" s="28" t="s">
        <v>2017</v>
      </c>
      <c r="R63" s="31">
        <v>3.6014405762299999</v>
      </c>
      <c r="S63" s="29">
        <v>714</v>
      </c>
      <c r="T63" s="32">
        <v>11.106666666665999</v>
      </c>
      <c r="U63" s="32">
        <v>0</v>
      </c>
      <c r="V63" s="31">
        <v>3.6014405762299999</v>
      </c>
      <c r="W63" s="33">
        <v>46090</v>
      </c>
      <c r="X63" s="33">
        <v>46090</v>
      </c>
    </row>
    <row r="64" spans="1:24" ht="15.75" thickBot="1" x14ac:dyDescent="0.3">
      <c r="A64" t="str">
        <f t="shared" si="0"/>
        <v>KB3B 2616G040 AE3ZHE</v>
      </c>
      <c r="B64" s="22" t="s">
        <v>528</v>
      </c>
      <c r="C64" s="22" t="s">
        <v>2208</v>
      </c>
      <c r="D64" s="22" t="s">
        <v>2209</v>
      </c>
      <c r="E64" s="21"/>
      <c r="F64" s="22" t="s">
        <v>2210</v>
      </c>
      <c r="G64" s="28" t="s">
        <v>2012</v>
      </c>
      <c r="H64" s="22" t="s">
        <v>2080</v>
      </c>
      <c r="I64" s="21"/>
      <c r="J64" s="22" t="s">
        <v>494</v>
      </c>
      <c r="K64" s="22" t="s">
        <v>262</v>
      </c>
      <c r="L64" s="21"/>
      <c r="M64" s="22" t="s">
        <v>2014</v>
      </c>
      <c r="N64" s="28" t="s">
        <v>2015</v>
      </c>
      <c r="O64" s="28" t="s">
        <v>2016</v>
      </c>
      <c r="P64" s="29">
        <v>692</v>
      </c>
      <c r="Q64" s="28" t="s">
        <v>2017</v>
      </c>
      <c r="R64" s="31">
        <v>2.6235972095840001</v>
      </c>
      <c r="S64" s="29">
        <v>16956</v>
      </c>
      <c r="T64" s="32">
        <v>263.76</v>
      </c>
      <c r="U64" s="32">
        <v>0</v>
      </c>
      <c r="V64" s="31">
        <v>2.6235972095840001</v>
      </c>
      <c r="W64" s="33">
        <v>46089</v>
      </c>
      <c r="X64" s="33">
        <v>46090</v>
      </c>
    </row>
    <row r="65" spans="1:24" ht="15.75" thickBot="1" x14ac:dyDescent="0.3">
      <c r="A65" t="str">
        <f t="shared" si="0"/>
        <v>KB3B 2616G041 AE3ZHE</v>
      </c>
      <c r="B65" s="22" t="s">
        <v>530</v>
      </c>
      <c r="C65" s="22" t="s">
        <v>2211</v>
      </c>
      <c r="D65" s="22" t="s">
        <v>2212</v>
      </c>
      <c r="E65" s="21"/>
      <c r="F65" s="22" t="s">
        <v>2210</v>
      </c>
      <c r="G65" s="28" t="s">
        <v>2012</v>
      </c>
      <c r="H65" s="22" t="s">
        <v>2080</v>
      </c>
      <c r="I65" s="21"/>
      <c r="J65" s="22" t="s">
        <v>494</v>
      </c>
      <c r="K65" s="22" t="s">
        <v>262</v>
      </c>
      <c r="L65" s="21"/>
      <c r="M65" s="22" t="s">
        <v>2014</v>
      </c>
      <c r="N65" s="28" t="s">
        <v>2015</v>
      </c>
      <c r="O65" s="28" t="s">
        <v>2016</v>
      </c>
      <c r="P65" s="29">
        <v>448</v>
      </c>
      <c r="Q65" s="28" t="s">
        <v>2017</v>
      </c>
      <c r="R65" s="31">
        <v>1.6895459345299999</v>
      </c>
      <c r="S65" s="29">
        <v>17046</v>
      </c>
      <c r="T65" s="32">
        <v>265.16000000000003</v>
      </c>
      <c r="U65" s="32">
        <v>0</v>
      </c>
      <c r="V65" s="31">
        <v>1.6895459345299999</v>
      </c>
      <c r="W65" s="33">
        <v>46088</v>
      </c>
      <c r="X65" s="33">
        <v>46090</v>
      </c>
    </row>
    <row r="66" spans="1:24" ht="15.75" thickBot="1" x14ac:dyDescent="0.3">
      <c r="A66" t="str">
        <f t="shared" si="0"/>
        <v>KB3B 26243C02 AG</v>
      </c>
      <c r="B66" s="22" t="s">
        <v>514</v>
      </c>
      <c r="C66" s="22" t="s">
        <v>2213</v>
      </c>
      <c r="D66" s="22" t="s">
        <v>2214</v>
      </c>
      <c r="E66" s="21"/>
      <c r="F66" s="22" t="s">
        <v>2215</v>
      </c>
      <c r="G66" s="28" t="s">
        <v>2012</v>
      </c>
      <c r="H66" s="22" t="s">
        <v>2080</v>
      </c>
      <c r="I66" s="21"/>
      <c r="J66" s="22" t="s">
        <v>494</v>
      </c>
      <c r="K66" s="22" t="s">
        <v>262</v>
      </c>
      <c r="L66" s="21"/>
      <c r="M66" s="22" t="s">
        <v>2014</v>
      </c>
      <c r="N66" s="28" t="s">
        <v>2015</v>
      </c>
      <c r="O66" s="28" t="s">
        <v>2016</v>
      </c>
      <c r="P66" s="29">
        <v>910</v>
      </c>
      <c r="Q66" s="28" t="s">
        <v>2017</v>
      </c>
      <c r="R66" s="31">
        <v>3.327455776121</v>
      </c>
      <c r="S66" s="29">
        <v>17581</v>
      </c>
      <c r="T66" s="32">
        <v>273.48222222222199</v>
      </c>
      <c r="U66" s="32">
        <v>0</v>
      </c>
      <c r="V66" s="31">
        <v>3.327455776121</v>
      </c>
      <c r="W66" s="33">
        <v>46090</v>
      </c>
      <c r="X66" s="33">
        <v>46090</v>
      </c>
    </row>
    <row r="67" spans="1:24" ht="15.75" thickBot="1" x14ac:dyDescent="0.3">
      <c r="A67" t="str">
        <f t="shared" si="0"/>
        <v>KB3B 26403E42 AA</v>
      </c>
      <c r="B67" s="22" t="s">
        <v>1908</v>
      </c>
      <c r="C67" s="22" t="s">
        <v>2216</v>
      </c>
      <c r="D67" s="22" t="s">
        <v>2217</v>
      </c>
      <c r="E67" s="21"/>
      <c r="F67" s="22" t="s">
        <v>2030</v>
      </c>
      <c r="G67" s="28" t="s">
        <v>2012</v>
      </c>
      <c r="H67" s="22" t="s">
        <v>2080</v>
      </c>
      <c r="I67" s="21"/>
      <c r="J67" s="22" t="s">
        <v>494</v>
      </c>
      <c r="K67" s="22" t="s">
        <v>924</v>
      </c>
      <c r="L67" s="21"/>
      <c r="M67" s="22" t="s">
        <v>2014</v>
      </c>
      <c r="N67" s="28" t="s">
        <v>2015</v>
      </c>
      <c r="O67" s="28" t="s">
        <v>2016</v>
      </c>
      <c r="P67" s="29">
        <v>742</v>
      </c>
      <c r="Q67" s="28" t="s">
        <v>2017</v>
      </c>
      <c r="R67" s="31">
        <v>2.5313097007000001</v>
      </c>
      <c r="S67" s="29">
        <v>18844</v>
      </c>
      <c r="T67" s="32">
        <v>293.12888888888898</v>
      </c>
      <c r="U67" s="32">
        <v>0</v>
      </c>
      <c r="V67" s="31">
        <v>2.5313097007000001</v>
      </c>
      <c r="W67" s="33">
        <v>46089</v>
      </c>
      <c r="X67" s="33">
        <v>46090</v>
      </c>
    </row>
    <row r="68" spans="1:24" ht="15.75" thickBot="1" x14ac:dyDescent="0.3">
      <c r="A68" t="str">
        <f t="shared" si="0"/>
        <v>KB3C 2K005 AA</v>
      </c>
      <c r="B68" s="22" t="s">
        <v>927</v>
      </c>
      <c r="C68" s="22" t="s">
        <v>2218</v>
      </c>
      <c r="D68" s="22" t="s">
        <v>2219</v>
      </c>
      <c r="E68" s="21"/>
      <c r="F68" s="22" t="s">
        <v>2030</v>
      </c>
      <c r="G68" s="28" t="s">
        <v>2012</v>
      </c>
      <c r="H68" s="22" t="s">
        <v>2080</v>
      </c>
      <c r="I68" s="21"/>
      <c r="J68" s="22" t="s">
        <v>494</v>
      </c>
      <c r="K68" s="22" t="s">
        <v>924</v>
      </c>
      <c r="L68" s="21"/>
      <c r="M68" s="22" t="s">
        <v>2014</v>
      </c>
      <c r="N68" s="28" t="s">
        <v>2015</v>
      </c>
      <c r="O68" s="28" t="s">
        <v>2016</v>
      </c>
      <c r="P68" s="29">
        <v>1634</v>
      </c>
      <c r="Q68" s="28" t="s">
        <v>2017</v>
      </c>
      <c r="R68" s="31">
        <v>1.8424692545929999</v>
      </c>
      <c r="S68" s="29">
        <v>57012</v>
      </c>
      <c r="T68" s="32">
        <v>886.85333333333301</v>
      </c>
      <c r="U68" s="32">
        <v>0</v>
      </c>
      <c r="V68" s="31">
        <v>1.8424692545929999</v>
      </c>
      <c r="W68" s="33">
        <v>46088</v>
      </c>
      <c r="X68" s="33">
        <v>46090</v>
      </c>
    </row>
    <row r="69" spans="1:24" ht="15.75" thickBot="1" x14ac:dyDescent="0.3">
      <c r="A69" t="str">
        <f t="shared" ref="A69:A132" si="1">TRIM(B69)</f>
        <v>KTN1WB 16L559 DB</v>
      </c>
      <c r="B69" s="22" t="s">
        <v>296</v>
      </c>
      <c r="C69" s="22" t="s">
        <v>2220</v>
      </c>
      <c r="D69" s="22" t="s">
        <v>2221</v>
      </c>
      <c r="E69" s="21"/>
      <c r="F69" s="22" t="s">
        <v>2222</v>
      </c>
      <c r="G69" s="28" t="s">
        <v>2012</v>
      </c>
      <c r="H69" s="22" t="s">
        <v>2080</v>
      </c>
      <c r="I69" s="21"/>
      <c r="J69" s="22" t="s">
        <v>261</v>
      </c>
      <c r="K69" s="22" t="s">
        <v>262</v>
      </c>
      <c r="L69" s="21"/>
      <c r="M69" s="22" t="s">
        <v>2014</v>
      </c>
      <c r="N69" s="28" t="s">
        <v>2015</v>
      </c>
      <c r="O69" s="28" t="s">
        <v>2016</v>
      </c>
      <c r="P69" s="29">
        <v>970</v>
      </c>
      <c r="Q69" s="28" t="s">
        <v>2017</v>
      </c>
      <c r="R69" s="31">
        <v>3.9885597324509998</v>
      </c>
      <c r="S69" s="29">
        <v>15634</v>
      </c>
      <c r="T69" s="32">
        <v>243.19555555555601</v>
      </c>
      <c r="U69" s="32">
        <v>0</v>
      </c>
      <c r="V69" s="31">
        <v>3.9885597324509998</v>
      </c>
      <c r="W69" s="33">
        <v>46090</v>
      </c>
      <c r="X69" s="33">
        <v>46090</v>
      </c>
    </row>
    <row r="70" spans="1:24" ht="15.75" thickBot="1" x14ac:dyDescent="0.3">
      <c r="A70" t="str">
        <f t="shared" si="1"/>
        <v>M2DB 17A794 AD</v>
      </c>
      <c r="B70" s="22" t="s">
        <v>740</v>
      </c>
      <c r="C70" s="22" t="s">
        <v>2223</v>
      </c>
      <c r="D70" s="22" t="s">
        <v>2224</v>
      </c>
      <c r="E70" s="22" t="s">
        <v>2225</v>
      </c>
      <c r="F70" s="22" t="s">
        <v>2226</v>
      </c>
      <c r="G70" s="28" t="s">
        <v>2012</v>
      </c>
      <c r="H70" s="22" t="s">
        <v>2080</v>
      </c>
      <c r="I70" s="21"/>
      <c r="J70" s="22" t="s">
        <v>364</v>
      </c>
      <c r="K70" s="22" t="s">
        <v>262</v>
      </c>
      <c r="L70" s="21"/>
      <c r="M70" s="22" t="s">
        <v>2014</v>
      </c>
      <c r="N70" s="28" t="s">
        <v>2015</v>
      </c>
      <c r="O70" s="28" t="s">
        <v>2016</v>
      </c>
      <c r="P70" s="29">
        <v>2143</v>
      </c>
      <c r="Q70" s="28" t="s">
        <v>2017</v>
      </c>
      <c r="R70" s="31">
        <v>3.264865999485</v>
      </c>
      <c r="S70" s="29">
        <v>42196</v>
      </c>
      <c r="T70" s="32">
        <v>656.38222222222203</v>
      </c>
      <c r="U70" s="32">
        <v>0</v>
      </c>
      <c r="V70" s="31">
        <v>3.264865999485</v>
      </c>
      <c r="W70" s="33">
        <v>46090</v>
      </c>
      <c r="X70" s="33">
        <v>46090</v>
      </c>
    </row>
    <row r="71" spans="1:24" ht="15.75" thickBot="1" x14ac:dyDescent="0.3">
      <c r="A71" t="str">
        <f t="shared" si="1"/>
        <v>M2DB 17E810 CB5YZ9</v>
      </c>
      <c r="B71" s="22" t="s">
        <v>385</v>
      </c>
      <c r="C71" s="22" t="s">
        <v>2227</v>
      </c>
      <c r="D71" s="22" t="s">
        <v>2228</v>
      </c>
      <c r="E71" s="21"/>
      <c r="F71" s="22" t="s">
        <v>2229</v>
      </c>
      <c r="G71" s="28" t="s">
        <v>2012</v>
      </c>
      <c r="H71" s="22" t="s">
        <v>2080</v>
      </c>
      <c r="I71" s="21"/>
      <c r="J71" s="22" t="s">
        <v>364</v>
      </c>
      <c r="K71" s="22" t="s">
        <v>262</v>
      </c>
      <c r="L71" s="21"/>
      <c r="M71" s="22" t="s">
        <v>2014</v>
      </c>
      <c r="N71" s="28" t="s">
        <v>2015</v>
      </c>
      <c r="O71" s="28" t="s">
        <v>2016</v>
      </c>
      <c r="P71" s="29">
        <v>265</v>
      </c>
      <c r="Q71" s="28" t="s">
        <v>2017</v>
      </c>
      <c r="R71" s="31">
        <v>3.3143413007219999</v>
      </c>
      <c r="S71" s="29">
        <v>5140</v>
      </c>
      <c r="T71" s="32">
        <v>79.955555555554994</v>
      </c>
      <c r="U71" s="32">
        <v>0</v>
      </c>
      <c r="V71" s="31">
        <v>3.3143413007219999</v>
      </c>
      <c r="W71" s="33">
        <v>46090</v>
      </c>
      <c r="X71" s="33">
        <v>46090</v>
      </c>
    </row>
    <row r="72" spans="1:24" ht="15.75" thickBot="1" x14ac:dyDescent="0.3">
      <c r="A72" t="str">
        <f t="shared" si="1"/>
        <v>M2DB 17E811 CB5YZ9</v>
      </c>
      <c r="B72" s="22" t="s">
        <v>390</v>
      </c>
      <c r="C72" s="22" t="s">
        <v>2230</v>
      </c>
      <c r="D72" s="22" t="s">
        <v>2231</v>
      </c>
      <c r="E72" s="21"/>
      <c r="F72" s="22" t="s">
        <v>2232</v>
      </c>
      <c r="G72" s="28" t="s">
        <v>2012</v>
      </c>
      <c r="H72" s="22" t="s">
        <v>2080</v>
      </c>
      <c r="I72" s="21"/>
      <c r="J72" s="22" t="s">
        <v>364</v>
      </c>
      <c r="K72" s="22" t="s">
        <v>262</v>
      </c>
      <c r="L72" s="21"/>
      <c r="M72" s="22" t="s">
        <v>2014</v>
      </c>
      <c r="N72" s="28" t="s">
        <v>2015</v>
      </c>
      <c r="O72" s="28" t="s">
        <v>2016</v>
      </c>
      <c r="P72" s="29">
        <v>216</v>
      </c>
      <c r="Q72" s="28" t="s">
        <v>2017</v>
      </c>
      <c r="R72" s="31">
        <v>2.5978885473740001</v>
      </c>
      <c r="S72" s="29">
        <v>5345</v>
      </c>
      <c r="T72" s="32">
        <v>83.144444444444005</v>
      </c>
      <c r="U72" s="32">
        <v>0</v>
      </c>
      <c r="V72" s="31">
        <v>2.5978885473740001</v>
      </c>
      <c r="W72" s="33">
        <v>46089</v>
      </c>
      <c r="X72" s="33">
        <v>46090</v>
      </c>
    </row>
    <row r="73" spans="1:24" ht="15.75" thickBot="1" x14ac:dyDescent="0.3">
      <c r="A73" t="str">
        <f t="shared" si="1"/>
        <v>M2DB S200B38 AC</v>
      </c>
      <c r="B73" s="22" t="s">
        <v>1649</v>
      </c>
      <c r="C73" s="22" t="s">
        <v>2233</v>
      </c>
      <c r="D73" s="22" t="s">
        <v>2234</v>
      </c>
      <c r="E73" s="21"/>
      <c r="F73" s="22" t="s">
        <v>2235</v>
      </c>
      <c r="G73" s="28" t="s">
        <v>2012</v>
      </c>
      <c r="H73" s="22" t="s">
        <v>2080</v>
      </c>
      <c r="I73" s="21"/>
      <c r="J73" s="22" t="s">
        <v>364</v>
      </c>
      <c r="K73" s="22" t="s">
        <v>924</v>
      </c>
      <c r="L73" s="21"/>
      <c r="M73" s="22" t="s">
        <v>2014</v>
      </c>
      <c r="N73" s="28" t="s">
        <v>2015</v>
      </c>
      <c r="O73" s="28" t="s">
        <v>2016</v>
      </c>
      <c r="P73" s="29">
        <v>1090</v>
      </c>
      <c r="Q73" s="28" t="s">
        <v>2017</v>
      </c>
      <c r="R73" s="31">
        <v>2.6319884525189998</v>
      </c>
      <c r="S73" s="29">
        <v>26623</v>
      </c>
      <c r="T73" s="32">
        <v>414.13555555555598</v>
      </c>
      <c r="U73" s="32">
        <v>0</v>
      </c>
      <c r="V73" s="31">
        <v>2.6319884525189998</v>
      </c>
      <c r="W73" s="33">
        <v>46089</v>
      </c>
      <c r="X73" s="33">
        <v>46090</v>
      </c>
    </row>
    <row r="74" spans="1:24" ht="15.75" thickBot="1" x14ac:dyDescent="0.3">
      <c r="A74" t="str">
        <f t="shared" si="1"/>
        <v>M2DB S27831 AA</v>
      </c>
      <c r="B74" s="22" t="s">
        <v>1860</v>
      </c>
      <c r="C74" s="22" t="s">
        <v>2236</v>
      </c>
      <c r="D74" s="22" t="s">
        <v>2237</v>
      </c>
      <c r="E74" s="21"/>
      <c r="F74" s="22" t="s">
        <v>2238</v>
      </c>
      <c r="G74" s="28" t="s">
        <v>2012</v>
      </c>
      <c r="H74" s="22" t="s">
        <v>2080</v>
      </c>
      <c r="I74" s="21"/>
      <c r="J74" s="22" t="s">
        <v>364</v>
      </c>
      <c r="K74" s="22" t="s">
        <v>924</v>
      </c>
      <c r="L74" s="21"/>
      <c r="M74" s="22" t="s">
        <v>2014</v>
      </c>
      <c r="N74" s="28" t="s">
        <v>2015</v>
      </c>
      <c r="O74" s="28" t="s">
        <v>2016</v>
      </c>
      <c r="P74" s="29">
        <v>1782</v>
      </c>
      <c r="Q74" s="28" t="s">
        <v>2017</v>
      </c>
      <c r="R74" s="31">
        <v>2.7181023788049998</v>
      </c>
      <c r="S74" s="29">
        <v>42146</v>
      </c>
      <c r="T74" s="32">
        <v>655.60444444444397</v>
      </c>
      <c r="U74" s="32">
        <v>0</v>
      </c>
      <c r="V74" s="31">
        <v>2.7181023788049998</v>
      </c>
      <c r="W74" s="33">
        <v>46089</v>
      </c>
      <c r="X74" s="33">
        <v>46090</v>
      </c>
    </row>
    <row r="75" spans="1:24" ht="15.75" thickBot="1" x14ac:dyDescent="0.3">
      <c r="A75" t="str">
        <f t="shared" si="1"/>
        <v>M2DB S444A18 AA</v>
      </c>
      <c r="B75" s="22" t="s">
        <v>933</v>
      </c>
      <c r="C75" s="22" t="s">
        <v>2031</v>
      </c>
      <c r="D75" s="22" t="s">
        <v>2239</v>
      </c>
      <c r="E75" s="21"/>
      <c r="F75" s="22" t="s">
        <v>2240</v>
      </c>
      <c r="G75" s="28" t="s">
        <v>2012</v>
      </c>
      <c r="H75" s="22" t="s">
        <v>2080</v>
      </c>
      <c r="I75" s="21"/>
      <c r="J75" s="22" t="s">
        <v>364</v>
      </c>
      <c r="K75" s="22" t="s">
        <v>924</v>
      </c>
      <c r="L75" s="21"/>
      <c r="M75" s="22" t="s">
        <v>2014</v>
      </c>
      <c r="N75" s="28" t="s">
        <v>2015</v>
      </c>
      <c r="O75" s="28" t="s">
        <v>2016</v>
      </c>
      <c r="P75" s="29">
        <v>1305</v>
      </c>
      <c r="Q75" s="28" t="s">
        <v>2017</v>
      </c>
      <c r="R75" s="31">
        <v>1.876461866843</v>
      </c>
      <c r="S75" s="29">
        <v>44708</v>
      </c>
      <c r="T75" s="32">
        <v>695.45777777777801</v>
      </c>
      <c r="U75" s="32">
        <v>0</v>
      </c>
      <c r="V75" s="31">
        <v>1.876461866843</v>
      </c>
      <c r="W75" s="33">
        <v>46088</v>
      </c>
      <c r="X75" s="33">
        <v>46090</v>
      </c>
    </row>
    <row r="76" spans="1:24" ht="15.75" thickBot="1" x14ac:dyDescent="0.3">
      <c r="A76" t="str">
        <f t="shared" si="1"/>
        <v>M2DB S502D12 AE</v>
      </c>
      <c r="B76" s="22" t="s">
        <v>953</v>
      </c>
      <c r="C76" s="22" t="s">
        <v>2241</v>
      </c>
      <c r="D76" s="22" t="s">
        <v>2242</v>
      </c>
      <c r="E76" s="22" t="s">
        <v>2243</v>
      </c>
      <c r="F76" s="22" t="s">
        <v>2244</v>
      </c>
      <c r="G76" s="28" t="s">
        <v>2012</v>
      </c>
      <c r="H76" s="22" t="s">
        <v>2080</v>
      </c>
      <c r="I76" s="21"/>
      <c r="J76" s="22" t="s">
        <v>364</v>
      </c>
      <c r="K76" s="22" t="s">
        <v>924</v>
      </c>
      <c r="L76" s="21"/>
      <c r="M76" s="22" t="s">
        <v>2014</v>
      </c>
      <c r="N76" s="28" t="s">
        <v>2015</v>
      </c>
      <c r="O76" s="28" t="s">
        <v>2016</v>
      </c>
      <c r="P76" s="29">
        <v>1092</v>
      </c>
      <c r="Q76" s="28" t="s">
        <v>2017</v>
      </c>
      <c r="R76" s="31">
        <v>1.633469843633</v>
      </c>
      <c r="S76" s="29">
        <v>42976</v>
      </c>
      <c r="T76" s="32">
        <v>668.51555555555501</v>
      </c>
      <c r="U76" s="32">
        <v>0</v>
      </c>
      <c r="V76" s="31">
        <v>1.633469843633</v>
      </c>
      <c r="W76" s="33">
        <v>46088</v>
      </c>
      <c r="X76" s="33">
        <v>46090</v>
      </c>
    </row>
    <row r="77" spans="1:24" ht="15.75" thickBot="1" x14ac:dyDescent="0.3">
      <c r="A77" t="str">
        <f t="shared" si="1"/>
        <v>MB3B 10723 GJ</v>
      </c>
      <c r="B77" s="22" t="s">
        <v>1647</v>
      </c>
      <c r="C77" s="22" t="s">
        <v>2245</v>
      </c>
      <c r="D77" s="22" t="s">
        <v>2246</v>
      </c>
      <c r="E77" s="21"/>
      <c r="F77" s="22" t="s">
        <v>2030</v>
      </c>
      <c r="G77" s="28" t="s">
        <v>2012</v>
      </c>
      <c r="H77" s="22" t="s">
        <v>2055</v>
      </c>
      <c r="I77" s="21"/>
      <c r="J77" s="22" t="s">
        <v>261</v>
      </c>
      <c r="K77" s="22" t="s">
        <v>924</v>
      </c>
      <c r="L77" s="21"/>
      <c r="M77" s="22" t="s">
        <v>2014</v>
      </c>
      <c r="N77" s="28" t="s">
        <v>2015</v>
      </c>
      <c r="O77" s="28" t="s">
        <v>2016</v>
      </c>
      <c r="P77" s="29">
        <v>440</v>
      </c>
      <c r="Q77" s="28" t="s">
        <v>2017</v>
      </c>
      <c r="R77" s="31">
        <v>1.891388451067</v>
      </c>
      <c r="S77" s="29">
        <v>14955</v>
      </c>
      <c r="T77" s="32">
        <v>232.63333333333301</v>
      </c>
      <c r="U77" s="32">
        <v>0</v>
      </c>
      <c r="V77" s="31">
        <v>1.891388451067</v>
      </c>
      <c r="W77" s="33">
        <v>46088</v>
      </c>
      <c r="X77" s="33">
        <v>46090</v>
      </c>
    </row>
    <row r="78" spans="1:24" ht="15.75" thickBot="1" x14ac:dyDescent="0.3">
      <c r="A78" t="str">
        <f t="shared" si="1"/>
        <v>MB3B 18A334 AB</v>
      </c>
      <c r="B78" s="22" t="s">
        <v>1803</v>
      </c>
      <c r="C78" s="22" t="s">
        <v>2247</v>
      </c>
      <c r="D78" s="22" t="s">
        <v>2248</v>
      </c>
      <c r="E78" s="21"/>
      <c r="F78" s="22" t="s">
        <v>2249</v>
      </c>
      <c r="G78" s="28" t="s">
        <v>2012</v>
      </c>
      <c r="H78" s="22" t="s">
        <v>2080</v>
      </c>
      <c r="I78" s="21"/>
      <c r="J78" s="22" t="s">
        <v>364</v>
      </c>
      <c r="K78" s="22" t="s">
        <v>924</v>
      </c>
      <c r="L78" s="21"/>
      <c r="M78" s="22" t="s">
        <v>2014</v>
      </c>
      <c r="N78" s="28" t="s">
        <v>2015</v>
      </c>
      <c r="O78" s="28" t="s">
        <v>2016</v>
      </c>
      <c r="P78" s="29">
        <v>991</v>
      </c>
      <c r="Q78" s="28" t="s">
        <v>2017</v>
      </c>
      <c r="R78" s="31">
        <v>1.0738124133139999</v>
      </c>
      <c r="S78" s="29">
        <v>59328</v>
      </c>
      <c r="T78" s="32">
        <v>922.88</v>
      </c>
      <c r="U78" s="32">
        <v>0</v>
      </c>
      <c r="V78" s="31">
        <v>1.0738124133139999</v>
      </c>
      <c r="W78" s="33">
        <v>46088</v>
      </c>
      <c r="X78" s="33">
        <v>46090</v>
      </c>
    </row>
    <row r="79" spans="1:24" ht="15.75" thickBot="1" x14ac:dyDescent="0.3">
      <c r="A79" t="str">
        <f t="shared" si="1"/>
        <v>MB3B 2102038 AG</v>
      </c>
      <c r="B79" s="22" t="s">
        <v>1943</v>
      </c>
      <c r="C79" s="22" t="s">
        <v>2250</v>
      </c>
      <c r="D79" s="22" t="s">
        <v>2251</v>
      </c>
      <c r="E79" s="21"/>
      <c r="F79" s="22" t="s">
        <v>2030</v>
      </c>
      <c r="G79" s="28" t="s">
        <v>2012</v>
      </c>
      <c r="H79" s="22" t="s">
        <v>2080</v>
      </c>
      <c r="I79" s="21"/>
      <c r="J79" s="22" t="s">
        <v>261</v>
      </c>
      <c r="K79" s="22" t="s">
        <v>924</v>
      </c>
      <c r="L79" s="21"/>
      <c r="M79" s="22" t="s">
        <v>2014</v>
      </c>
      <c r="N79" s="28" t="s">
        <v>2015</v>
      </c>
      <c r="O79" s="28" t="s">
        <v>2016</v>
      </c>
      <c r="P79" s="29">
        <v>819</v>
      </c>
      <c r="Q79" s="28" t="s">
        <v>2017</v>
      </c>
      <c r="R79" s="31">
        <v>2.9981208359429998</v>
      </c>
      <c r="S79" s="29">
        <v>17561</v>
      </c>
      <c r="T79" s="32">
        <v>273.17111111111097</v>
      </c>
      <c r="U79" s="32">
        <v>0</v>
      </c>
      <c r="V79" s="31">
        <v>2.9981208359429998</v>
      </c>
      <c r="W79" s="33">
        <v>46089</v>
      </c>
      <c r="X79" s="33">
        <v>46090</v>
      </c>
    </row>
    <row r="80" spans="1:24" ht="15.75" thickBot="1" x14ac:dyDescent="0.3">
      <c r="A80" t="str">
        <f t="shared" si="1"/>
        <v>MB3B 2102039 AF</v>
      </c>
      <c r="B80" s="22" t="s">
        <v>1940</v>
      </c>
      <c r="C80" s="22" t="s">
        <v>2252</v>
      </c>
      <c r="D80" s="22" t="s">
        <v>2251</v>
      </c>
      <c r="E80" s="21"/>
      <c r="F80" s="22" t="s">
        <v>2030</v>
      </c>
      <c r="G80" s="28" t="s">
        <v>2012</v>
      </c>
      <c r="H80" s="22" t="s">
        <v>2080</v>
      </c>
      <c r="I80" s="21"/>
      <c r="J80" s="22" t="s">
        <v>261</v>
      </c>
      <c r="K80" s="22" t="s">
        <v>924</v>
      </c>
      <c r="L80" s="21"/>
      <c r="M80" s="22" t="s">
        <v>2014</v>
      </c>
      <c r="N80" s="28" t="s">
        <v>2015</v>
      </c>
      <c r="O80" s="28" t="s">
        <v>2016</v>
      </c>
      <c r="P80" s="29">
        <v>864</v>
      </c>
      <c r="Q80" s="28" t="s">
        <v>2017</v>
      </c>
      <c r="R80" s="31">
        <v>3.234501347708</v>
      </c>
      <c r="S80" s="29">
        <v>17172</v>
      </c>
      <c r="T80" s="32">
        <v>267.12</v>
      </c>
      <c r="U80" s="32">
        <v>0</v>
      </c>
      <c r="V80" s="31">
        <v>3.234501347708</v>
      </c>
      <c r="W80" s="33">
        <v>46090</v>
      </c>
      <c r="X80" s="33">
        <v>46090</v>
      </c>
    </row>
    <row r="81" spans="1:24" ht="15.75" thickBot="1" x14ac:dyDescent="0.3">
      <c r="A81" t="str">
        <f t="shared" si="1"/>
        <v>MB3B 21021A40 AE</v>
      </c>
      <c r="B81" s="22" t="s">
        <v>1880</v>
      </c>
      <c r="C81" s="22" t="s">
        <v>2253</v>
      </c>
      <c r="D81" s="22" t="s">
        <v>2254</v>
      </c>
      <c r="E81" s="21"/>
      <c r="F81" s="22" t="s">
        <v>2255</v>
      </c>
      <c r="G81" s="28" t="s">
        <v>2012</v>
      </c>
      <c r="H81" s="22" t="s">
        <v>2080</v>
      </c>
      <c r="I81" s="21"/>
      <c r="J81" s="22" t="s">
        <v>261</v>
      </c>
      <c r="K81" s="22" t="s">
        <v>924</v>
      </c>
      <c r="L81" s="21"/>
      <c r="M81" s="22" t="s">
        <v>2014</v>
      </c>
      <c r="N81" s="28" t="s">
        <v>2015</v>
      </c>
      <c r="O81" s="28" t="s">
        <v>2016</v>
      </c>
      <c r="P81" s="29">
        <v>363</v>
      </c>
      <c r="Q81" s="28" t="s">
        <v>2017</v>
      </c>
      <c r="R81" s="31">
        <v>1.2921214997620001</v>
      </c>
      <c r="S81" s="29">
        <v>18060</v>
      </c>
      <c r="T81" s="32">
        <v>280.933333333333</v>
      </c>
      <c r="U81" s="32">
        <v>0</v>
      </c>
      <c r="V81" s="31">
        <v>1.2921214997620001</v>
      </c>
      <c r="W81" s="33">
        <v>46088</v>
      </c>
      <c r="X81" s="33">
        <v>46090</v>
      </c>
    </row>
    <row r="82" spans="1:24" ht="15.75" thickBot="1" x14ac:dyDescent="0.3">
      <c r="A82" t="str">
        <f t="shared" si="1"/>
        <v>MB3B 2610020 AB</v>
      </c>
      <c r="B82" s="22" t="s">
        <v>1950</v>
      </c>
      <c r="C82" s="22" t="s">
        <v>2256</v>
      </c>
      <c r="D82" s="22" t="s">
        <v>2257</v>
      </c>
      <c r="E82" s="22" t="s">
        <v>2258</v>
      </c>
      <c r="F82" s="22" t="s">
        <v>2259</v>
      </c>
      <c r="G82" s="28" t="s">
        <v>2012</v>
      </c>
      <c r="H82" s="22" t="s">
        <v>2080</v>
      </c>
      <c r="I82" s="21"/>
      <c r="J82" s="22" t="s">
        <v>261</v>
      </c>
      <c r="K82" s="22" t="s">
        <v>924</v>
      </c>
      <c r="L82" s="21"/>
      <c r="M82" s="22" t="s">
        <v>2014</v>
      </c>
      <c r="N82" s="28" t="s">
        <v>2015</v>
      </c>
      <c r="O82" s="28" t="s">
        <v>2016</v>
      </c>
      <c r="P82" s="29">
        <v>402</v>
      </c>
      <c r="Q82" s="28" t="s">
        <v>2017</v>
      </c>
      <c r="R82" s="31">
        <v>1.478931964224</v>
      </c>
      <c r="S82" s="29">
        <v>17474</v>
      </c>
      <c r="T82" s="32">
        <v>271.81777777777802</v>
      </c>
      <c r="U82" s="32">
        <v>0</v>
      </c>
      <c r="V82" s="31">
        <v>1.478931964224</v>
      </c>
      <c r="W82" s="33">
        <v>46088</v>
      </c>
      <c r="X82" s="33">
        <v>46090</v>
      </c>
    </row>
    <row r="83" spans="1:24" ht="15.75" thickBot="1" x14ac:dyDescent="0.3">
      <c r="A83" t="str">
        <f t="shared" si="1"/>
        <v>MB3B 2610110 DD</v>
      </c>
      <c r="B83" s="22" t="s">
        <v>1898</v>
      </c>
      <c r="C83" s="22" t="s">
        <v>2260</v>
      </c>
      <c r="D83" s="22" t="s">
        <v>2261</v>
      </c>
      <c r="E83" s="21"/>
      <c r="F83" s="22" t="s">
        <v>2030</v>
      </c>
      <c r="G83" s="28" t="s">
        <v>2012</v>
      </c>
      <c r="H83" s="22" t="s">
        <v>2080</v>
      </c>
      <c r="I83" s="21"/>
      <c r="J83" s="22" t="s">
        <v>261</v>
      </c>
      <c r="K83" s="22" t="s">
        <v>924</v>
      </c>
      <c r="L83" s="21"/>
      <c r="M83" s="22" t="s">
        <v>2014</v>
      </c>
      <c r="N83" s="28" t="s">
        <v>2015</v>
      </c>
      <c r="O83" s="28" t="s">
        <v>2016</v>
      </c>
      <c r="P83" s="29">
        <v>497</v>
      </c>
      <c r="Q83" s="28" t="s">
        <v>2017</v>
      </c>
      <c r="R83" s="31">
        <v>1.82321387811</v>
      </c>
      <c r="S83" s="29">
        <v>17524</v>
      </c>
      <c r="T83" s="32">
        <v>272.59555555555602</v>
      </c>
      <c r="U83" s="32">
        <v>0</v>
      </c>
      <c r="V83" s="31">
        <v>1.82321387811</v>
      </c>
      <c r="W83" s="33">
        <v>46088</v>
      </c>
      <c r="X83" s="33">
        <v>46090</v>
      </c>
    </row>
    <row r="84" spans="1:24" ht="15.75" thickBot="1" x14ac:dyDescent="0.3">
      <c r="A84" t="str">
        <f t="shared" si="1"/>
        <v>MB3B 2610111 DC</v>
      </c>
      <c r="B84" s="22" t="s">
        <v>1895</v>
      </c>
      <c r="C84" s="22" t="s">
        <v>2262</v>
      </c>
      <c r="D84" s="22" t="s">
        <v>1896</v>
      </c>
      <c r="E84" s="21"/>
      <c r="F84" s="22" t="s">
        <v>2030</v>
      </c>
      <c r="G84" s="28" t="s">
        <v>2012</v>
      </c>
      <c r="H84" s="22" t="s">
        <v>2080</v>
      </c>
      <c r="I84" s="21"/>
      <c r="J84" s="22" t="s">
        <v>261</v>
      </c>
      <c r="K84" s="22" t="s">
        <v>924</v>
      </c>
      <c r="L84" s="21"/>
      <c r="M84" s="22" t="s">
        <v>2014</v>
      </c>
      <c r="N84" s="28" t="s">
        <v>2015</v>
      </c>
      <c r="O84" s="28" t="s">
        <v>2016</v>
      </c>
      <c r="P84" s="29">
        <v>659</v>
      </c>
      <c r="Q84" s="28" t="s">
        <v>2017</v>
      </c>
      <c r="R84" s="31">
        <v>2.4099371815390001</v>
      </c>
      <c r="S84" s="29">
        <v>17579</v>
      </c>
      <c r="T84" s="32">
        <v>273.451111111111</v>
      </c>
      <c r="U84" s="32">
        <v>0</v>
      </c>
      <c r="V84" s="31">
        <v>2.4099371815390001</v>
      </c>
      <c r="W84" s="33">
        <v>46089</v>
      </c>
      <c r="X84" s="33">
        <v>46090</v>
      </c>
    </row>
    <row r="85" spans="1:24" ht="15.75" thickBot="1" x14ac:dyDescent="0.3">
      <c r="A85" t="str">
        <f t="shared" si="1"/>
        <v>MB3B 58017B56 BB</v>
      </c>
      <c r="B85" s="22" t="s">
        <v>1752</v>
      </c>
      <c r="C85" s="22" t="s">
        <v>2263</v>
      </c>
      <c r="D85" s="22" t="s">
        <v>2264</v>
      </c>
      <c r="E85" s="21"/>
      <c r="F85" s="22" t="s">
        <v>2030</v>
      </c>
      <c r="G85" s="28" t="s">
        <v>2012</v>
      </c>
      <c r="H85" s="22" t="s">
        <v>2080</v>
      </c>
      <c r="I85" s="21"/>
      <c r="J85" s="22" t="s">
        <v>261</v>
      </c>
      <c r="K85" s="22" t="s">
        <v>924</v>
      </c>
      <c r="L85" s="21"/>
      <c r="M85" s="22" t="s">
        <v>2014</v>
      </c>
      <c r="N85" s="28" t="s">
        <v>2015</v>
      </c>
      <c r="O85" s="28" t="s">
        <v>2016</v>
      </c>
      <c r="P85" s="29">
        <v>758</v>
      </c>
      <c r="Q85" s="28" t="s">
        <v>2017</v>
      </c>
      <c r="R85" s="31">
        <v>3.222789115646</v>
      </c>
      <c r="S85" s="29">
        <v>15120</v>
      </c>
      <c r="T85" s="32">
        <v>235.2</v>
      </c>
      <c r="U85" s="32">
        <v>0</v>
      </c>
      <c r="V85" s="31">
        <v>3.222789115646</v>
      </c>
      <c r="W85" s="33">
        <v>46090</v>
      </c>
      <c r="X85" s="33">
        <v>46090</v>
      </c>
    </row>
    <row r="86" spans="1:24" ht="15.75" thickBot="1" x14ac:dyDescent="0.3">
      <c r="A86" t="str">
        <f t="shared" si="1"/>
        <v>MB3B 5810692 AD</v>
      </c>
      <c r="B86" s="22" t="s">
        <v>1901</v>
      </c>
      <c r="C86" s="22" t="s">
        <v>2265</v>
      </c>
      <c r="D86" s="22" t="s">
        <v>2266</v>
      </c>
      <c r="E86" s="21"/>
      <c r="F86" s="22" t="s">
        <v>2030</v>
      </c>
      <c r="G86" s="28" t="s">
        <v>2012</v>
      </c>
      <c r="H86" s="22" t="s">
        <v>2080</v>
      </c>
      <c r="I86" s="21"/>
      <c r="J86" s="22" t="s">
        <v>261</v>
      </c>
      <c r="K86" s="22" t="s">
        <v>924</v>
      </c>
      <c r="L86" s="21"/>
      <c r="M86" s="22" t="s">
        <v>2014</v>
      </c>
      <c r="N86" s="28" t="s">
        <v>2015</v>
      </c>
      <c r="O86" s="28" t="s">
        <v>2016</v>
      </c>
      <c r="P86" s="29">
        <v>2237</v>
      </c>
      <c r="Q86" s="28" t="s">
        <v>2017</v>
      </c>
      <c r="R86" s="31">
        <v>2.3102291295640001</v>
      </c>
      <c r="S86" s="29">
        <v>62248</v>
      </c>
      <c r="T86" s="32">
        <v>968.30222222222199</v>
      </c>
      <c r="U86" s="32">
        <v>0</v>
      </c>
      <c r="V86" s="31">
        <v>2.3102291295640001</v>
      </c>
      <c r="W86" s="33">
        <v>46089</v>
      </c>
      <c r="X86" s="33">
        <v>46090</v>
      </c>
    </row>
    <row r="87" spans="1:24" ht="15.75" thickBot="1" x14ac:dyDescent="0.3">
      <c r="A87" t="str">
        <f t="shared" si="1"/>
        <v>MB3B 5810693 AD</v>
      </c>
      <c r="B87" s="22" t="s">
        <v>1903</v>
      </c>
      <c r="C87" s="22" t="s">
        <v>2267</v>
      </c>
      <c r="D87" s="22" t="s">
        <v>2266</v>
      </c>
      <c r="E87" s="21"/>
      <c r="F87" s="22" t="s">
        <v>2030</v>
      </c>
      <c r="G87" s="28" t="s">
        <v>2012</v>
      </c>
      <c r="H87" s="22" t="s">
        <v>2080</v>
      </c>
      <c r="I87" s="21"/>
      <c r="J87" s="22" t="s">
        <v>261</v>
      </c>
      <c r="K87" s="22" t="s">
        <v>924</v>
      </c>
      <c r="L87" s="21"/>
      <c r="M87" s="22" t="s">
        <v>2014</v>
      </c>
      <c r="N87" s="28" t="s">
        <v>2015</v>
      </c>
      <c r="O87" s="28" t="s">
        <v>2016</v>
      </c>
      <c r="P87" s="29">
        <v>2720</v>
      </c>
      <c r="Q87" s="28" t="s">
        <v>2017</v>
      </c>
      <c r="R87" s="31">
        <v>2.8032759852689999</v>
      </c>
      <c r="S87" s="29">
        <v>62376</v>
      </c>
      <c r="T87" s="32">
        <v>970.29333333333295</v>
      </c>
      <c r="U87" s="32">
        <v>0</v>
      </c>
      <c r="V87" s="31">
        <v>2.8032759852689999</v>
      </c>
      <c r="W87" s="33">
        <v>46089</v>
      </c>
      <c r="X87" s="33">
        <v>46090</v>
      </c>
    </row>
    <row r="88" spans="1:24" ht="15.75" thickBot="1" x14ac:dyDescent="0.3">
      <c r="A88" t="str">
        <f t="shared" si="1"/>
        <v>MB3B 5810698 AE</v>
      </c>
      <c r="B88" s="22" t="s">
        <v>1937</v>
      </c>
      <c r="C88" s="22" t="s">
        <v>2081</v>
      </c>
      <c r="D88" s="22" t="s">
        <v>2268</v>
      </c>
      <c r="E88" s="21"/>
      <c r="F88" s="22" t="s">
        <v>2030</v>
      </c>
      <c r="G88" s="28" t="s">
        <v>2012</v>
      </c>
      <c r="H88" s="22" t="s">
        <v>2080</v>
      </c>
      <c r="I88" s="21"/>
      <c r="J88" s="22" t="s">
        <v>261</v>
      </c>
      <c r="K88" s="22" t="s">
        <v>924</v>
      </c>
      <c r="L88" s="21"/>
      <c r="M88" s="22" t="s">
        <v>2014</v>
      </c>
      <c r="N88" s="28" t="s">
        <v>2015</v>
      </c>
      <c r="O88" s="28" t="s">
        <v>2016</v>
      </c>
      <c r="P88" s="29">
        <v>1750</v>
      </c>
      <c r="Q88" s="28" t="s">
        <v>2017</v>
      </c>
      <c r="R88" s="31">
        <v>1.8172713468799999</v>
      </c>
      <c r="S88" s="29">
        <v>61906</v>
      </c>
      <c r="T88" s="32">
        <v>962.98222222222205</v>
      </c>
      <c r="U88" s="32">
        <v>0</v>
      </c>
      <c r="V88" s="31">
        <v>1.8172713468799999</v>
      </c>
      <c r="W88" s="33">
        <v>46088</v>
      </c>
      <c r="X88" s="33">
        <v>46090</v>
      </c>
    </row>
    <row r="89" spans="1:24" ht="15.75" thickBot="1" x14ac:dyDescent="0.3">
      <c r="A89" t="str">
        <f t="shared" si="1"/>
        <v>MB3B 5810699 BA</v>
      </c>
      <c r="B89" s="22" t="s">
        <v>1934</v>
      </c>
      <c r="C89" s="22" t="s">
        <v>2076</v>
      </c>
      <c r="D89" s="22" t="s">
        <v>2269</v>
      </c>
      <c r="E89" s="21"/>
      <c r="F89" s="22" t="s">
        <v>2030</v>
      </c>
      <c r="G89" s="28" t="s">
        <v>2012</v>
      </c>
      <c r="H89" s="22" t="s">
        <v>2080</v>
      </c>
      <c r="I89" s="21"/>
      <c r="J89" s="22" t="s">
        <v>261</v>
      </c>
      <c r="K89" s="22" t="s">
        <v>924</v>
      </c>
      <c r="L89" s="21"/>
      <c r="M89" s="22" t="s">
        <v>2014</v>
      </c>
      <c r="N89" s="28" t="s">
        <v>2015</v>
      </c>
      <c r="O89" s="28" t="s">
        <v>2016</v>
      </c>
      <c r="P89" s="29">
        <v>2080</v>
      </c>
      <c r="Q89" s="28" t="s">
        <v>2017</v>
      </c>
      <c r="R89" s="31">
        <v>2.155430487366</v>
      </c>
      <c r="S89" s="29">
        <v>62036</v>
      </c>
      <c r="T89" s="32">
        <v>965.00444444444395</v>
      </c>
      <c r="U89" s="32">
        <v>0</v>
      </c>
      <c r="V89" s="31">
        <v>2.155430487366</v>
      </c>
      <c r="W89" s="33">
        <v>46089</v>
      </c>
      <c r="X89" s="33">
        <v>46090</v>
      </c>
    </row>
    <row r="90" spans="1:24" ht="15.75" thickBot="1" x14ac:dyDescent="0.3">
      <c r="A90" t="str">
        <f t="shared" si="1"/>
        <v>MB3B 58111K48 CB</v>
      </c>
      <c r="B90" s="22" t="s">
        <v>1954</v>
      </c>
      <c r="C90" s="22" t="s">
        <v>2052</v>
      </c>
      <c r="D90" s="22" t="s">
        <v>2270</v>
      </c>
      <c r="E90" s="21"/>
      <c r="F90" s="22" t="s">
        <v>2271</v>
      </c>
      <c r="G90" s="28" t="s">
        <v>2012</v>
      </c>
      <c r="H90" s="22" t="s">
        <v>2080</v>
      </c>
      <c r="I90" s="21"/>
      <c r="J90" s="22" t="s">
        <v>364</v>
      </c>
      <c r="K90" s="22" t="s">
        <v>924</v>
      </c>
      <c r="L90" s="21"/>
      <c r="M90" s="22" t="s">
        <v>2014</v>
      </c>
      <c r="N90" s="28" t="s">
        <v>2015</v>
      </c>
      <c r="O90" s="28" t="s">
        <v>2016</v>
      </c>
      <c r="P90" s="29">
        <v>2929</v>
      </c>
      <c r="Q90" s="28" t="s">
        <v>2017</v>
      </c>
      <c r="R90" s="31">
        <v>3.0151943559890002</v>
      </c>
      <c r="S90" s="29">
        <v>62448</v>
      </c>
      <c r="T90" s="32">
        <v>971.41333333333296</v>
      </c>
      <c r="U90" s="32">
        <v>0</v>
      </c>
      <c r="V90" s="31">
        <v>3.0151943559890002</v>
      </c>
      <c r="W90" s="33">
        <v>46090</v>
      </c>
      <c r="X90" s="33">
        <v>46090</v>
      </c>
    </row>
    <row r="91" spans="1:24" ht="15.75" thickBot="1" x14ac:dyDescent="0.3">
      <c r="A91" t="str">
        <f t="shared" si="1"/>
        <v>MB3C 5B852 AC</v>
      </c>
      <c r="B91" s="22" t="s">
        <v>941</v>
      </c>
      <c r="C91" s="22" t="s">
        <v>2172</v>
      </c>
      <c r="D91" s="22" t="s">
        <v>2173</v>
      </c>
      <c r="E91" s="21"/>
      <c r="F91" s="22" t="s">
        <v>2272</v>
      </c>
      <c r="G91" s="28" t="s">
        <v>2012</v>
      </c>
      <c r="H91" s="22" t="s">
        <v>2080</v>
      </c>
      <c r="I91" s="21"/>
      <c r="J91" s="22" t="s">
        <v>364</v>
      </c>
      <c r="K91" s="22" t="s">
        <v>924</v>
      </c>
      <c r="L91" s="21"/>
      <c r="M91" s="22" t="s">
        <v>2014</v>
      </c>
      <c r="N91" s="28" t="s">
        <v>2015</v>
      </c>
      <c r="O91" s="28" t="s">
        <v>2016</v>
      </c>
      <c r="P91" s="29">
        <v>1600</v>
      </c>
      <c r="Q91" s="28" t="s">
        <v>2017</v>
      </c>
      <c r="R91" s="31">
        <v>2.502363343157</v>
      </c>
      <c r="S91" s="29">
        <v>41104</v>
      </c>
      <c r="T91" s="32">
        <v>639.39555555555501</v>
      </c>
      <c r="U91" s="32">
        <v>0</v>
      </c>
      <c r="V91" s="31">
        <v>2.502363343157</v>
      </c>
      <c r="W91" s="33">
        <v>46089</v>
      </c>
      <c r="X91" s="33">
        <v>46090</v>
      </c>
    </row>
    <row r="92" spans="1:24" ht="15.75" thickBot="1" x14ac:dyDescent="0.3">
      <c r="A92" t="str">
        <f t="shared" si="1"/>
        <v>MB3C 7P026 AC</v>
      </c>
      <c r="B92" s="22" t="s">
        <v>945</v>
      </c>
      <c r="C92" s="22" t="s">
        <v>2273</v>
      </c>
      <c r="D92" s="22" t="s">
        <v>2274</v>
      </c>
      <c r="E92" s="21"/>
      <c r="F92" s="22" t="s">
        <v>2275</v>
      </c>
      <c r="G92" s="28" t="s">
        <v>2012</v>
      </c>
      <c r="H92" s="22" t="s">
        <v>2080</v>
      </c>
      <c r="I92" s="21"/>
      <c r="J92" s="22" t="s">
        <v>364</v>
      </c>
      <c r="K92" s="22" t="s">
        <v>924</v>
      </c>
      <c r="L92" s="21"/>
      <c r="M92" s="22" t="s">
        <v>2014</v>
      </c>
      <c r="N92" s="28" t="s">
        <v>2015</v>
      </c>
      <c r="O92" s="28" t="s">
        <v>2016</v>
      </c>
      <c r="P92" s="29">
        <v>1260</v>
      </c>
      <c r="Q92" s="28" t="s">
        <v>2017</v>
      </c>
      <c r="R92" s="31">
        <v>3.6611824263239998</v>
      </c>
      <c r="S92" s="29">
        <v>22124</v>
      </c>
      <c r="T92" s="32">
        <v>344.15111111111099</v>
      </c>
      <c r="U92" s="32">
        <v>0</v>
      </c>
      <c r="V92" s="31">
        <v>3.6611824263239998</v>
      </c>
      <c r="W92" s="33">
        <v>46090</v>
      </c>
      <c r="X92" s="33">
        <v>46090</v>
      </c>
    </row>
    <row r="93" spans="1:24" ht="15.75" thickBot="1" x14ac:dyDescent="0.3">
      <c r="A93" t="str">
        <f t="shared" si="1"/>
        <v>MLD16E166ABPIA05</v>
      </c>
      <c r="B93" s="22" t="s">
        <v>904</v>
      </c>
      <c r="C93" s="22" t="s">
        <v>2276</v>
      </c>
      <c r="D93" s="22" t="s">
        <v>2277</v>
      </c>
      <c r="E93" s="21"/>
      <c r="F93" s="22" t="s">
        <v>2278</v>
      </c>
      <c r="G93" s="28" t="s">
        <v>2012</v>
      </c>
      <c r="H93" s="22" t="s">
        <v>2013</v>
      </c>
      <c r="I93" s="21"/>
      <c r="J93" s="22" t="s">
        <v>364</v>
      </c>
      <c r="K93" s="22" t="s">
        <v>262</v>
      </c>
      <c r="L93" s="21"/>
      <c r="M93" s="22" t="s">
        <v>2034</v>
      </c>
      <c r="N93" s="28" t="s">
        <v>2015</v>
      </c>
      <c r="O93" s="28" t="s">
        <v>2016</v>
      </c>
      <c r="P93" s="29">
        <v>891</v>
      </c>
      <c r="Q93" s="28" t="s">
        <v>2017</v>
      </c>
      <c r="R93" s="31">
        <v>1.2670568382189999</v>
      </c>
      <c r="S93" s="29">
        <v>45206</v>
      </c>
      <c r="T93" s="32">
        <v>703.20444444444399</v>
      </c>
      <c r="U93" s="32">
        <v>0</v>
      </c>
      <c r="V93" s="31">
        <v>1.2670568382189999</v>
      </c>
      <c r="W93" s="33">
        <v>46088</v>
      </c>
      <c r="X93" s="33">
        <v>46090</v>
      </c>
    </row>
    <row r="94" spans="1:24" ht="15.75" thickBot="1" x14ac:dyDescent="0.3">
      <c r="A94" t="str">
        <f t="shared" si="1"/>
        <v>MLD16E166ABPIA06</v>
      </c>
      <c r="B94" s="22" t="s">
        <v>906</v>
      </c>
      <c r="C94" s="22" t="s">
        <v>2279</v>
      </c>
      <c r="D94" s="22" t="s">
        <v>2280</v>
      </c>
      <c r="E94" s="21"/>
      <c r="F94" s="22" t="s">
        <v>2278</v>
      </c>
      <c r="G94" s="28" t="s">
        <v>2012</v>
      </c>
      <c r="H94" s="22" t="s">
        <v>2013</v>
      </c>
      <c r="I94" s="21"/>
      <c r="J94" s="22" t="s">
        <v>364</v>
      </c>
      <c r="K94" s="22" t="s">
        <v>262</v>
      </c>
      <c r="L94" s="21"/>
      <c r="M94" s="22" t="s">
        <v>2034</v>
      </c>
      <c r="N94" s="28" t="s">
        <v>2015</v>
      </c>
      <c r="O94" s="28" t="s">
        <v>2016</v>
      </c>
      <c r="P94" s="29">
        <v>1758</v>
      </c>
      <c r="Q94" s="28" t="s">
        <v>2017</v>
      </c>
      <c r="R94" s="31">
        <v>2.4999841993160001</v>
      </c>
      <c r="S94" s="29">
        <v>45206</v>
      </c>
      <c r="T94" s="32">
        <v>703.20444444444399</v>
      </c>
      <c r="U94" s="32">
        <v>0</v>
      </c>
      <c r="V94" s="31">
        <v>2.4999841993160001</v>
      </c>
      <c r="W94" s="33">
        <v>46089</v>
      </c>
      <c r="X94" s="33">
        <v>46090</v>
      </c>
    </row>
    <row r="95" spans="1:24" ht="15.75" thickBot="1" x14ac:dyDescent="0.3">
      <c r="A95" t="str">
        <f t="shared" si="1"/>
        <v>MLD16E166APIA01</v>
      </c>
      <c r="B95" s="22" t="s">
        <v>912</v>
      </c>
      <c r="C95" s="22" t="s">
        <v>2281</v>
      </c>
      <c r="D95" s="22" t="s">
        <v>2282</v>
      </c>
      <c r="E95" s="22" t="s">
        <v>2283</v>
      </c>
      <c r="F95" s="22" t="s">
        <v>2284</v>
      </c>
      <c r="G95" s="28" t="s">
        <v>2012</v>
      </c>
      <c r="H95" s="22" t="s">
        <v>2013</v>
      </c>
      <c r="I95" s="21"/>
      <c r="J95" s="22" t="s">
        <v>364</v>
      </c>
      <c r="K95" s="22" t="s">
        <v>262</v>
      </c>
      <c r="L95" s="21"/>
      <c r="M95" s="22" t="s">
        <v>2034</v>
      </c>
      <c r="N95" s="28" t="s">
        <v>2015</v>
      </c>
      <c r="O95" s="28" t="s">
        <v>2016</v>
      </c>
      <c r="P95" s="29">
        <v>739</v>
      </c>
      <c r="Q95" s="28" t="s">
        <v>2017</v>
      </c>
      <c r="R95" s="31">
        <v>1.0509034831020001</v>
      </c>
      <c r="S95" s="29">
        <v>45206</v>
      </c>
      <c r="T95" s="32">
        <v>703.20444444444399</v>
      </c>
      <c r="U95" s="32">
        <v>0</v>
      </c>
      <c r="V95" s="31">
        <v>1.0509034831020001</v>
      </c>
      <c r="W95" s="33">
        <v>46088</v>
      </c>
      <c r="X95" s="33">
        <v>46090</v>
      </c>
    </row>
    <row r="96" spans="1:24" ht="15.75" thickBot="1" x14ac:dyDescent="0.3">
      <c r="A96" t="str">
        <f t="shared" si="1"/>
        <v>MLD16E166APIA10</v>
      </c>
      <c r="B96" s="22" t="s">
        <v>807</v>
      </c>
      <c r="C96" s="22" t="s">
        <v>2285</v>
      </c>
      <c r="D96" s="22" t="s">
        <v>2286</v>
      </c>
      <c r="E96" s="22" t="s">
        <v>2287</v>
      </c>
      <c r="F96" s="22" t="s">
        <v>2288</v>
      </c>
      <c r="G96" s="28" t="s">
        <v>2012</v>
      </c>
      <c r="H96" s="22" t="s">
        <v>2013</v>
      </c>
      <c r="I96" s="21"/>
      <c r="J96" s="22" t="s">
        <v>364</v>
      </c>
      <c r="K96" s="22" t="s">
        <v>262</v>
      </c>
      <c r="L96" s="21"/>
      <c r="M96" s="22" t="s">
        <v>2034</v>
      </c>
      <c r="N96" s="28" t="s">
        <v>2015</v>
      </c>
      <c r="O96" s="28" t="s">
        <v>2016</v>
      </c>
      <c r="P96" s="29">
        <v>1712</v>
      </c>
      <c r="Q96" s="28" t="s">
        <v>2017</v>
      </c>
      <c r="R96" s="31">
        <v>2.4382370255020001</v>
      </c>
      <c r="S96" s="29">
        <v>45138</v>
      </c>
      <c r="T96" s="32">
        <v>702.14666666666699</v>
      </c>
      <c r="U96" s="32">
        <v>0</v>
      </c>
      <c r="V96" s="31">
        <v>2.4382370255020001</v>
      </c>
      <c r="W96" s="33">
        <v>46089</v>
      </c>
      <c r="X96" s="33">
        <v>46090</v>
      </c>
    </row>
    <row r="97" spans="1:24" ht="15.75" thickBot="1" x14ac:dyDescent="0.3">
      <c r="A97" t="str">
        <f t="shared" si="1"/>
        <v>MLD16L558F</v>
      </c>
      <c r="B97" s="22" t="s">
        <v>603</v>
      </c>
      <c r="C97" s="22" t="s">
        <v>2289</v>
      </c>
      <c r="D97" s="22" t="s">
        <v>604</v>
      </c>
      <c r="E97" s="22" t="s">
        <v>2290</v>
      </c>
      <c r="F97" s="22" t="s">
        <v>2291</v>
      </c>
      <c r="G97" s="28" t="s">
        <v>2012</v>
      </c>
      <c r="H97" s="22" t="s">
        <v>2013</v>
      </c>
      <c r="I97" s="21"/>
      <c r="J97" s="22" t="s">
        <v>261</v>
      </c>
      <c r="K97" s="22" t="s">
        <v>262</v>
      </c>
      <c r="L97" s="21"/>
      <c r="M97" s="22" t="s">
        <v>2034</v>
      </c>
      <c r="N97" s="28" t="s">
        <v>2015</v>
      </c>
      <c r="O97" s="28" t="s">
        <v>2016</v>
      </c>
      <c r="P97" s="29">
        <v>33</v>
      </c>
      <c r="Q97" s="28" t="s">
        <v>2017</v>
      </c>
      <c r="R97" s="31">
        <v>1.1579850280720001</v>
      </c>
      <c r="S97" s="29">
        <v>1832</v>
      </c>
      <c r="T97" s="32">
        <v>28.497777777776999</v>
      </c>
      <c r="U97" s="32">
        <v>0</v>
      </c>
      <c r="V97" s="31">
        <v>1.1579850280720001</v>
      </c>
      <c r="W97" s="33">
        <v>46088</v>
      </c>
      <c r="X97" s="33">
        <v>46090</v>
      </c>
    </row>
    <row r="98" spans="1:24" ht="15.75" thickBot="1" x14ac:dyDescent="0.3">
      <c r="A98" t="str">
        <f t="shared" si="1"/>
        <v>MLD16L559F</v>
      </c>
      <c r="B98" s="22" t="s">
        <v>607</v>
      </c>
      <c r="C98" s="22" t="s">
        <v>2292</v>
      </c>
      <c r="D98" s="22" t="s">
        <v>608</v>
      </c>
      <c r="E98" s="22" t="s">
        <v>2290</v>
      </c>
      <c r="F98" s="22" t="s">
        <v>2291</v>
      </c>
      <c r="G98" s="28" t="s">
        <v>2012</v>
      </c>
      <c r="H98" s="22" t="s">
        <v>2013</v>
      </c>
      <c r="I98" s="21"/>
      <c r="J98" s="22" t="s">
        <v>261</v>
      </c>
      <c r="K98" s="22" t="s">
        <v>262</v>
      </c>
      <c r="L98" s="21"/>
      <c r="M98" s="22" t="s">
        <v>2034</v>
      </c>
      <c r="N98" s="28" t="s">
        <v>2015</v>
      </c>
      <c r="O98" s="28" t="s">
        <v>2016</v>
      </c>
      <c r="P98" s="29">
        <v>47</v>
      </c>
      <c r="Q98" s="28" t="s">
        <v>2017</v>
      </c>
      <c r="R98" s="31">
        <v>1.627048234479</v>
      </c>
      <c r="S98" s="29">
        <v>1857</v>
      </c>
      <c r="T98" s="32">
        <v>28.886666666665999</v>
      </c>
      <c r="U98" s="32">
        <v>0</v>
      </c>
      <c r="V98" s="31">
        <v>1.627048234479</v>
      </c>
      <c r="W98" s="33">
        <v>46088</v>
      </c>
      <c r="X98" s="33">
        <v>46090</v>
      </c>
    </row>
    <row r="99" spans="1:24" ht="15.75" thickBot="1" x14ac:dyDescent="0.3">
      <c r="A99" t="str">
        <f t="shared" si="1"/>
        <v>MLD16L560F</v>
      </c>
      <c r="B99" s="22" t="s">
        <v>611</v>
      </c>
      <c r="C99" s="22" t="s">
        <v>2293</v>
      </c>
      <c r="D99" s="22" t="s">
        <v>612</v>
      </c>
      <c r="E99" s="22" t="s">
        <v>2290</v>
      </c>
      <c r="F99" s="22" t="s">
        <v>2291</v>
      </c>
      <c r="G99" s="28" t="s">
        <v>2012</v>
      </c>
      <c r="H99" s="22" t="s">
        <v>2013</v>
      </c>
      <c r="I99" s="21"/>
      <c r="J99" s="22" t="s">
        <v>261</v>
      </c>
      <c r="K99" s="22" t="s">
        <v>262</v>
      </c>
      <c r="L99" s="21"/>
      <c r="M99" s="22" t="s">
        <v>2034</v>
      </c>
      <c r="N99" s="28" t="s">
        <v>2015</v>
      </c>
      <c r="O99" s="28" t="s">
        <v>2016</v>
      </c>
      <c r="P99" s="29">
        <v>63</v>
      </c>
      <c r="Q99" s="28" t="s">
        <v>2017</v>
      </c>
      <c r="R99" s="31">
        <v>2.2058823529409999</v>
      </c>
      <c r="S99" s="29">
        <v>1836</v>
      </c>
      <c r="T99" s="32">
        <v>28.56</v>
      </c>
      <c r="U99" s="32">
        <v>0</v>
      </c>
      <c r="V99" s="31">
        <v>2.2058823529409999</v>
      </c>
      <c r="W99" s="33">
        <v>46089</v>
      </c>
      <c r="X99" s="33">
        <v>46090</v>
      </c>
    </row>
    <row r="100" spans="1:24" ht="15.75" thickBot="1" x14ac:dyDescent="0.3">
      <c r="A100" t="str">
        <f t="shared" si="1"/>
        <v>MLD16L561F</v>
      </c>
      <c r="B100" s="22" t="s">
        <v>615</v>
      </c>
      <c r="C100" s="22" t="s">
        <v>2294</v>
      </c>
      <c r="D100" s="22" t="s">
        <v>616</v>
      </c>
      <c r="E100" s="22" t="s">
        <v>2290</v>
      </c>
      <c r="F100" s="22" t="s">
        <v>2291</v>
      </c>
      <c r="G100" s="28" t="s">
        <v>2012</v>
      </c>
      <c r="H100" s="22" t="s">
        <v>2013</v>
      </c>
      <c r="I100" s="21"/>
      <c r="J100" s="22" t="s">
        <v>261</v>
      </c>
      <c r="K100" s="22" t="s">
        <v>262</v>
      </c>
      <c r="L100" s="21"/>
      <c r="M100" s="22" t="s">
        <v>2034</v>
      </c>
      <c r="N100" s="28" t="s">
        <v>2015</v>
      </c>
      <c r="O100" s="28" t="s">
        <v>2016</v>
      </c>
      <c r="P100" s="29">
        <v>77</v>
      </c>
      <c r="Q100" s="28" t="s">
        <v>2017</v>
      </c>
      <c r="R100" s="31">
        <v>2.6684636118589999</v>
      </c>
      <c r="S100" s="29">
        <v>1855</v>
      </c>
      <c r="T100" s="32">
        <v>28.855555555555</v>
      </c>
      <c r="U100" s="32">
        <v>0</v>
      </c>
      <c r="V100" s="31">
        <v>2.6684636118589999</v>
      </c>
      <c r="W100" s="33">
        <v>46089</v>
      </c>
      <c r="X100" s="33">
        <v>46090</v>
      </c>
    </row>
    <row r="101" spans="1:24" ht="15.75" thickBot="1" x14ac:dyDescent="0.3">
      <c r="A101" t="str">
        <f t="shared" si="1"/>
        <v>MLD17E811BA</v>
      </c>
      <c r="B101" s="22" t="s">
        <v>859</v>
      </c>
      <c r="C101" s="22" t="s">
        <v>2295</v>
      </c>
      <c r="D101" s="22" t="s">
        <v>2296</v>
      </c>
      <c r="E101" s="22" t="s">
        <v>2297</v>
      </c>
      <c r="F101" s="22" t="s">
        <v>2298</v>
      </c>
      <c r="G101" s="28" t="s">
        <v>2012</v>
      </c>
      <c r="H101" s="22" t="s">
        <v>2013</v>
      </c>
      <c r="I101" s="21"/>
      <c r="J101" s="22" t="s">
        <v>364</v>
      </c>
      <c r="K101" s="22" t="s">
        <v>262</v>
      </c>
      <c r="L101" s="21"/>
      <c r="M101" s="22" t="s">
        <v>2034</v>
      </c>
      <c r="N101" s="28" t="s">
        <v>2015</v>
      </c>
      <c r="O101" s="28" t="s">
        <v>2016</v>
      </c>
      <c r="P101" s="29">
        <v>321</v>
      </c>
      <c r="Q101" s="28" t="s">
        <v>2017</v>
      </c>
      <c r="R101" s="31">
        <v>1.5037320036220001</v>
      </c>
      <c r="S101" s="29">
        <v>13723</v>
      </c>
      <c r="T101" s="32">
        <v>213.46888888888901</v>
      </c>
      <c r="U101" s="32">
        <v>0</v>
      </c>
      <c r="V101" s="31">
        <v>1.5037320036220001</v>
      </c>
      <c r="W101" s="33">
        <v>46088</v>
      </c>
      <c r="X101" s="33">
        <v>46090</v>
      </c>
    </row>
    <row r="102" spans="1:24" ht="15.75" thickBot="1" x14ac:dyDescent="0.3">
      <c r="A102" t="str">
        <f t="shared" si="1"/>
        <v>MLDBEE17693</v>
      </c>
      <c r="B102" s="22" t="s">
        <v>649</v>
      </c>
      <c r="C102" s="22" t="s">
        <v>2299</v>
      </c>
      <c r="D102" s="22" t="s">
        <v>2300</v>
      </c>
      <c r="E102" s="22" t="s">
        <v>2301</v>
      </c>
      <c r="F102" s="22" t="s">
        <v>2302</v>
      </c>
      <c r="G102" s="28" t="s">
        <v>2012</v>
      </c>
      <c r="H102" s="22" t="s">
        <v>2013</v>
      </c>
      <c r="I102" s="21"/>
      <c r="J102" s="22" t="s">
        <v>404</v>
      </c>
      <c r="K102" s="22" t="s">
        <v>262</v>
      </c>
      <c r="L102" s="21"/>
      <c r="M102" s="22" t="s">
        <v>2034</v>
      </c>
      <c r="N102" s="28" t="s">
        <v>2015</v>
      </c>
      <c r="O102" s="28" t="s">
        <v>2016</v>
      </c>
      <c r="P102" s="29">
        <v>115</v>
      </c>
      <c r="Q102" s="28" t="s">
        <v>2017</v>
      </c>
      <c r="R102" s="31">
        <v>3.97679243833</v>
      </c>
      <c r="S102" s="29">
        <v>1859</v>
      </c>
      <c r="T102" s="32">
        <v>28.917777777777001</v>
      </c>
      <c r="U102" s="32">
        <v>0</v>
      </c>
      <c r="V102" s="31">
        <v>3.97679243833</v>
      </c>
      <c r="W102" s="33">
        <v>46090</v>
      </c>
      <c r="X102" s="33">
        <v>46090</v>
      </c>
    </row>
    <row r="103" spans="1:24" ht="15.75" thickBot="1" x14ac:dyDescent="0.3">
      <c r="A103" t="str">
        <f t="shared" si="1"/>
        <v>MLDBEE17853</v>
      </c>
      <c r="B103" s="22" t="s">
        <v>653</v>
      </c>
      <c r="C103" s="22" t="s">
        <v>2303</v>
      </c>
      <c r="D103" s="22" t="s">
        <v>2304</v>
      </c>
      <c r="E103" s="22" t="s">
        <v>2301</v>
      </c>
      <c r="F103" s="22" t="s">
        <v>2305</v>
      </c>
      <c r="G103" s="28" t="s">
        <v>2012</v>
      </c>
      <c r="H103" s="22" t="s">
        <v>2013</v>
      </c>
      <c r="I103" s="21"/>
      <c r="J103" s="22" t="s">
        <v>404</v>
      </c>
      <c r="K103" s="22" t="s">
        <v>262</v>
      </c>
      <c r="L103" s="21"/>
      <c r="M103" s="22" t="s">
        <v>2034</v>
      </c>
      <c r="N103" s="28" t="s">
        <v>2015</v>
      </c>
      <c r="O103" s="28" t="s">
        <v>2016</v>
      </c>
      <c r="P103" s="29">
        <v>24</v>
      </c>
      <c r="Q103" s="28" t="s">
        <v>2017</v>
      </c>
      <c r="R103" s="31">
        <v>2.176103163409</v>
      </c>
      <c r="S103" s="29">
        <v>709</v>
      </c>
      <c r="T103" s="32">
        <v>11.028888888888</v>
      </c>
      <c r="U103" s="32">
        <v>0</v>
      </c>
      <c r="V103" s="31">
        <v>2.176103163409</v>
      </c>
      <c r="W103" s="33">
        <v>46089</v>
      </c>
      <c r="X103" s="33">
        <v>46090</v>
      </c>
    </row>
    <row r="104" spans="1:24" ht="15.75" thickBot="1" x14ac:dyDescent="0.3">
      <c r="A104" t="str">
        <f t="shared" si="1"/>
        <v>MLDBEE18184</v>
      </c>
      <c r="B104" s="22" t="s">
        <v>863</v>
      </c>
      <c r="C104" s="22" t="s">
        <v>2306</v>
      </c>
      <c r="D104" s="22" t="s">
        <v>2307</v>
      </c>
      <c r="E104" s="21"/>
      <c r="F104" s="22" t="s">
        <v>2308</v>
      </c>
      <c r="G104" s="28" t="s">
        <v>2012</v>
      </c>
      <c r="H104" s="22" t="s">
        <v>2013</v>
      </c>
      <c r="I104" s="21"/>
      <c r="J104" s="22" t="s">
        <v>404</v>
      </c>
      <c r="K104" s="22" t="s">
        <v>262</v>
      </c>
      <c r="L104" s="21"/>
      <c r="M104" s="22" t="s">
        <v>2034</v>
      </c>
      <c r="N104" s="28" t="s">
        <v>2015</v>
      </c>
      <c r="O104" s="28" t="s">
        <v>2016</v>
      </c>
      <c r="P104" s="29">
        <v>15</v>
      </c>
      <c r="Q104" s="28" t="s">
        <v>2017</v>
      </c>
      <c r="R104" s="31">
        <v>2.5714285714280001</v>
      </c>
      <c r="S104" s="29">
        <v>375</v>
      </c>
      <c r="T104" s="32">
        <v>5.833333333333</v>
      </c>
      <c r="U104" s="32">
        <v>0</v>
      </c>
      <c r="V104" s="31">
        <v>2.5714285714280001</v>
      </c>
      <c r="W104" s="33">
        <v>46089</v>
      </c>
      <c r="X104" s="33">
        <v>46090</v>
      </c>
    </row>
    <row r="105" spans="1:24" ht="15.75" thickBot="1" x14ac:dyDescent="0.3">
      <c r="A105" t="str">
        <f t="shared" si="1"/>
        <v>MLDBEE18185</v>
      </c>
      <c r="B105" s="22" t="s">
        <v>865</v>
      </c>
      <c r="C105" s="22" t="s">
        <v>2309</v>
      </c>
      <c r="D105" s="22" t="s">
        <v>2310</v>
      </c>
      <c r="E105" s="21"/>
      <c r="F105" s="22" t="s">
        <v>2308</v>
      </c>
      <c r="G105" s="28" t="s">
        <v>2012</v>
      </c>
      <c r="H105" s="22" t="s">
        <v>2013</v>
      </c>
      <c r="I105" s="21"/>
      <c r="J105" s="22" t="s">
        <v>404</v>
      </c>
      <c r="K105" s="22" t="s">
        <v>262</v>
      </c>
      <c r="L105" s="21"/>
      <c r="M105" s="22" t="s">
        <v>2034</v>
      </c>
      <c r="N105" s="28" t="s">
        <v>2015</v>
      </c>
      <c r="O105" s="28" t="s">
        <v>2016</v>
      </c>
      <c r="P105" s="29">
        <v>24</v>
      </c>
      <c r="Q105" s="28" t="s">
        <v>2017</v>
      </c>
      <c r="R105" s="31">
        <v>1.4259308159490001</v>
      </c>
      <c r="S105" s="29">
        <v>1082</v>
      </c>
      <c r="T105" s="32">
        <v>16.831111111110999</v>
      </c>
      <c r="U105" s="32">
        <v>0</v>
      </c>
      <c r="V105" s="31">
        <v>1.4259308159490001</v>
      </c>
      <c r="W105" s="33">
        <v>46088</v>
      </c>
      <c r="X105" s="33">
        <v>46090</v>
      </c>
    </row>
    <row r="106" spans="1:24" ht="15.75" thickBot="1" x14ac:dyDescent="0.3">
      <c r="A106" t="str">
        <f t="shared" si="1"/>
        <v>MLDBEE88424</v>
      </c>
      <c r="B106" s="22" t="s">
        <v>655</v>
      </c>
      <c r="C106" s="22" t="s">
        <v>2311</v>
      </c>
      <c r="D106" s="22" t="s">
        <v>2312</v>
      </c>
      <c r="E106" s="22" t="s">
        <v>2301</v>
      </c>
      <c r="F106" s="22" t="s">
        <v>2313</v>
      </c>
      <c r="G106" s="28" t="s">
        <v>2012</v>
      </c>
      <c r="H106" s="22" t="s">
        <v>2013</v>
      </c>
      <c r="I106" s="21"/>
      <c r="J106" s="22" t="s">
        <v>404</v>
      </c>
      <c r="K106" s="22" t="s">
        <v>262</v>
      </c>
      <c r="L106" s="21"/>
      <c r="M106" s="22" t="s">
        <v>2034</v>
      </c>
      <c r="N106" s="28" t="s">
        <v>2015</v>
      </c>
      <c r="O106" s="28" t="s">
        <v>2016</v>
      </c>
      <c r="P106" s="29">
        <v>10</v>
      </c>
      <c r="Q106" s="28" t="s">
        <v>2017</v>
      </c>
      <c r="R106" s="31">
        <v>1.6872890888630001</v>
      </c>
      <c r="S106" s="29">
        <v>381</v>
      </c>
      <c r="T106" s="32">
        <v>5.9266666666659997</v>
      </c>
      <c r="U106" s="32">
        <v>0</v>
      </c>
      <c r="V106" s="31">
        <v>1.6872890888630001</v>
      </c>
      <c r="W106" s="33">
        <v>46088</v>
      </c>
      <c r="X106" s="33">
        <v>46090</v>
      </c>
    </row>
    <row r="107" spans="1:24" ht="15.75" thickBot="1" x14ac:dyDescent="0.3">
      <c r="A107" t="str">
        <f t="shared" si="1"/>
        <v>MLDBEE88523</v>
      </c>
      <c r="B107" s="22" t="s">
        <v>657</v>
      </c>
      <c r="C107" s="22" t="s">
        <v>2314</v>
      </c>
      <c r="D107" s="22" t="s">
        <v>2315</v>
      </c>
      <c r="E107" s="21"/>
      <c r="F107" s="22" t="s">
        <v>2313</v>
      </c>
      <c r="G107" s="28" t="s">
        <v>2012</v>
      </c>
      <c r="H107" s="22" t="s">
        <v>2013</v>
      </c>
      <c r="I107" s="21"/>
      <c r="J107" s="22" t="s">
        <v>404</v>
      </c>
      <c r="K107" s="22" t="s">
        <v>262</v>
      </c>
      <c r="L107" s="21"/>
      <c r="M107" s="22" t="s">
        <v>2034</v>
      </c>
      <c r="N107" s="28" t="s">
        <v>2015</v>
      </c>
      <c r="O107" s="28" t="s">
        <v>2016</v>
      </c>
      <c r="P107" s="29">
        <v>15</v>
      </c>
      <c r="Q107" s="28" t="s">
        <v>2017</v>
      </c>
      <c r="R107" s="31">
        <v>1.750064817215</v>
      </c>
      <c r="S107" s="29">
        <v>551</v>
      </c>
      <c r="T107" s="32">
        <v>8.5711111111109997</v>
      </c>
      <c r="U107" s="32">
        <v>0</v>
      </c>
      <c r="V107" s="31">
        <v>1.750064817215</v>
      </c>
      <c r="W107" s="33">
        <v>46088</v>
      </c>
      <c r="X107" s="33">
        <v>46090</v>
      </c>
    </row>
    <row r="108" spans="1:24" ht="15.75" thickBot="1" x14ac:dyDescent="0.3">
      <c r="A108" t="str">
        <f t="shared" si="1"/>
        <v>MLDBEE95348</v>
      </c>
      <c r="B108" s="22" t="s">
        <v>772</v>
      </c>
      <c r="C108" s="22" t="s">
        <v>2316</v>
      </c>
      <c r="D108" s="22" t="s">
        <v>2317</v>
      </c>
      <c r="E108" s="21"/>
      <c r="F108" s="22" t="s">
        <v>2318</v>
      </c>
      <c r="G108" s="28" t="s">
        <v>2012</v>
      </c>
      <c r="H108" s="22" t="s">
        <v>2013</v>
      </c>
      <c r="I108" s="21"/>
      <c r="J108" s="22" t="s">
        <v>404</v>
      </c>
      <c r="K108" s="22" t="s">
        <v>262</v>
      </c>
      <c r="L108" s="21"/>
      <c r="M108" s="22" t="s">
        <v>2034</v>
      </c>
      <c r="N108" s="28" t="s">
        <v>2015</v>
      </c>
      <c r="O108" s="28" t="s">
        <v>2016</v>
      </c>
      <c r="P108" s="29">
        <v>10</v>
      </c>
      <c r="Q108" s="28" t="s">
        <v>2017</v>
      </c>
      <c r="R108" s="31">
        <v>1.595179014533</v>
      </c>
      <c r="S108" s="29">
        <v>403</v>
      </c>
      <c r="T108" s="32">
        <v>6.2688888888880001</v>
      </c>
      <c r="U108" s="32">
        <v>0</v>
      </c>
      <c r="V108" s="31">
        <v>1.595179014533</v>
      </c>
      <c r="W108" s="33">
        <v>46088</v>
      </c>
      <c r="X108" s="33">
        <v>46090</v>
      </c>
    </row>
    <row r="109" spans="1:24" ht="15.75" thickBot="1" x14ac:dyDescent="0.3">
      <c r="A109" t="str">
        <f t="shared" si="1"/>
        <v>MLDBEJ25370</v>
      </c>
      <c r="B109" s="22" t="s">
        <v>661</v>
      </c>
      <c r="C109" s="22" t="s">
        <v>2319</v>
      </c>
      <c r="D109" s="22" t="s">
        <v>2320</v>
      </c>
      <c r="E109" s="21"/>
      <c r="F109" s="22" t="s">
        <v>2321</v>
      </c>
      <c r="G109" s="28" t="s">
        <v>2012</v>
      </c>
      <c r="H109" s="22" t="s">
        <v>2013</v>
      </c>
      <c r="I109" s="21"/>
      <c r="J109" s="22" t="s">
        <v>404</v>
      </c>
      <c r="K109" s="22" t="s">
        <v>262</v>
      </c>
      <c r="L109" s="21"/>
      <c r="M109" s="22" t="s">
        <v>2034</v>
      </c>
      <c r="N109" s="28" t="s">
        <v>2015</v>
      </c>
      <c r="O109" s="28" t="s">
        <v>2016</v>
      </c>
      <c r="P109" s="29">
        <v>15</v>
      </c>
      <c r="Q109" s="28" t="s">
        <v>2017</v>
      </c>
      <c r="R109" s="31">
        <v>2.739448051948</v>
      </c>
      <c r="S109" s="29">
        <v>352</v>
      </c>
      <c r="T109" s="32">
        <v>5.4755555555550002</v>
      </c>
      <c r="U109" s="32">
        <v>0</v>
      </c>
      <c r="V109" s="31">
        <v>2.739448051948</v>
      </c>
      <c r="W109" s="33">
        <v>46089</v>
      </c>
      <c r="X109" s="33">
        <v>46090</v>
      </c>
    </row>
    <row r="110" spans="1:24" ht="15.75" thickBot="1" x14ac:dyDescent="0.3">
      <c r="A110" t="str">
        <f t="shared" si="1"/>
        <v>MLDBEJ25375</v>
      </c>
      <c r="B110" s="22" t="s">
        <v>663</v>
      </c>
      <c r="C110" s="22" t="s">
        <v>2322</v>
      </c>
      <c r="D110" s="22" t="s">
        <v>2323</v>
      </c>
      <c r="E110" s="21"/>
      <c r="F110" s="22" t="s">
        <v>2321</v>
      </c>
      <c r="G110" s="28" t="s">
        <v>2012</v>
      </c>
      <c r="H110" s="22" t="s">
        <v>2013</v>
      </c>
      <c r="I110" s="21"/>
      <c r="J110" s="22" t="s">
        <v>404</v>
      </c>
      <c r="K110" s="22" t="s">
        <v>262</v>
      </c>
      <c r="L110" s="21"/>
      <c r="M110" s="22" t="s">
        <v>2034</v>
      </c>
      <c r="N110" s="28" t="s">
        <v>2015</v>
      </c>
      <c r="O110" s="28" t="s">
        <v>2016</v>
      </c>
      <c r="P110" s="29">
        <v>13</v>
      </c>
      <c r="Q110" s="28" t="s">
        <v>2017</v>
      </c>
      <c r="R110" s="31">
        <v>1.2798074819509999</v>
      </c>
      <c r="S110" s="29">
        <v>653</v>
      </c>
      <c r="T110" s="32">
        <v>10.157777777777</v>
      </c>
      <c r="U110" s="32">
        <v>0</v>
      </c>
      <c r="V110" s="31">
        <v>1.2798074819509999</v>
      </c>
      <c r="W110" s="33">
        <v>46088</v>
      </c>
      <c r="X110" s="33">
        <v>46090</v>
      </c>
    </row>
    <row r="111" spans="1:24" ht="15.75" thickBot="1" x14ac:dyDescent="0.3">
      <c r="A111" t="str">
        <f t="shared" si="1"/>
        <v>MLDBEJ53972</v>
      </c>
      <c r="B111" s="22" t="s">
        <v>822</v>
      </c>
      <c r="C111" s="22" t="s">
        <v>2324</v>
      </c>
      <c r="D111" s="22" t="s">
        <v>2325</v>
      </c>
      <c r="E111" s="22" t="s">
        <v>2326</v>
      </c>
      <c r="F111" s="22" t="s">
        <v>2327</v>
      </c>
      <c r="G111" s="28" t="s">
        <v>2012</v>
      </c>
      <c r="H111" s="22" t="s">
        <v>2013</v>
      </c>
      <c r="I111" s="21"/>
      <c r="J111" s="22" t="s">
        <v>404</v>
      </c>
      <c r="K111" s="22" t="s">
        <v>262</v>
      </c>
      <c r="L111" s="21"/>
      <c r="M111" s="22" t="s">
        <v>2034</v>
      </c>
      <c r="N111" s="28" t="s">
        <v>2015</v>
      </c>
      <c r="O111" s="28" t="s">
        <v>2016</v>
      </c>
      <c r="P111" s="29">
        <v>24</v>
      </c>
      <c r="Q111" s="28" t="s">
        <v>2017</v>
      </c>
      <c r="R111" s="31">
        <v>1.7572404816139999</v>
      </c>
      <c r="S111" s="29">
        <v>878</v>
      </c>
      <c r="T111" s="32">
        <v>13.657777777777</v>
      </c>
      <c r="U111" s="32">
        <v>0</v>
      </c>
      <c r="V111" s="31">
        <v>1.7572404816139999</v>
      </c>
      <c r="W111" s="33">
        <v>46088</v>
      </c>
      <c r="X111" s="33">
        <v>46090</v>
      </c>
    </row>
    <row r="112" spans="1:24" ht="15.75" thickBot="1" x14ac:dyDescent="0.3">
      <c r="A112" t="str">
        <f t="shared" si="1"/>
        <v>MLDBEJ54040</v>
      </c>
      <c r="B112" s="22" t="s">
        <v>824</v>
      </c>
      <c r="C112" s="22" t="s">
        <v>2328</v>
      </c>
      <c r="D112" s="22" t="s">
        <v>2325</v>
      </c>
      <c r="E112" s="22" t="s">
        <v>2326</v>
      </c>
      <c r="F112" s="22" t="s">
        <v>2327</v>
      </c>
      <c r="G112" s="28" t="s">
        <v>2012</v>
      </c>
      <c r="H112" s="22" t="s">
        <v>2013</v>
      </c>
      <c r="I112" s="21"/>
      <c r="J112" s="22" t="s">
        <v>404</v>
      </c>
      <c r="K112" s="22" t="s">
        <v>262</v>
      </c>
      <c r="L112" s="21"/>
      <c r="M112" s="22" t="s">
        <v>2034</v>
      </c>
      <c r="N112" s="28" t="s">
        <v>2015</v>
      </c>
      <c r="O112" s="28" t="s">
        <v>2016</v>
      </c>
      <c r="P112" s="29">
        <v>24</v>
      </c>
      <c r="Q112" s="28" t="s">
        <v>2017</v>
      </c>
      <c r="R112" s="31">
        <v>1.978021978021</v>
      </c>
      <c r="S112" s="29">
        <v>780</v>
      </c>
      <c r="T112" s="32">
        <v>12.133333333333001</v>
      </c>
      <c r="U112" s="32">
        <v>0</v>
      </c>
      <c r="V112" s="31">
        <v>1.978021978021</v>
      </c>
      <c r="W112" s="33">
        <v>46088</v>
      </c>
      <c r="X112" s="33">
        <v>46090</v>
      </c>
    </row>
    <row r="113" spans="1:24" ht="15.75" thickBot="1" x14ac:dyDescent="0.3">
      <c r="A113" t="str">
        <f t="shared" si="1"/>
        <v>MLDBEJ59008</v>
      </c>
      <c r="B113" s="22" t="s">
        <v>827</v>
      </c>
      <c r="C113" s="21"/>
      <c r="D113" s="22" t="s">
        <v>2329</v>
      </c>
      <c r="E113" s="21"/>
      <c r="F113" s="22" t="s">
        <v>2330</v>
      </c>
      <c r="G113" s="28" t="s">
        <v>2012</v>
      </c>
      <c r="H113" s="22" t="s">
        <v>2013</v>
      </c>
      <c r="I113" s="21"/>
      <c r="J113" s="22" t="s">
        <v>404</v>
      </c>
      <c r="K113" s="22" t="s">
        <v>262</v>
      </c>
      <c r="L113" s="21"/>
      <c r="M113" s="22" t="s">
        <v>2034</v>
      </c>
      <c r="N113" s="28" t="s">
        <v>2015</v>
      </c>
      <c r="O113" s="28" t="s">
        <v>2016</v>
      </c>
      <c r="P113" s="29">
        <v>26</v>
      </c>
      <c r="Q113" s="28" t="s">
        <v>2017</v>
      </c>
      <c r="R113" s="31">
        <v>2.137376689806</v>
      </c>
      <c r="S113" s="29">
        <v>782</v>
      </c>
      <c r="T113" s="32">
        <v>12.164444444443999</v>
      </c>
      <c r="U113" s="32">
        <v>0</v>
      </c>
      <c r="V113" s="31">
        <v>2.137376689806</v>
      </c>
      <c r="W113" s="33">
        <v>46089</v>
      </c>
      <c r="X113" s="33">
        <v>46090</v>
      </c>
    </row>
    <row r="114" spans="1:24" ht="15.75" thickBot="1" x14ac:dyDescent="0.3">
      <c r="A114" t="str">
        <f t="shared" si="1"/>
        <v>MLDBEP59461</v>
      </c>
      <c r="B114" s="22" t="s">
        <v>665</v>
      </c>
      <c r="C114" s="22" t="s">
        <v>2331</v>
      </c>
      <c r="D114" s="22" t="s">
        <v>2332</v>
      </c>
      <c r="E114" s="21"/>
      <c r="F114" s="22" t="s">
        <v>2333</v>
      </c>
      <c r="G114" s="28" t="s">
        <v>2012</v>
      </c>
      <c r="H114" s="22" t="s">
        <v>2013</v>
      </c>
      <c r="I114" s="21"/>
      <c r="J114" s="22" t="s">
        <v>404</v>
      </c>
      <c r="K114" s="22" t="s">
        <v>262</v>
      </c>
      <c r="L114" s="21"/>
      <c r="M114" s="22" t="s">
        <v>2034</v>
      </c>
      <c r="N114" s="28" t="s">
        <v>2015</v>
      </c>
      <c r="O114" s="28" t="s">
        <v>2016</v>
      </c>
      <c r="P114" s="29">
        <v>36</v>
      </c>
      <c r="Q114" s="28" t="s">
        <v>2017</v>
      </c>
      <c r="R114" s="31">
        <v>1.5346722243269999</v>
      </c>
      <c r="S114" s="29">
        <v>1508</v>
      </c>
      <c r="T114" s="32">
        <v>23.457777777777</v>
      </c>
      <c r="U114" s="32">
        <v>0</v>
      </c>
      <c r="V114" s="31">
        <v>1.5346722243269999</v>
      </c>
      <c r="W114" s="33">
        <v>46088</v>
      </c>
      <c r="X114" s="33">
        <v>46090</v>
      </c>
    </row>
    <row r="115" spans="1:24" ht="15.75" thickBot="1" x14ac:dyDescent="0.3">
      <c r="A115" t="str">
        <f t="shared" si="1"/>
        <v>MLDBEP59463</v>
      </c>
      <c r="B115" s="22" t="s">
        <v>666</v>
      </c>
      <c r="C115" s="22" t="s">
        <v>2334</v>
      </c>
      <c r="D115" s="22" t="s">
        <v>2335</v>
      </c>
      <c r="E115" s="21"/>
      <c r="F115" s="22" t="s">
        <v>2333</v>
      </c>
      <c r="G115" s="28" t="s">
        <v>2012</v>
      </c>
      <c r="H115" s="22" t="s">
        <v>2013</v>
      </c>
      <c r="I115" s="21"/>
      <c r="J115" s="22" t="s">
        <v>404</v>
      </c>
      <c r="K115" s="22" t="s">
        <v>262</v>
      </c>
      <c r="L115" s="21"/>
      <c r="M115" s="22" t="s">
        <v>2034</v>
      </c>
      <c r="N115" s="28" t="s">
        <v>2015</v>
      </c>
      <c r="O115" s="28" t="s">
        <v>2016</v>
      </c>
      <c r="P115" s="29">
        <v>75</v>
      </c>
      <c r="Q115" s="28" t="s">
        <v>2017</v>
      </c>
      <c r="R115" s="31">
        <v>3.197233800682</v>
      </c>
      <c r="S115" s="29">
        <v>1508</v>
      </c>
      <c r="T115" s="32">
        <v>23.457777777777</v>
      </c>
      <c r="U115" s="32">
        <v>0</v>
      </c>
      <c r="V115" s="31">
        <v>3.197233800682</v>
      </c>
      <c r="W115" s="33">
        <v>46090</v>
      </c>
      <c r="X115" s="33">
        <v>46090</v>
      </c>
    </row>
    <row r="116" spans="1:24" ht="15.75" thickBot="1" x14ac:dyDescent="0.3">
      <c r="A116" t="str">
        <f t="shared" si="1"/>
        <v>MLDE025B85A1NB</v>
      </c>
      <c r="B116" s="22" t="s">
        <v>579</v>
      </c>
      <c r="C116" s="22" t="s">
        <v>2336</v>
      </c>
      <c r="D116" s="22" t="s">
        <v>576</v>
      </c>
      <c r="E116" s="22" t="s">
        <v>2337</v>
      </c>
      <c r="F116" s="22" t="s">
        <v>2338</v>
      </c>
      <c r="G116" s="28" t="s">
        <v>2012</v>
      </c>
      <c r="H116" s="22" t="s">
        <v>2037</v>
      </c>
      <c r="I116" s="21"/>
      <c r="J116" s="22" t="s">
        <v>261</v>
      </c>
      <c r="K116" s="22" t="s">
        <v>262</v>
      </c>
      <c r="L116" s="21"/>
      <c r="M116" s="22" t="s">
        <v>2034</v>
      </c>
      <c r="N116" s="28" t="s">
        <v>2015</v>
      </c>
      <c r="O116" s="28" t="s">
        <v>2016</v>
      </c>
      <c r="P116" s="29">
        <v>411</v>
      </c>
      <c r="Q116" s="28" t="s">
        <v>2017</v>
      </c>
      <c r="R116" s="31">
        <v>1.1394931889169999</v>
      </c>
      <c r="S116" s="29">
        <v>23187</v>
      </c>
      <c r="T116" s="32">
        <v>360.68666666666701</v>
      </c>
      <c r="U116" s="32">
        <v>0</v>
      </c>
      <c r="V116" s="31">
        <v>1.1394931889169999</v>
      </c>
      <c r="W116" s="33">
        <v>46088</v>
      </c>
      <c r="X116" s="33">
        <v>46090</v>
      </c>
    </row>
    <row r="117" spans="1:24" ht="15.75" thickBot="1" x14ac:dyDescent="0.3">
      <c r="A117" t="str">
        <f t="shared" si="1"/>
        <v>MLDE060B01</v>
      </c>
      <c r="B117" s="22" t="s">
        <v>831</v>
      </c>
      <c r="C117" s="22" t="s">
        <v>2339</v>
      </c>
      <c r="D117" s="22" t="s">
        <v>2340</v>
      </c>
      <c r="E117" s="22" t="s">
        <v>2341</v>
      </c>
      <c r="F117" s="22" t="s">
        <v>2342</v>
      </c>
      <c r="G117" s="28" t="s">
        <v>2012</v>
      </c>
      <c r="H117" s="22" t="s">
        <v>2037</v>
      </c>
      <c r="I117" s="21"/>
      <c r="J117" s="22" t="s">
        <v>261</v>
      </c>
      <c r="K117" s="22" t="s">
        <v>262</v>
      </c>
      <c r="L117" s="21"/>
      <c r="M117" s="22" t="s">
        <v>2034</v>
      </c>
      <c r="N117" s="28" t="s">
        <v>2015</v>
      </c>
      <c r="O117" s="28" t="s">
        <v>2016</v>
      </c>
      <c r="P117" s="29">
        <v>868</v>
      </c>
      <c r="Q117" s="28" t="s">
        <v>2017</v>
      </c>
      <c r="R117" s="31">
        <v>3.1190609278919998</v>
      </c>
      <c r="S117" s="29">
        <v>17890</v>
      </c>
      <c r="T117" s="32">
        <v>278.28888888888901</v>
      </c>
      <c r="U117" s="32">
        <v>0</v>
      </c>
      <c r="V117" s="31">
        <v>3.1190609278919998</v>
      </c>
      <c r="W117" s="33">
        <v>46090</v>
      </c>
      <c r="X117" s="33">
        <v>46090</v>
      </c>
    </row>
    <row r="118" spans="1:24" ht="15.75" thickBot="1" x14ac:dyDescent="0.3">
      <c r="A118" t="str">
        <f t="shared" si="1"/>
        <v>MLDE13200A</v>
      </c>
      <c r="B118" s="22" t="s">
        <v>632</v>
      </c>
      <c r="C118" s="22" t="s">
        <v>2343</v>
      </c>
      <c r="D118" s="22" t="s">
        <v>2344</v>
      </c>
      <c r="E118" s="22" t="s">
        <v>2290</v>
      </c>
      <c r="F118" s="22" t="s">
        <v>2345</v>
      </c>
      <c r="G118" s="28" t="s">
        <v>2012</v>
      </c>
      <c r="H118" s="22" t="s">
        <v>2013</v>
      </c>
      <c r="I118" s="21"/>
      <c r="J118" s="22" t="s">
        <v>261</v>
      </c>
      <c r="K118" s="22" t="s">
        <v>262</v>
      </c>
      <c r="L118" s="21"/>
      <c r="M118" s="22" t="s">
        <v>2034</v>
      </c>
      <c r="N118" s="28" t="s">
        <v>2015</v>
      </c>
      <c r="O118" s="28" t="s">
        <v>2016</v>
      </c>
      <c r="P118" s="29">
        <v>1026</v>
      </c>
      <c r="Q118" s="28" t="s">
        <v>2017</v>
      </c>
      <c r="R118" s="31">
        <v>3.7726444464409998</v>
      </c>
      <c r="S118" s="29">
        <v>17483</v>
      </c>
      <c r="T118" s="32">
        <v>271.95777777777801</v>
      </c>
      <c r="U118" s="32">
        <v>0</v>
      </c>
      <c r="V118" s="31">
        <v>3.7726444464409998</v>
      </c>
      <c r="W118" s="33">
        <v>46090</v>
      </c>
      <c r="X118" s="33">
        <v>46090</v>
      </c>
    </row>
    <row r="119" spans="1:24" ht="15.75" thickBot="1" x14ac:dyDescent="0.3">
      <c r="A119" t="str">
        <f t="shared" si="1"/>
        <v>MLDE13201A</v>
      </c>
      <c r="B119" s="22" t="s">
        <v>634</v>
      </c>
      <c r="C119" s="22" t="s">
        <v>2346</v>
      </c>
      <c r="D119" s="22" t="s">
        <v>2347</v>
      </c>
      <c r="E119" s="22" t="s">
        <v>2290</v>
      </c>
      <c r="F119" s="22" t="s">
        <v>2345</v>
      </c>
      <c r="G119" s="28" t="s">
        <v>2012</v>
      </c>
      <c r="H119" s="22" t="s">
        <v>2013</v>
      </c>
      <c r="I119" s="21"/>
      <c r="J119" s="22" t="s">
        <v>261</v>
      </c>
      <c r="K119" s="22" t="s">
        <v>262</v>
      </c>
      <c r="L119" s="21"/>
      <c r="M119" s="22" t="s">
        <v>2034</v>
      </c>
      <c r="N119" s="28" t="s">
        <v>2015</v>
      </c>
      <c r="O119" s="28" t="s">
        <v>2016</v>
      </c>
      <c r="P119" s="29">
        <v>1013</v>
      </c>
      <c r="Q119" s="28" t="s">
        <v>2017</v>
      </c>
      <c r="R119" s="31">
        <v>3.7250559759419999</v>
      </c>
      <c r="S119" s="29">
        <v>17482</v>
      </c>
      <c r="T119" s="32">
        <v>271.94222222222197</v>
      </c>
      <c r="U119" s="32">
        <v>0</v>
      </c>
      <c r="V119" s="31">
        <v>3.7250559759419999</v>
      </c>
      <c r="W119" s="33">
        <v>46090</v>
      </c>
      <c r="X119" s="33">
        <v>46090</v>
      </c>
    </row>
    <row r="120" spans="1:24" ht="15.75" thickBot="1" x14ac:dyDescent="0.3">
      <c r="A120" t="str">
        <f t="shared" si="1"/>
        <v>MLDE237W20BPIA01</v>
      </c>
      <c r="B120" s="22" t="s">
        <v>729</v>
      </c>
      <c r="C120" s="22" t="s">
        <v>2348</v>
      </c>
      <c r="D120" s="22" t="s">
        <v>2349</v>
      </c>
      <c r="E120" s="22" t="s">
        <v>2290</v>
      </c>
      <c r="F120" s="22" t="s">
        <v>2350</v>
      </c>
      <c r="G120" s="28" t="s">
        <v>2012</v>
      </c>
      <c r="H120" s="22" t="s">
        <v>2013</v>
      </c>
      <c r="I120" s="21"/>
      <c r="J120" s="22" t="s">
        <v>261</v>
      </c>
      <c r="K120" s="22" t="s">
        <v>262</v>
      </c>
      <c r="L120" s="21"/>
      <c r="M120" s="22" t="s">
        <v>2034</v>
      </c>
      <c r="N120" s="28" t="s">
        <v>2015</v>
      </c>
      <c r="O120" s="28" t="s">
        <v>2016</v>
      </c>
      <c r="P120" s="29">
        <v>348</v>
      </c>
      <c r="Q120" s="28" t="s">
        <v>2017</v>
      </c>
      <c r="R120" s="31">
        <v>1.370378472981</v>
      </c>
      <c r="S120" s="29">
        <v>16325</v>
      </c>
      <c r="T120" s="32">
        <v>253.944444444444</v>
      </c>
      <c r="U120" s="32">
        <v>0</v>
      </c>
      <c r="V120" s="31">
        <v>1.370378472981</v>
      </c>
      <c r="W120" s="33">
        <v>46088</v>
      </c>
      <c r="X120" s="33">
        <v>46090</v>
      </c>
    </row>
    <row r="121" spans="1:24" ht="15.75" thickBot="1" x14ac:dyDescent="0.3">
      <c r="A121" t="str">
        <f t="shared" si="1"/>
        <v>MLDE23900APIA04</v>
      </c>
      <c r="B121" s="22" t="s">
        <v>773</v>
      </c>
      <c r="C121" s="22" t="s">
        <v>2351</v>
      </c>
      <c r="D121" s="22" t="s">
        <v>774</v>
      </c>
      <c r="E121" s="21"/>
      <c r="F121" s="22" t="s">
        <v>2352</v>
      </c>
      <c r="G121" s="28" t="s">
        <v>2012</v>
      </c>
      <c r="H121" s="22" t="s">
        <v>2037</v>
      </c>
      <c r="I121" s="21"/>
      <c r="J121" s="22" t="s">
        <v>261</v>
      </c>
      <c r="K121" s="22" t="s">
        <v>262</v>
      </c>
      <c r="L121" s="21"/>
      <c r="M121" s="22" t="s">
        <v>2034</v>
      </c>
      <c r="N121" s="28" t="s">
        <v>2015</v>
      </c>
      <c r="O121" s="28" t="s">
        <v>2016</v>
      </c>
      <c r="P121" s="29">
        <v>480</v>
      </c>
      <c r="Q121" s="28" t="s">
        <v>2017</v>
      </c>
      <c r="R121" s="31">
        <v>2.4681765203279999</v>
      </c>
      <c r="S121" s="29">
        <v>12502</v>
      </c>
      <c r="T121" s="32">
        <v>194.47555555555601</v>
      </c>
      <c r="U121" s="32">
        <v>0</v>
      </c>
      <c r="V121" s="31">
        <v>2.4681765203279999</v>
      </c>
      <c r="W121" s="33">
        <v>46089</v>
      </c>
      <c r="X121" s="33">
        <v>46090</v>
      </c>
    </row>
    <row r="122" spans="1:24" ht="15.75" thickBot="1" x14ac:dyDescent="0.3">
      <c r="A122" t="str">
        <f t="shared" si="1"/>
        <v>MLDE23900APIA07</v>
      </c>
      <c r="B122" s="22" t="s">
        <v>775</v>
      </c>
      <c r="C122" s="22" t="s">
        <v>2353</v>
      </c>
      <c r="D122" s="22" t="s">
        <v>2354</v>
      </c>
      <c r="E122" s="21"/>
      <c r="F122" s="22" t="s">
        <v>2355</v>
      </c>
      <c r="G122" s="28" t="s">
        <v>2012</v>
      </c>
      <c r="H122" s="22" t="s">
        <v>2013</v>
      </c>
      <c r="I122" s="21"/>
      <c r="J122" s="22" t="s">
        <v>261</v>
      </c>
      <c r="K122" s="22" t="s">
        <v>262</v>
      </c>
      <c r="L122" s="21"/>
      <c r="M122" s="22" t="s">
        <v>2034</v>
      </c>
      <c r="N122" s="28" t="s">
        <v>2015</v>
      </c>
      <c r="O122" s="28" t="s">
        <v>2016</v>
      </c>
      <c r="P122" s="29">
        <v>500</v>
      </c>
      <c r="Q122" s="28" t="s">
        <v>2017</v>
      </c>
      <c r="R122" s="31">
        <v>2.5710172086749998</v>
      </c>
      <c r="S122" s="29">
        <v>12502</v>
      </c>
      <c r="T122" s="32">
        <v>194.47555555555601</v>
      </c>
      <c r="U122" s="32">
        <v>0</v>
      </c>
      <c r="V122" s="31">
        <v>2.5710172086749998</v>
      </c>
      <c r="W122" s="33">
        <v>46089</v>
      </c>
      <c r="X122" s="33">
        <v>46090</v>
      </c>
    </row>
    <row r="123" spans="1:24" ht="15.75" thickBot="1" x14ac:dyDescent="0.3">
      <c r="A123" t="str">
        <f t="shared" si="1"/>
        <v>MLDE23901APIA07</v>
      </c>
      <c r="B123" s="22" t="s">
        <v>779</v>
      </c>
      <c r="C123" s="22" t="s">
        <v>2356</v>
      </c>
      <c r="D123" s="22" t="s">
        <v>2357</v>
      </c>
      <c r="E123" s="21"/>
      <c r="F123" s="22" t="s">
        <v>2355</v>
      </c>
      <c r="G123" s="28" t="s">
        <v>2012</v>
      </c>
      <c r="H123" s="22" t="s">
        <v>2013</v>
      </c>
      <c r="I123" s="21"/>
      <c r="J123" s="22" t="s">
        <v>261</v>
      </c>
      <c r="K123" s="22" t="s">
        <v>262</v>
      </c>
      <c r="L123" s="21"/>
      <c r="M123" s="22" t="s">
        <v>2034</v>
      </c>
      <c r="N123" s="28" t="s">
        <v>2015</v>
      </c>
      <c r="O123" s="28" t="s">
        <v>2016</v>
      </c>
      <c r="P123" s="29">
        <v>418</v>
      </c>
      <c r="Q123" s="28" t="s">
        <v>2017</v>
      </c>
      <c r="R123" s="31">
        <v>2.1488547438159999</v>
      </c>
      <c r="S123" s="29">
        <v>12505</v>
      </c>
      <c r="T123" s="32">
        <v>194.52222222222201</v>
      </c>
      <c r="U123" s="32">
        <v>0</v>
      </c>
      <c r="V123" s="31">
        <v>2.1488547438159999</v>
      </c>
      <c r="W123" s="33">
        <v>46089</v>
      </c>
      <c r="X123" s="33">
        <v>46090</v>
      </c>
    </row>
    <row r="124" spans="1:24" ht="15.75" thickBot="1" x14ac:dyDescent="0.3">
      <c r="A124" t="str">
        <f t="shared" si="1"/>
        <v>MLDE23943-A-INSERT</v>
      </c>
      <c r="B124" s="22" t="s">
        <v>681</v>
      </c>
      <c r="C124" s="22" t="s">
        <v>2358</v>
      </c>
      <c r="D124" s="22" t="s">
        <v>2359</v>
      </c>
      <c r="E124" s="21"/>
      <c r="F124" s="22" t="s">
        <v>2360</v>
      </c>
      <c r="G124" s="28" t="s">
        <v>2012</v>
      </c>
      <c r="H124" s="22" t="s">
        <v>2013</v>
      </c>
      <c r="I124" s="21"/>
      <c r="J124" s="22" t="s">
        <v>261</v>
      </c>
      <c r="K124" s="22" t="s">
        <v>262</v>
      </c>
      <c r="L124" s="21"/>
      <c r="M124" s="22" t="s">
        <v>2034</v>
      </c>
      <c r="N124" s="28" t="s">
        <v>2015</v>
      </c>
      <c r="O124" s="28" t="s">
        <v>2016</v>
      </c>
      <c r="P124" s="29">
        <v>111</v>
      </c>
      <c r="Q124" s="28" t="s">
        <v>2017</v>
      </c>
      <c r="R124" s="31">
        <v>1.3251094309589999</v>
      </c>
      <c r="S124" s="29">
        <v>5385</v>
      </c>
      <c r="T124" s="32">
        <v>83.766666666665998</v>
      </c>
      <c r="U124" s="32">
        <v>0</v>
      </c>
      <c r="V124" s="31">
        <v>1.3251094309589999</v>
      </c>
      <c r="W124" s="33">
        <v>46088</v>
      </c>
      <c r="X124" s="33">
        <v>46090</v>
      </c>
    </row>
    <row r="125" spans="1:24" ht="15.75" thickBot="1" x14ac:dyDescent="0.3">
      <c r="A125" t="str">
        <f t="shared" si="1"/>
        <v>MLDE26656APIA02</v>
      </c>
      <c r="B125" s="22" t="s">
        <v>582</v>
      </c>
      <c r="C125" s="22" t="s">
        <v>2361</v>
      </c>
      <c r="D125" s="22" t="s">
        <v>2362</v>
      </c>
      <c r="E125" s="22" t="s">
        <v>2290</v>
      </c>
      <c r="F125" s="22" t="s">
        <v>2363</v>
      </c>
      <c r="G125" s="28" t="s">
        <v>2012</v>
      </c>
      <c r="H125" s="22" t="s">
        <v>2013</v>
      </c>
      <c r="I125" s="21"/>
      <c r="J125" s="22" t="s">
        <v>261</v>
      </c>
      <c r="K125" s="22" t="s">
        <v>262</v>
      </c>
      <c r="L125" s="21"/>
      <c r="M125" s="22" t="s">
        <v>2034</v>
      </c>
      <c r="N125" s="28" t="s">
        <v>2015</v>
      </c>
      <c r="O125" s="28" t="s">
        <v>2016</v>
      </c>
      <c r="P125" s="29">
        <v>1251</v>
      </c>
      <c r="Q125" s="28" t="s">
        <v>2017</v>
      </c>
      <c r="R125" s="31">
        <v>2.2495504495500001</v>
      </c>
      <c r="S125" s="29">
        <v>35750</v>
      </c>
      <c r="T125" s="32">
        <v>556.11111111111097</v>
      </c>
      <c r="U125" s="32">
        <v>0</v>
      </c>
      <c r="V125" s="31">
        <v>2.2495504495500001</v>
      </c>
      <c r="W125" s="33">
        <v>46089</v>
      </c>
      <c r="X125" s="33">
        <v>46090</v>
      </c>
    </row>
    <row r="126" spans="1:24" ht="15.75" thickBot="1" x14ac:dyDescent="0.3">
      <c r="A126" t="str">
        <f t="shared" si="1"/>
        <v>MLDE26657APIA01</v>
      </c>
      <c r="B126" s="22" t="s">
        <v>840</v>
      </c>
      <c r="C126" s="22" t="s">
        <v>2364</v>
      </c>
      <c r="D126" s="22" t="s">
        <v>841</v>
      </c>
      <c r="E126" s="22" t="s">
        <v>2365</v>
      </c>
      <c r="F126" s="22" t="s">
        <v>2366</v>
      </c>
      <c r="G126" s="28" t="s">
        <v>2012</v>
      </c>
      <c r="H126" s="22" t="s">
        <v>2013</v>
      </c>
      <c r="I126" s="21"/>
      <c r="J126" s="22" t="s">
        <v>261</v>
      </c>
      <c r="K126" s="22" t="s">
        <v>262</v>
      </c>
      <c r="L126" s="21"/>
      <c r="M126" s="22" t="s">
        <v>2034</v>
      </c>
      <c r="N126" s="28" t="s">
        <v>2015</v>
      </c>
      <c r="O126" s="28" t="s">
        <v>2016</v>
      </c>
      <c r="P126" s="29">
        <v>1043</v>
      </c>
      <c r="Q126" s="28" t="s">
        <v>2017</v>
      </c>
      <c r="R126" s="31">
        <v>3.7479038569030001</v>
      </c>
      <c r="S126" s="29">
        <v>17890</v>
      </c>
      <c r="T126" s="32">
        <v>278.28888888888901</v>
      </c>
      <c r="U126" s="32">
        <v>0</v>
      </c>
      <c r="V126" s="31">
        <v>3.7479038569030001</v>
      </c>
      <c r="W126" s="33">
        <v>46090</v>
      </c>
      <c r="X126" s="33">
        <v>46090</v>
      </c>
    </row>
    <row r="127" spans="1:24" ht="15.75" thickBot="1" x14ac:dyDescent="0.3">
      <c r="A127" t="str">
        <f t="shared" si="1"/>
        <v>MLDE27406-G</v>
      </c>
      <c r="B127" s="22" t="s">
        <v>685</v>
      </c>
      <c r="C127" s="22" t="s">
        <v>2367</v>
      </c>
      <c r="D127" s="22" t="s">
        <v>2368</v>
      </c>
      <c r="E127" s="21"/>
      <c r="F127" s="22" t="s">
        <v>2369</v>
      </c>
      <c r="G127" s="28" t="s">
        <v>2012</v>
      </c>
      <c r="H127" s="22" t="s">
        <v>2013</v>
      </c>
      <c r="I127" s="21"/>
      <c r="J127" s="22" t="s">
        <v>261</v>
      </c>
      <c r="K127" s="22" t="s">
        <v>262</v>
      </c>
      <c r="L127" s="21"/>
      <c r="M127" s="22" t="s">
        <v>2034</v>
      </c>
      <c r="N127" s="28" t="s">
        <v>2015</v>
      </c>
      <c r="O127" s="28" t="s">
        <v>2016</v>
      </c>
      <c r="P127" s="29">
        <v>908</v>
      </c>
      <c r="Q127" s="28" t="s">
        <v>2017</v>
      </c>
      <c r="R127" s="31">
        <v>3.8116382768329999</v>
      </c>
      <c r="S127" s="29">
        <v>15314</v>
      </c>
      <c r="T127" s="32">
        <v>238.217777777778</v>
      </c>
      <c r="U127" s="32">
        <v>0</v>
      </c>
      <c r="V127" s="31">
        <v>3.8116382768329999</v>
      </c>
      <c r="W127" s="33">
        <v>46090</v>
      </c>
      <c r="X127" s="33">
        <v>46090</v>
      </c>
    </row>
    <row r="128" spans="1:24" ht="15.75" thickBot="1" x14ac:dyDescent="0.3">
      <c r="A128" t="str">
        <f t="shared" si="1"/>
        <v>MLDE27406BPIA02</v>
      </c>
      <c r="B128" s="22" t="s">
        <v>760</v>
      </c>
      <c r="C128" s="22" t="s">
        <v>2370</v>
      </c>
      <c r="D128" s="22" t="s">
        <v>2371</v>
      </c>
      <c r="E128" s="21"/>
      <c r="F128" s="22" t="s">
        <v>2372</v>
      </c>
      <c r="G128" s="28" t="s">
        <v>2012</v>
      </c>
      <c r="H128" s="22" t="s">
        <v>2013</v>
      </c>
      <c r="I128" s="21"/>
      <c r="J128" s="22" t="s">
        <v>261</v>
      </c>
      <c r="K128" s="22" t="s">
        <v>262</v>
      </c>
      <c r="L128" s="21"/>
      <c r="M128" s="22" t="s">
        <v>2034</v>
      </c>
      <c r="N128" s="28" t="s">
        <v>2015</v>
      </c>
      <c r="O128" s="28" t="s">
        <v>2016</v>
      </c>
      <c r="P128" s="29">
        <v>594</v>
      </c>
      <c r="Q128" s="28" t="s">
        <v>2017</v>
      </c>
      <c r="R128" s="31">
        <v>2.1355469093289998</v>
      </c>
      <c r="S128" s="29">
        <v>17881</v>
      </c>
      <c r="T128" s="32">
        <v>278.14888888888902</v>
      </c>
      <c r="U128" s="32">
        <v>0</v>
      </c>
      <c r="V128" s="31">
        <v>2.1355469093289998</v>
      </c>
      <c r="W128" s="33">
        <v>46089</v>
      </c>
      <c r="X128" s="33">
        <v>46090</v>
      </c>
    </row>
    <row r="129" spans="1:24" ht="15.75" thickBot="1" x14ac:dyDescent="0.3">
      <c r="A129" t="str">
        <f t="shared" si="1"/>
        <v>MLDE27407-G</v>
      </c>
      <c r="B129" s="22" t="s">
        <v>689</v>
      </c>
      <c r="C129" s="22" t="s">
        <v>2373</v>
      </c>
      <c r="D129" s="22" t="s">
        <v>2374</v>
      </c>
      <c r="E129" s="21"/>
      <c r="F129" s="22" t="s">
        <v>2375</v>
      </c>
      <c r="G129" s="28" t="s">
        <v>2012</v>
      </c>
      <c r="H129" s="22" t="s">
        <v>2013</v>
      </c>
      <c r="I129" s="21"/>
      <c r="J129" s="22" t="s">
        <v>261</v>
      </c>
      <c r="K129" s="22" t="s">
        <v>262</v>
      </c>
      <c r="L129" s="21"/>
      <c r="M129" s="22" t="s">
        <v>2034</v>
      </c>
      <c r="N129" s="28" t="s">
        <v>2015</v>
      </c>
      <c r="O129" s="28" t="s">
        <v>2016</v>
      </c>
      <c r="P129" s="29">
        <v>713</v>
      </c>
      <c r="Q129" s="28" t="s">
        <v>2017</v>
      </c>
      <c r="R129" s="31">
        <v>2.9932550307389998</v>
      </c>
      <c r="S129" s="29">
        <v>15313</v>
      </c>
      <c r="T129" s="32">
        <v>238.20222222222199</v>
      </c>
      <c r="U129" s="32">
        <v>0</v>
      </c>
      <c r="V129" s="31">
        <v>2.9932550307389998</v>
      </c>
      <c r="W129" s="33">
        <v>46089</v>
      </c>
      <c r="X129" s="33">
        <v>46090</v>
      </c>
    </row>
    <row r="130" spans="1:24" ht="15.75" thickBot="1" x14ac:dyDescent="0.3">
      <c r="A130" t="str">
        <f t="shared" si="1"/>
        <v>MLDE27407BPIA11</v>
      </c>
      <c r="B130" s="22" t="s">
        <v>787</v>
      </c>
      <c r="C130" s="22" t="s">
        <v>2376</v>
      </c>
      <c r="D130" s="22" t="s">
        <v>2377</v>
      </c>
      <c r="E130" s="22" t="s">
        <v>2378</v>
      </c>
      <c r="F130" s="22" t="s">
        <v>2379</v>
      </c>
      <c r="G130" s="28" t="s">
        <v>2012</v>
      </c>
      <c r="H130" s="22" t="s">
        <v>2037</v>
      </c>
      <c r="I130" s="21"/>
      <c r="J130" s="22" t="s">
        <v>261</v>
      </c>
      <c r="K130" s="22" t="s">
        <v>262</v>
      </c>
      <c r="L130" s="21"/>
      <c r="M130" s="22" t="s">
        <v>2034</v>
      </c>
      <c r="N130" s="28" t="s">
        <v>2015</v>
      </c>
      <c r="O130" s="28" t="s">
        <v>2016</v>
      </c>
      <c r="P130" s="29">
        <v>516</v>
      </c>
      <c r="Q130" s="28" t="s">
        <v>2017</v>
      </c>
      <c r="R130" s="31">
        <v>1.5892788698460001</v>
      </c>
      <c r="S130" s="29">
        <v>20872</v>
      </c>
      <c r="T130" s="32">
        <v>324.675555555556</v>
      </c>
      <c r="U130" s="32">
        <v>0</v>
      </c>
      <c r="V130" s="31">
        <v>1.5892788698460001</v>
      </c>
      <c r="W130" s="33">
        <v>46088</v>
      </c>
      <c r="X130" s="33">
        <v>46090</v>
      </c>
    </row>
    <row r="131" spans="1:24" ht="15.75" thickBot="1" x14ac:dyDescent="0.3">
      <c r="A131" t="str">
        <f t="shared" si="1"/>
        <v>MLDE31006E</v>
      </c>
      <c r="B131" s="22" t="s">
        <v>640</v>
      </c>
      <c r="C131" s="22" t="s">
        <v>2380</v>
      </c>
      <c r="D131" s="22" t="s">
        <v>2381</v>
      </c>
      <c r="E131" s="22" t="s">
        <v>2290</v>
      </c>
      <c r="F131" s="22" t="s">
        <v>2382</v>
      </c>
      <c r="G131" s="28" t="s">
        <v>2012</v>
      </c>
      <c r="H131" s="22" t="s">
        <v>2013</v>
      </c>
      <c r="I131" s="21"/>
      <c r="J131" s="22" t="s">
        <v>261</v>
      </c>
      <c r="K131" s="22" t="s">
        <v>262</v>
      </c>
      <c r="L131" s="21"/>
      <c r="M131" s="22" t="s">
        <v>2034</v>
      </c>
      <c r="N131" s="28" t="s">
        <v>2015</v>
      </c>
      <c r="O131" s="28" t="s">
        <v>2016</v>
      </c>
      <c r="P131" s="29">
        <v>608</v>
      </c>
      <c r="Q131" s="28" t="s">
        <v>2017</v>
      </c>
      <c r="R131" s="31">
        <v>2.2346186201879998</v>
      </c>
      <c r="S131" s="29">
        <v>17491</v>
      </c>
      <c r="T131" s="32">
        <v>272.08222222222201</v>
      </c>
      <c r="U131" s="32">
        <v>0</v>
      </c>
      <c r="V131" s="31">
        <v>2.2346186201879998</v>
      </c>
      <c r="W131" s="33">
        <v>46089</v>
      </c>
      <c r="X131" s="33">
        <v>46090</v>
      </c>
    </row>
    <row r="132" spans="1:24" ht="15.75" thickBot="1" x14ac:dyDescent="0.3">
      <c r="A132" t="str">
        <f t="shared" si="1"/>
        <v>MLDE403A86A</v>
      </c>
      <c r="B132" s="22" t="s">
        <v>546</v>
      </c>
      <c r="C132" s="22" t="s">
        <v>2383</v>
      </c>
      <c r="D132" s="22" t="s">
        <v>2384</v>
      </c>
      <c r="E132" s="22" t="s">
        <v>2290</v>
      </c>
      <c r="F132" s="22" t="s">
        <v>2385</v>
      </c>
      <c r="G132" s="28" t="s">
        <v>2012</v>
      </c>
      <c r="H132" s="22" t="s">
        <v>2013</v>
      </c>
      <c r="I132" s="21"/>
      <c r="J132" s="22" t="s">
        <v>261</v>
      </c>
      <c r="K132" s="22" t="s">
        <v>262</v>
      </c>
      <c r="L132" s="21"/>
      <c r="M132" s="22" t="s">
        <v>2034</v>
      </c>
      <c r="N132" s="28" t="s">
        <v>2015</v>
      </c>
      <c r="O132" s="28" t="s">
        <v>2016</v>
      </c>
      <c r="P132" s="29">
        <v>346</v>
      </c>
      <c r="Q132" s="28" t="s">
        <v>2017</v>
      </c>
      <c r="R132" s="31">
        <v>1.364174004468</v>
      </c>
      <c r="S132" s="29">
        <v>16305</v>
      </c>
      <c r="T132" s="32">
        <v>253.63333333333301</v>
      </c>
      <c r="U132" s="32">
        <v>0</v>
      </c>
      <c r="V132" s="31">
        <v>1.364174004468</v>
      </c>
      <c r="W132" s="33">
        <v>46088</v>
      </c>
      <c r="X132" s="33">
        <v>46090</v>
      </c>
    </row>
    <row r="133" spans="1:24" ht="15.75" thickBot="1" x14ac:dyDescent="0.3">
      <c r="A133" t="str">
        <f t="shared" ref="A133:A196" si="2">TRIM(B133)</f>
        <v>N1WB 17D568 EF3JA6</v>
      </c>
      <c r="B133" s="22" t="s">
        <v>284</v>
      </c>
      <c r="C133" s="22" t="s">
        <v>2386</v>
      </c>
      <c r="D133" s="22" t="s">
        <v>2387</v>
      </c>
      <c r="E133" s="21"/>
      <c r="F133" s="22" t="s">
        <v>2388</v>
      </c>
      <c r="G133" s="28" t="s">
        <v>2012</v>
      </c>
      <c r="H133" s="22" t="s">
        <v>2055</v>
      </c>
      <c r="I133" s="21"/>
      <c r="J133" s="22" t="s">
        <v>261</v>
      </c>
      <c r="K133" s="22" t="s">
        <v>262</v>
      </c>
      <c r="L133" s="21"/>
      <c r="M133" s="22" t="s">
        <v>2014</v>
      </c>
      <c r="N133" s="28" t="s">
        <v>2015</v>
      </c>
      <c r="O133" s="28" t="s">
        <v>2016</v>
      </c>
      <c r="P133" s="29">
        <v>618</v>
      </c>
      <c r="Q133" s="28" t="s">
        <v>2017</v>
      </c>
      <c r="R133" s="31">
        <v>2.2426515059869998</v>
      </c>
      <c r="S133" s="29">
        <v>17715</v>
      </c>
      <c r="T133" s="32">
        <v>275.566666666667</v>
      </c>
      <c r="U133" s="32">
        <v>0</v>
      </c>
      <c r="V133" s="31">
        <v>2.2426515059869998</v>
      </c>
      <c r="W133" s="33">
        <v>46089</v>
      </c>
      <c r="X133" s="33">
        <v>46090</v>
      </c>
    </row>
    <row r="134" spans="1:24" ht="15.75" thickBot="1" x14ac:dyDescent="0.3">
      <c r="A134" t="str">
        <f t="shared" si="2"/>
        <v>N1WB 17D699 AD3ZHE</v>
      </c>
      <c r="B134" s="22" t="s">
        <v>307</v>
      </c>
      <c r="C134" s="22" t="s">
        <v>2389</v>
      </c>
      <c r="D134" s="22" t="s">
        <v>303</v>
      </c>
      <c r="E134" s="21"/>
      <c r="F134" s="22" t="s">
        <v>2390</v>
      </c>
      <c r="G134" s="28" t="s">
        <v>2012</v>
      </c>
      <c r="H134" s="22" t="s">
        <v>2055</v>
      </c>
      <c r="I134" s="21"/>
      <c r="J134" s="22" t="s">
        <v>261</v>
      </c>
      <c r="K134" s="22" t="s">
        <v>262</v>
      </c>
      <c r="L134" s="21"/>
      <c r="M134" s="22" t="s">
        <v>2014</v>
      </c>
      <c r="N134" s="28" t="s">
        <v>2015</v>
      </c>
      <c r="O134" s="28" t="s">
        <v>2016</v>
      </c>
      <c r="P134" s="29">
        <v>304</v>
      </c>
      <c r="Q134" s="28" t="s">
        <v>2017</v>
      </c>
      <c r="R134" s="31">
        <v>1.156929738506</v>
      </c>
      <c r="S134" s="29">
        <v>16892</v>
      </c>
      <c r="T134" s="32">
        <v>262.764444444444</v>
      </c>
      <c r="U134" s="32">
        <v>0</v>
      </c>
      <c r="V134" s="31">
        <v>1.156929738506</v>
      </c>
      <c r="W134" s="33">
        <v>46088</v>
      </c>
      <c r="X134" s="33">
        <v>46090</v>
      </c>
    </row>
    <row r="135" spans="1:24" ht="15.75" thickBot="1" x14ac:dyDescent="0.3">
      <c r="A135" t="str">
        <f t="shared" si="2"/>
        <v>N1WB 9G924 BA</v>
      </c>
      <c r="B135" s="22" t="s">
        <v>753</v>
      </c>
      <c r="C135" s="22" t="s">
        <v>2391</v>
      </c>
      <c r="D135" s="22" t="s">
        <v>2392</v>
      </c>
      <c r="E135" s="21"/>
      <c r="F135" s="22" t="s">
        <v>2393</v>
      </c>
      <c r="G135" s="28" t="s">
        <v>2012</v>
      </c>
      <c r="H135" s="22" t="s">
        <v>2080</v>
      </c>
      <c r="I135" s="21"/>
      <c r="J135" s="22" t="s">
        <v>261</v>
      </c>
      <c r="K135" s="22" t="s">
        <v>262</v>
      </c>
      <c r="L135" s="21"/>
      <c r="M135" s="22" t="s">
        <v>2014</v>
      </c>
      <c r="N135" s="28" t="s">
        <v>2015</v>
      </c>
      <c r="O135" s="28" t="s">
        <v>2016</v>
      </c>
      <c r="P135" s="29">
        <v>83</v>
      </c>
      <c r="Q135" s="28" t="s">
        <v>2017</v>
      </c>
      <c r="R135" s="31">
        <v>1.0831738298239999</v>
      </c>
      <c r="S135" s="29">
        <v>4926</v>
      </c>
      <c r="T135" s="32">
        <v>76.626666666665997</v>
      </c>
      <c r="U135" s="32">
        <v>0</v>
      </c>
      <c r="V135" s="31">
        <v>1.0831738298239999</v>
      </c>
      <c r="W135" s="33">
        <v>46088</v>
      </c>
      <c r="X135" s="33">
        <v>46090</v>
      </c>
    </row>
    <row r="136" spans="1:24" ht="15.75" thickBot="1" x14ac:dyDescent="0.3">
      <c r="A136" t="str">
        <f t="shared" si="2"/>
        <v>N1WB E00170 DB</v>
      </c>
      <c r="B136" s="22" t="s">
        <v>1965</v>
      </c>
      <c r="C136" s="22" t="s">
        <v>2394</v>
      </c>
      <c r="D136" s="22" t="s">
        <v>2395</v>
      </c>
      <c r="E136" s="21"/>
      <c r="F136" s="22" t="s">
        <v>2030</v>
      </c>
      <c r="G136" s="28" t="s">
        <v>2012</v>
      </c>
      <c r="H136" s="22" t="s">
        <v>2080</v>
      </c>
      <c r="I136" s="21"/>
      <c r="J136" s="22" t="s">
        <v>261</v>
      </c>
      <c r="K136" s="22" t="s">
        <v>924</v>
      </c>
      <c r="L136" s="21"/>
      <c r="M136" s="22" t="s">
        <v>2014</v>
      </c>
      <c r="N136" s="28" t="s">
        <v>2015</v>
      </c>
      <c r="O136" s="28" t="s">
        <v>2016</v>
      </c>
      <c r="P136" s="29">
        <v>836</v>
      </c>
      <c r="Q136" s="28" t="s">
        <v>2017</v>
      </c>
      <c r="R136" s="31">
        <v>3.13698675828</v>
      </c>
      <c r="S136" s="29">
        <v>17132</v>
      </c>
      <c r="T136" s="32">
        <v>266.49777777777803</v>
      </c>
      <c r="U136" s="32">
        <v>0</v>
      </c>
      <c r="V136" s="31">
        <v>3.13698675828</v>
      </c>
      <c r="W136" s="33">
        <v>46090</v>
      </c>
      <c r="X136" s="33">
        <v>46090</v>
      </c>
    </row>
    <row r="137" spans="1:24" ht="15.75" thickBot="1" x14ac:dyDescent="0.3">
      <c r="A137" t="str">
        <f t="shared" si="2"/>
        <v>N1WB E03513 DH31NB</v>
      </c>
      <c r="B137" s="22" t="s">
        <v>269</v>
      </c>
      <c r="C137" s="22" t="s">
        <v>2396</v>
      </c>
      <c r="D137" s="22" t="s">
        <v>2397</v>
      </c>
      <c r="E137" s="21"/>
      <c r="F137" s="22" t="s">
        <v>2398</v>
      </c>
      <c r="G137" s="28" t="s">
        <v>2012</v>
      </c>
      <c r="H137" s="22" t="s">
        <v>2055</v>
      </c>
      <c r="I137" s="21"/>
      <c r="J137" s="22" t="s">
        <v>261</v>
      </c>
      <c r="K137" s="22" t="s">
        <v>262</v>
      </c>
      <c r="L137" s="21"/>
      <c r="M137" s="22" t="s">
        <v>2014</v>
      </c>
      <c r="N137" s="28" t="s">
        <v>2015</v>
      </c>
      <c r="O137" s="28" t="s">
        <v>2016</v>
      </c>
      <c r="P137" s="29">
        <v>704</v>
      </c>
      <c r="Q137" s="28" t="s">
        <v>2017</v>
      </c>
      <c r="R137" s="31">
        <v>3.7411873073600002</v>
      </c>
      <c r="S137" s="29">
        <v>12097</v>
      </c>
      <c r="T137" s="32">
        <v>188.175555555556</v>
      </c>
      <c r="U137" s="32">
        <v>0</v>
      </c>
      <c r="V137" s="31">
        <v>3.7411873073600002</v>
      </c>
      <c r="W137" s="33">
        <v>46090</v>
      </c>
      <c r="X137" s="33">
        <v>46090</v>
      </c>
    </row>
    <row r="138" spans="1:24" ht="15.75" thickBot="1" x14ac:dyDescent="0.3">
      <c r="A138" t="str">
        <f t="shared" si="2"/>
        <v>N1WB E10128 AB</v>
      </c>
      <c r="B138" s="22" t="s">
        <v>1892</v>
      </c>
      <c r="C138" s="22" t="s">
        <v>2399</v>
      </c>
      <c r="D138" s="22" t="s">
        <v>2400</v>
      </c>
      <c r="E138" s="21"/>
      <c r="F138" s="22" t="s">
        <v>2030</v>
      </c>
      <c r="G138" s="28" t="s">
        <v>2012</v>
      </c>
      <c r="H138" s="22" t="s">
        <v>2080</v>
      </c>
      <c r="I138" s="21"/>
      <c r="J138" s="22" t="s">
        <v>261</v>
      </c>
      <c r="K138" s="22" t="s">
        <v>924</v>
      </c>
      <c r="L138" s="21"/>
      <c r="M138" s="22" t="s">
        <v>2014</v>
      </c>
      <c r="N138" s="28" t="s">
        <v>2015</v>
      </c>
      <c r="O138" s="28" t="s">
        <v>2016</v>
      </c>
      <c r="P138" s="29">
        <v>556</v>
      </c>
      <c r="Q138" s="28" t="s">
        <v>2017</v>
      </c>
      <c r="R138" s="31">
        <v>2.0377911711999999</v>
      </c>
      <c r="S138" s="29">
        <v>17540</v>
      </c>
      <c r="T138" s="32">
        <v>272.84444444444398</v>
      </c>
      <c r="U138" s="32">
        <v>0</v>
      </c>
      <c r="V138" s="31">
        <v>2.0377911711999999</v>
      </c>
      <c r="W138" s="33">
        <v>46089</v>
      </c>
      <c r="X138" s="33">
        <v>46090</v>
      </c>
    </row>
    <row r="139" spans="1:24" ht="15.75" thickBot="1" x14ac:dyDescent="0.3">
      <c r="A139" t="str">
        <f t="shared" si="2"/>
        <v>N1WB E10129 AB</v>
      </c>
      <c r="B139" s="22" t="s">
        <v>1889</v>
      </c>
      <c r="C139" s="22" t="s">
        <v>2401</v>
      </c>
      <c r="D139" s="22" t="s">
        <v>2402</v>
      </c>
      <c r="E139" s="21"/>
      <c r="F139" s="22" t="s">
        <v>2030</v>
      </c>
      <c r="G139" s="28" t="s">
        <v>2012</v>
      </c>
      <c r="H139" s="22" t="s">
        <v>2080</v>
      </c>
      <c r="I139" s="21"/>
      <c r="J139" s="22" t="s">
        <v>261</v>
      </c>
      <c r="K139" s="22" t="s">
        <v>924</v>
      </c>
      <c r="L139" s="21"/>
      <c r="M139" s="22" t="s">
        <v>2014</v>
      </c>
      <c r="N139" s="28" t="s">
        <v>2015</v>
      </c>
      <c r="O139" s="28" t="s">
        <v>2016</v>
      </c>
      <c r="P139" s="29">
        <v>354</v>
      </c>
      <c r="Q139" s="28" t="s">
        <v>2017</v>
      </c>
      <c r="R139" s="31">
        <v>1.303984807308</v>
      </c>
      <c r="S139" s="29">
        <v>17452</v>
      </c>
      <c r="T139" s="32">
        <v>271.47555555555601</v>
      </c>
      <c r="U139" s="32">
        <v>0</v>
      </c>
      <c r="V139" s="31">
        <v>1.303984807308</v>
      </c>
      <c r="W139" s="33">
        <v>46088</v>
      </c>
      <c r="X139" s="33">
        <v>46090</v>
      </c>
    </row>
    <row r="140" spans="1:24" ht="15.75" thickBot="1" x14ac:dyDescent="0.3">
      <c r="A140" t="str">
        <f t="shared" si="2"/>
        <v>N1WB E106B46 AD</v>
      </c>
      <c r="B140" s="22" t="s">
        <v>1886</v>
      </c>
      <c r="C140" s="22" t="s">
        <v>2403</v>
      </c>
      <c r="D140" s="22" t="s">
        <v>2404</v>
      </c>
      <c r="E140" s="21"/>
      <c r="F140" s="22" t="s">
        <v>2030</v>
      </c>
      <c r="G140" s="28" t="s">
        <v>2012</v>
      </c>
      <c r="H140" s="22" t="s">
        <v>2080</v>
      </c>
      <c r="I140" s="21"/>
      <c r="J140" s="22" t="s">
        <v>261</v>
      </c>
      <c r="K140" s="22" t="s">
        <v>924</v>
      </c>
      <c r="L140" s="21"/>
      <c r="M140" s="22" t="s">
        <v>2014</v>
      </c>
      <c r="N140" s="28" t="s">
        <v>2015</v>
      </c>
      <c r="O140" s="28" t="s">
        <v>2016</v>
      </c>
      <c r="P140" s="29">
        <v>540</v>
      </c>
      <c r="Q140" s="28" t="s">
        <v>2017</v>
      </c>
      <c r="R140" s="31">
        <v>2.0005927682269999</v>
      </c>
      <c r="S140" s="29">
        <v>17352</v>
      </c>
      <c r="T140" s="32">
        <v>269.92</v>
      </c>
      <c r="U140" s="32">
        <v>0</v>
      </c>
      <c r="V140" s="31">
        <v>2.0005927682269999</v>
      </c>
      <c r="W140" s="33">
        <v>46089</v>
      </c>
      <c r="X140" s="33">
        <v>46090</v>
      </c>
    </row>
    <row r="141" spans="1:24" ht="15.75" thickBot="1" x14ac:dyDescent="0.3">
      <c r="A141" t="str">
        <f t="shared" si="2"/>
        <v>N1WB E10780 BA</v>
      </c>
      <c r="B141" s="22" t="s">
        <v>1945</v>
      </c>
      <c r="C141" s="22" t="s">
        <v>2405</v>
      </c>
      <c r="D141" s="22" t="s">
        <v>2406</v>
      </c>
      <c r="E141" s="21"/>
      <c r="F141" s="22" t="s">
        <v>2407</v>
      </c>
      <c r="G141" s="28" t="s">
        <v>2012</v>
      </c>
      <c r="H141" s="22" t="s">
        <v>2080</v>
      </c>
      <c r="I141" s="21"/>
      <c r="J141" s="22" t="s">
        <v>261</v>
      </c>
      <c r="K141" s="22" t="s">
        <v>924</v>
      </c>
      <c r="L141" s="21"/>
      <c r="M141" s="22" t="s">
        <v>2014</v>
      </c>
      <c r="N141" s="28" t="s">
        <v>2015</v>
      </c>
      <c r="O141" s="28" t="s">
        <v>2016</v>
      </c>
      <c r="P141" s="29">
        <v>384</v>
      </c>
      <c r="Q141" s="28" t="s">
        <v>2017</v>
      </c>
      <c r="R141" s="31">
        <v>1.4230538009860001</v>
      </c>
      <c r="S141" s="29">
        <v>17347</v>
      </c>
      <c r="T141" s="32">
        <v>269.84222222222201</v>
      </c>
      <c r="U141" s="32">
        <v>0</v>
      </c>
      <c r="V141" s="31">
        <v>1.4230538009860001</v>
      </c>
      <c r="W141" s="33">
        <v>46088</v>
      </c>
      <c r="X141" s="33">
        <v>46090</v>
      </c>
    </row>
    <row r="142" spans="1:24" ht="15.75" thickBot="1" x14ac:dyDescent="0.3">
      <c r="A142" t="str">
        <f t="shared" si="2"/>
        <v>N1WB E10940 CF</v>
      </c>
      <c r="B142" s="22" t="s">
        <v>1883</v>
      </c>
      <c r="C142" s="22" t="s">
        <v>2408</v>
      </c>
      <c r="D142" s="22" t="s">
        <v>2409</v>
      </c>
      <c r="E142" s="21"/>
      <c r="F142" s="22" t="s">
        <v>2030</v>
      </c>
      <c r="G142" s="28" t="s">
        <v>2012</v>
      </c>
      <c r="H142" s="22" t="s">
        <v>2080</v>
      </c>
      <c r="I142" s="21"/>
      <c r="J142" s="22" t="s">
        <v>261</v>
      </c>
      <c r="K142" s="22" t="s">
        <v>924</v>
      </c>
      <c r="L142" s="21"/>
      <c r="M142" s="22" t="s">
        <v>2014</v>
      </c>
      <c r="N142" s="28" t="s">
        <v>2015</v>
      </c>
      <c r="O142" s="28" t="s">
        <v>2016</v>
      </c>
      <c r="P142" s="29">
        <v>334</v>
      </c>
      <c r="Q142" s="28" t="s">
        <v>2017</v>
      </c>
      <c r="R142" s="31">
        <v>1.2356945540640001</v>
      </c>
      <c r="S142" s="29">
        <v>17376</v>
      </c>
      <c r="T142" s="32">
        <v>270.29333333333301</v>
      </c>
      <c r="U142" s="32">
        <v>0</v>
      </c>
      <c r="V142" s="31">
        <v>1.2356945540640001</v>
      </c>
      <c r="W142" s="33">
        <v>46088</v>
      </c>
      <c r="X142" s="33">
        <v>46090</v>
      </c>
    </row>
    <row r="143" spans="1:24" ht="15.75" thickBot="1" x14ac:dyDescent="0.3">
      <c r="A143" t="str">
        <f t="shared" si="2"/>
        <v>N1WB E13200 DA3ZHE</v>
      </c>
      <c r="B143" s="22" t="s">
        <v>326</v>
      </c>
      <c r="C143" s="22" t="s">
        <v>2410</v>
      </c>
      <c r="D143" s="22" t="s">
        <v>2411</v>
      </c>
      <c r="E143" s="21"/>
      <c r="F143" s="22" t="s">
        <v>2345</v>
      </c>
      <c r="G143" s="28" t="s">
        <v>2012</v>
      </c>
      <c r="H143" s="22" t="s">
        <v>2055</v>
      </c>
      <c r="I143" s="21"/>
      <c r="J143" s="22" t="s">
        <v>261</v>
      </c>
      <c r="K143" s="22" t="s">
        <v>262</v>
      </c>
      <c r="L143" s="21"/>
      <c r="M143" s="22" t="s">
        <v>2014</v>
      </c>
      <c r="N143" s="28" t="s">
        <v>2015</v>
      </c>
      <c r="O143" s="28" t="s">
        <v>2016</v>
      </c>
      <c r="P143" s="29">
        <v>383</v>
      </c>
      <c r="Q143" s="28" t="s">
        <v>2017</v>
      </c>
      <c r="R143" s="31">
        <v>1.4222174544490001</v>
      </c>
      <c r="S143" s="29">
        <v>17312</v>
      </c>
      <c r="T143" s="32">
        <v>269.29777777777798</v>
      </c>
      <c r="U143" s="32">
        <v>0</v>
      </c>
      <c r="V143" s="31">
        <v>1.4222174544490001</v>
      </c>
      <c r="W143" s="33">
        <v>46088</v>
      </c>
      <c r="X143" s="33">
        <v>46090</v>
      </c>
    </row>
    <row r="144" spans="1:24" ht="15.75" thickBot="1" x14ac:dyDescent="0.3">
      <c r="A144" t="str">
        <f t="shared" si="2"/>
        <v>N1WB E13201 DA3ZHE</v>
      </c>
      <c r="B144" s="22" t="s">
        <v>277</v>
      </c>
      <c r="C144" s="22" t="s">
        <v>2412</v>
      </c>
      <c r="D144" s="22" t="s">
        <v>2411</v>
      </c>
      <c r="E144" s="21"/>
      <c r="F144" s="22" t="s">
        <v>2345</v>
      </c>
      <c r="G144" s="28" t="s">
        <v>2012</v>
      </c>
      <c r="H144" s="22" t="s">
        <v>2055</v>
      </c>
      <c r="I144" s="21"/>
      <c r="J144" s="22" t="s">
        <v>261</v>
      </c>
      <c r="K144" s="22" t="s">
        <v>262</v>
      </c>
      <c r="L144" s="21"/>
      <c r="M144" s="22" t="s">
        <v>2014</v>
      </c>
      <c r="N144" s="28" t="s">
        <v>2015</v>
      </c>
      <c r="O144" s="28" t="s">
        <v>2016</v>
      </c>
      <c r="P144" s="29">
        <v>317</v>
      </c>
      <c r="Q144" s="28" t="s">
        <v>2017</v>
      </c>
      <c r="R144" s="31">
        <v>1.1752347998020001</v>
      </c>
      <c r="S144" s="29">
        <v>17340</v>
      </c>
      <c r="T144" s="32">
        <v>269.73333333333301</v>
      </c>
      <c r="U144" s="32">
        <v>0</v>
      </c>
      <c r="V144" s="31">
        <v>1.1752347998020001</v>
      </c>
      <c r="W144" s="33">
        <v>46088</v>
      </c>
      <c r="X144" s="33">
        <v>46090</v>
      </c>
    </row>
    <row r="145" spans="1:24" ht="15.75" thickBot="1" x14ac:dyDescent="0.3">
      <c r="A145" t="str">
        <f t="shared" si="2"/>
        <v>N1WB E23942 BK1G1C</v>
      </c>
      <c r="B145" s="22" t="s">
        <v>1018</v>
      </c>
      <c r="C145" s="22" t="s">
        <v>2413</v>
      </c>
      <c r="D145" s="22" t="s">
        <v>6</v>
      </c>
      <c r="E145" s="22" t="s">
        <v>2414</v>
      </c>
      <c r="F145" s="22" t="s">
        <v>2415</v>
      </c>
      <c r="G145" s="28" t="s">
        <v>2012</v>
      </c>
      <c r="H145" s="22" t="s">
        <v>2055</v>
      </c>
      <c r="I145" s="21"/>
      <c r="J145" s="22" t="s">
        <v>261</v>
      </c>
      <c r="K145" s="22" t="s">
        <v>262</v>
      </c>
      <c r="L145" s="21"/>
      <c r="M145" s="22" t="s">
        <v>2014</v>
      </c>
      <c r="N145" s="28" t="s">
        <v>2015</v>
      </c>
      <c r="O145" s="28" t="s">
        <v>2016</v>
      </c>
      <c r="P145" s="29">
        <v>72</v>
      </c>
      <c r="Q145" s="28" t="s">
        <v>2017</v>
      </c>
      <c r="R145" s="31">
        <v>3.769194974406</v>
      </c>
      <c r="S145" s="29">
        <v>1228</v>
      </c>
      <c r="T145" s="32">
        <v>19.102222222222</v>
      </c>
      <c r="U145" s="32">
        <v>0</v>
      </c>
      <c r="V145" s="31">
        <v>3.769194974406</v>
      </c>
      <c r="W145" s="33">
        <v>46090</v>
      </c>
      <c r="X145" s="33">
        <v>46090</v>
      </c>
    </row>
    <row r="146" spans="1:24" ht="15.75" thickBot="1" x14ac:dyDescent="0.3">
      <c r="A146" t="str">
        <f t="shared" si="2"/>
        <v>N1WB E23942 BK1G1E</v>
      </c>
      <c r="B146" s="22" t="s">
        <v>1019</v>
      </c>
      <c r="C146" s="22" t="s">
        <v>2416</v>
      </c>
      <c r="D146" s="22" t="s">
        <v>6</v>
      </c>
      <c r="E146" s="22" t="s">
        <v>2417</v>
      </c>
      <c r="F146" s="22" t="s">
        <v>2415</v>
      </c>
      <c r="G146" s="28" t="s">
        <v>2012</v>
      </c>
      <c r="H146" s="22" t="s">
        <v>2055</v>
      </c>
      <c r="I146" s="21"/>
      <c r="J146" s="22" t="s">
        <v>261</v>
      </c>
      <c r="K146" s="22" t="s">
        <v>262</v>
      </c>
      <c r="L146" s="21"/>
      <c r="M146" s="22" t="s">
        <v>2014</v>
      </c>
      <c r="N146" s="28" t="s">
        <v>2015</v>
      </c>
      <c r="O146" s="28" t="s">
        <v>2016</v>
      </c>
      <c r="P146" s="29">
        <v>65</v>
      </c>
      <c r="Q146" s="28" t="s">
        <v>2017</v>
      </c>
      <c r="R146" s="31">
        <v>3.4222534222530001</v>
      </c>
      <c r="S146" s="29">
        <v>1221</v>
      </c>
      <c r="T146" s="32">
        <v>18.993333333332998</v>
      </c>
      <c r="U146" s="32">
        <v>0</v>
      </c>
      <c r="V146" s="31">
        <v>3.4222534222530001</v>
      </c>
      <c r="W146" s="33">
        <v>46090</v>
      </c>
      <c r="X146" s="33">
        <v>46090</v>
      </c>
    </row>
    <row r="147" spans="1:24" ht="15.75" thickBot="1" x14ac:dyDescent="0.3">
      <c r="A147" t="str">
        <f t="shared" si="2"/>
        <v>N1WB E23942 SF1G1C</v>
      </c>
      <c r="B147" s="22" t="s">
        <v>1026</v>
      </c>
      <c r="C147" s="22" t="s">
        <v>2418</v>
      </c>
      <c r="D147" s="22" t="s">
        <v>6</v>
      </c>
      <c r="E147" s="21"/>
      <c r="F147" s="22" t="s">
        <v>2419</v>
      </c>
      <c r="G147" s="28" t="s">
        <v>2012</v>
      </c>
      <c r="H147" s="22" t="s">
        <v>2055</v>
      </c>
      <c r="I147" s="21"/>
      <c r="J147" s="22" t="s">
        <v>261</v>
      </c>
      <c r="K147" s="22" t="s">
        <v>262</v>
      </c>
      <c r="L147" s="21"/>
      <c r="M147" s="22" t="s">
        <v>2014</v>
      </c>
      <c r="N147" s="28" t="s">
        <v>2015</v>
      </c>
      <c r="O147" s="28" t="s">
        <v>2016</v>
      </c>
      <c r="P147" s="29">
        <v>136</v>
      </c>
      <c r="Q147" s="28" t="s">
        <v>2017</v>
      </c>
      <c r="R147" s="31">
        <v>3.220205209155</v>
      </c>
      <c r="S147" s="29">
        <v>2715</v>
      </c>
      <c r="T147" s="32">
        <v>42.233333333333</v>
      </c>
      <c r="U147" s="32">
        <v>0</v>
      </c>
      <c r="V147" s="31">
        <v>3.220205209155</v>
      </c>
      <c r="W147" s="33">
        <v>46090</v>
      </c>
      <c r="X147" s="33">
        <v>46090</v>
      </c>
    </row>
    <row r="148" spans="1:24" ht="15.75" thickBot="1" x14ac:dyDescent="0.3">
      <c r="A148" t="str">
        <f t="shared" si="2"/>
        <v>N1WB E23942 SF1G1E</v>
      </c>
      <c r="B148" s="22" t="s">
        <v>1027</v>
      </c>
      <c r="C148" s="22" t="s">
        <v>2420</v>
      </c>
      <c r="D148" s="22" t="s">
        <v>6</v>
      </c>
      <c r="E148" s="21"/>
      <c r="F148" s="22" t="s">
        <v>2419</v>
      </c>
      <c r="G148" s="28" t="s">
        <v>2012</v>
      </c>
      <c r="H148" s="22" t="s">
        <v>2055</v>
      </c>
      <c r="I148" s="21"/>
      <c r="J148" s="22" t="s">
        <v>261</v>
      </c>
      <c r="K148" s="22" t="s">
        <v>262</v>
      </c>
      <c r="L148" s="21"/>
      <c r="M148" s="22" t="s">
        <v>2014</v>
      </c>
      <c r="N148" s="28" t="s">
        <v>2015</v>
      </c>
      <c r="O148" s="28" t="s">
        <v>2016</v>
      </c>
      <c r="P148" s="29">
        <v>267</v>
      </c>
      <c r="Q148" s="28" t="s">
        <v>2017</v>
      </c>
      <c r="R148" s="31">
        <v>3.9954110135669998</v>
      </c>
      <c r="S148" s="29">
        <v>4296</v>
      </c>
      <c r="T148" s="32">
        <v>66.826666666666</v>
      </c>
      <c r="U148" s="32">
        <v>0</v>
      </c>
      <c r="V148" s="31">
        <v>3.9954110135669998</v>
      </c>
      <c r="W148" s="33">
        <v>46090</v>
      </c>
      <c r="X148" s="33">
        <v>46090</v>
      </c>
    </row>
    <row r="149" spans="1:24" ht="15.75" thickBot="1" x14ac:dyDescent="0.3">
      <c r="A149" t="str">
        <f t="shared" si="2"/>
        <v>N1WB E23943 KL1G1E</v>
      </c>
      <c r="B149" s="22" t="s">
        <v>982</v>
      </c>
      <c r="C149" s="22" t="s">
        <v>2421</v>
      </c>
      <c r="D149" s="22" t="s">
        <v>72</v>
      </c>
      <c r="E149" s="22" t="s">
        <v>2417</v>
      </c>
      <c r="F149" s="22" t="s">
        <v>2360</v>
      </c>
      <c r="G149" s="28" t="s">
        <v>2012</v>
      </c>
      <c r="H149" s="22" t="s">
        <v>2055</v>
      </c>
      <c r="I149" s="21"/>
      <c r="J149" s="22" t="s">
        <v>261</v>
      </c>
      <c r="K149" s="22" t="s">
        <v>262</v>
      </c>
      <c r="L149" s="21"/>
      <c r="M149" s="22" t="s">
        <v>2014</v>
      </c>
      <c r="N149" s="28" t="s">
        <v>2015</v>
      </c>
      <c r="O149" s="28" t="s">
        <v>2016</v>
      </c>
      <c r="P149" s="29">
        <v>66</v>
      </c>
      <c r="Q149" s="28" t="s">
        <v>2017</v>
      </c>
      <c r="R149" s="31">
        <v>3.4720598550380002</v>
      </c>
      <c r="S149" s="29">
        <v>1222</v>
      </c>
      <c r="T149" s="32">
        <v>19.008888888887999</v>
      </c>
      <c r="U149" s="32">
        <v>0</v>
      </c>
      <c r="V149" s="31">
        <v>3.4720598550380002</v>
      </c>
      <c r="W149" s="33">
        <v>46090</v>
      </c>
      <c r="X149" s="33">
        <v>46090</v>
      </c>
    </row>
    <row r="150" spans="1:24" ht="15.75" thickBot="1" x14ac:dyDescent="0.3">
      <c r="A150" t="str">
        <f t="shared" si="2"/>
        <v>N1WB E23943 VF1G1C</v>
      </c>
      <c r="B150" s="22" t="s">
        <v>988</v>
      </c>
      <c r="C150" s="22" t="s">
        <v>2422</v>
      </c>
      <c r="D150" s="22" t="s">
        <v>72</v>
      </c>
      <c r="E150" s="21"/>
      <c r="F150" s="22" t="s">
        <v>2423</v>
      </c>
      <c r="G150" s="28" t="s">
        <v>2012</v>
      </c>
      <c r="H150" s="22" t="s">
        <v>2055</v>
      </c>
      <c r="I150" s="21"/>
      <c r="J150" s="22" t="s">
        <v>261</v>
      </c>
      <c r="K150" s="22" t="s">
        <v>262</v>
      </c>
      <c r="L150" s="21"/>
      <c r="M150" s="22" t="s">
        <v>2014</v>
      </c>
      <c r="N150" s="28" t="s">
        <v>2015</v>
      </c>
      <c r="O150" s="28" t="s">
        <v>2016</v>
      </c>
      <c r="P150" s="29">
        <v>155</v>
      </c>
      <c r="Q150" s="28" t="s">
        <v>2017</v>
      </c>
      <c r="R150" s="31">
        <v>3.6700868192580001</v>
      </c>
      <c r="S150" s="29">
        <v>2715</v>
      </c>
      <c r="T150" s="32">
        <v>42.233333333333</v>
      </c>
      <c r="U150" s="32">
        <v>0</v>
      </c>
      <c r="V150" s="31">
        <v>3.6700868192580001</v>
      </c>
      <c r="W150" s="33">
        <v>46090</v>
      </c>
      <c r="X150" s="33">
        <v>46090</v>
      </c>
    </row>
    <row r="151" spans="1:24" ht="15.75" thickBot="1" x14ac:dyDescent="0.3">
      <c r="A151" t="str">
        <f t="shared" si="2"/>
        <v>N1WB E24397 CA31NB</v>
      </c>
      <c r="B151" s="22" t="s">
        <v>533</v>
      </c>
      <c r="C151" s="22" t="s">
        <v>2424</v>
      </c>
      <c r="D151" s="22" t="s">
        <v>2425</v>
      </c>
      <c r="E151" s="21"/>
      <c r="F151" s="22" t="s">
        <v>2426</v>
      </c>
      <c r="G151" s="28" t="s">
        <v>2012</v>
      </c>
      <c r="H151" s="22" t="s">
        <v>2080</v>
      </c>
      <c r="I151" s="21"/>
      <c r="J151" s="22" t="s">
        <v>261</v>
      </c>
      <c r="K151" s="22" t="s">
        <v>262</v>
      </c>
      <c r="L151" s="21"/>
      <c r="M151" s="22" t="s">
        <v>2014</v>
      </c>
      <c r="N151" s="28" t="s">
        <v>2015</v>
      </c>
      <c r="O151" s="28" t="s">
        <v>2016</v>
      </c>
      <c r="P151" s="29">
        <v>641</v>
      </c>
      <c r="Q151" s="28" t="s">
        <v>2017</v>
      </c>
      <c r="R151" s="31">
        <v>2.790299489243</v>
      </c>
      <c r="S151" s="29">
        <v>14768</v>
      </c>
      <c r="T151" s="32">
        <v>229.724444444444</v>
      </c>
      <c r="U151" s="32">
        <v>0</v>
      </c>
      <c r="V151" s="31">
        <v>2.790299489243</v>
      </c>
      <c r="W151" s="33">
        <v>46089</v>
      </c>
      <c r="X151" s="33">
        <v>46090</v>
      </c>
    </row>
    <row r="152" spans="1:24" ht="15.75" thickBot="1" x14ac:dyDescent="0.3">
      <c r="A152" t="str">
        <f t="shared" si="2"/>
        <v>N1WB E243A52 ED3ZHE</v>
      </c>
      <c r="B152" s="22" t="s">
        <v>327</v>
      </c>
      <c r="C152" s="22" t="s">
        <v>2427</v>
      </c>
      <c r="D152" s="22" t="s">
        <v>2428</v>
      </c>
      <c r="E152" s="21"/>
      <c r="F152" s="22" t="s">
        <v>2429</v>
      </c>
      <c r="G152" s="28" t="s">
        <v>2012</v>
      </c>
      <c r="H152" s="22" t="s">
        <v>2080</v>
      </c>
      <c r="I152" s="21"/>
      <c r="J152" s="22" t="s">
        <v>261</v>
      </c>
      <c r="K152" s="22" t="s">
        <v>262</v>
      </c>
      <c r="L152" s="21"/>
      <c r="M152" s="22" t="s">
        <v>2014</v>
      </c>
      <c r="N152" s="28" t="s">
        <v>2015</v>
      </c>
      <c r="O152" s="28" t="s">
        <v>2016</v>
      </c>
      <c r="P152" s="29">
        <v>524</v>
      </c>
      <c r="Q152" s="28" t="s">
        <v>2017</v>
      </c>
      <c r="R152" s="31">
        <v>1.947376244982</v>
      </c>
      <c r="S152" s="29">
        <v>17298</v>
      </c>
      <c r="T152" s="32">
        <v>269.08</v>
      </c>
      <c r="U152" s="32">
        <v>0</v>
      </c>
      <c r="V152" s="31">
        <v>1.947376244982</v>
      </c>
      <c r="W152" s="33">
        <v>46088</v>
      </c>
      <c r="X152" s="33">
        <v>46090</v>
      </c>
    </row>
    <row r="153" spans="1:24" ht="15.75" thickBot="1" x14ac:dyDescent="0.3">
      <c r="A153" t="str">
        <f t="shared" si="2"/>
        <v>N1WB E243A53 ED3ZHE</v>
      </c>
      <c r="B153" s="22" t="s">
        <v>279</v>
      </c>
      <c r="C153" s="22" t="s">
        <v>2430</v>
      </c>
      <c r="D153" s="22" t="s">
        <v>2431</v>
      </c>
      <c r="E153" s="21"/>
      <c r="F153" s="22" t="s">
        <v>2429</v>
      </c>
      <c r="G153" s="28" t="s">
        <v>2012</v>
      </c>
      <c r="H153" s="22" t="s">
        <v>2080</v>
      </c>
      <c r="I153" s="21"/>
      <c r="J153" s="22" t="s">
        <v>261</v>
      </c>
      <c r="K153" s="22" t="s">
        <v>262</v>
      </c>
      <c r="L153" s="21"/>
      <c r="M153" s="22" t="s">
        <v>2014</v>
      </c>
      <c r="N153" s="28" t="s">
        <v>2015</v>
      </c>
      <c r="O153" s="28" t="s">
        <v>2016</v>
      </c>
      <c r="P153" s="29">
        <v>488</v>
      </c>
      <c r="Q153" s="28" t="s">
        <v>2017</v>
      </c>
      <c r="R153" s="31">
        <v>1.8251936567039999</v>
      </c>
      <c r="S153" s="29">
        <v>17188</v>
      </c>
      <c r="T153" s="32">
        <v>267.36888888888899</v>
      </c>
      <c r="U153" s="32">
        <v>0</v>
      </c>
      <c r="V153" s="31">
        <v>1.8251936567039999</v>
      </c>
      <c r="W153" s="33">
        <v>46088</v>
      </c>
      <c r="X153" s="33">
        <v>46090</v>
      </c>
    </row>
    <row r="154" spans="1:24" ht="15.75" thickBot="1" x14ac:dyDescent="0.3">
      <c r="A154" t="str">
        <f t="shared" si="2"/>
        <v>N1WB E24592 CB3ZHE</v>
      </c>
      <c r="B154" s="22" t="s">
        <v>521</v>
      </c>
      <c r="C154" s="22" t="s">
        <v>2432</v>
      </c>
      <c r="D154" s="22" t="s">
        <v>2433</v>
      </c>
      <c r="E154" s="21"/>
      <c r="F154" s="22" t="s">
        <v>2434</v>
      </c>
      <c r="G154" s="28" t="s">
        <v>2012</v>
      </c>
      <c r="H154" s="22" t="s">
        <v>2080</v>
      </c>
      <c r="I154" s="21"/>
      <c r="J154" s="22" t="s">
        <v>261</v>
      </c>
      <c r="K154" s="22" t="s">
        <v>262</v>
      </c>
      <c r="L154" s="21"/>
      <c r="M154" s="22" t="s">
        <v>2014</v>
      </c>
      <c r="N154" s="28" t="s">
        <v>2015</v>
      </c>
      <c r="O154" s="28" t="s">
        <v>2016</v>
      </c>
      <c r="P154" s="29">
        <v>966</v>
      </c>
      <c r="Q154" s="28" t="s">
        <v>2017</v>
      </c>
      <c r="R154" s="31">
        <v>3.59375</v>
      </c>
      <c r="S154" s="29">
        <v>17280</v>
      </c>
      <c r="T154" s="32">
        <v>268.8</v>
      </c>
      <c r="U154" s="32">
        <v>0</v>
      </c>
      <c r="V154" s="31">
        <v>3.59375</v>
      </c>
      <c r="W154" s="33">
        <v>46090</v>
      </c>
      <c r="X154" s="33">
        <v>46090</v>
      </c>
    </row>
    <row r="155" spans="1:24" ht="15.75" thickBot="1" x14ac:dyDescent="0.3">
      <c r="A155" t="str">
        <f t="shared" si="2"/>
        <v>N1WB E27406 RP1G1C</v>
      </c>
      <c r="B155" s="22" t="s">
        <v>1034</v>
      </c>
      <c r="C155" s="22" t="s">
        <v>2435</v>
      </c>
      <c r="D155" s="22" t="s">
        <v>134</v>
      </c>
      <c r="E155" s="22" t="s">
        <v>2417</v>
      </c>
      <c r="F155" s="22" t="s">
        <v>2436</v>
      </c>
      <c r="G155" s="28" t="s">
        <v>2012</v>
      </c>
      <c r="H155" s="22" t="s">
        <v>2055</v>
      </c>
      <c r="I155" s="21"/>
      <c r="J155" s="22" t="s">
        <v>261</v>
      </c>
      <c r="K155" s="22" t="s">
        <v>262</v>
      </c>
      <c r="L155" s="21"/>
      <c r="M155" s="22" t="s">
        <v>2014</v>
      </c>
      <c r="N155" s="28" t="s">
        <v>2015</v>
      </c>
      <c r="O155" s="28" t="s">
        <v>2016</v>
      </c>
      <c r="P155" s="29">
        <v>71</v>
      </c>
      <c r="Q155" s="28" t="s">
        <v>2017</v>
      </c>
      <c r="R155" s="31">
        <v>3.7168450442059999</v>
      </c>
      <c r="S155" s="29">
        <v>1228</v>
      </c>
      <c r="T155" s="32">
        <v>19.102222222222</v>
      </c>
      <c r="U155" s="32">
        <v>0</v>
      </c>
      <c r="V155" s="31">
        <v>3.7168450442059999</v>
      </c>
      <c r="W155" s="33">
        <v>46090</v>
      </c>
      <c r="X155" s="33">
        <v>46090</v>
      </c>
    </row>
    <row r="156" spans="1:24" ht="15.75" thickBot="1" x14ac:dyDescent="0.3">
      <c r="A156" t="str">
        <f t="shared" si="2"/>
        <v>N1WB E27406 RP1G1E</v>
      </c>
      <c r="B156" s="22" t="s">
        <v>1035</v>
      </c>
      <c r="C156" s="22" t="s">
        <v>2437</v>
      </c>
      <c r="D156" s="22" t="s">
        <v>134</v>
      </c>
      <c r="E156" s="22" t="s">
        <v>2417</v>
      </c>
      <c r="F156" s="22" t="s">
        <v>2436</v>
      </c>
      <c r="G156" s="28" t="s">
        <v>2012</v>
      </c>
      <c r="H156" s="22" t="s">
        <v>2055</v>
      </c>
      <c r="I156" s="21"/>
      <c r="J156" s="22" t="s">
        <v>261</v>
      </c>
      <c r="K156" s="22" t="s">
        <v>262</v>
      </c>
      <c r="L156" s="21"/>
      <c r="M156" s="22" t="s">
        <v>2014</v>
      </c>
      <c r="N156" s="28" t="s">
        <v>2015</v>
      </c>
      <c r="O156" s="28" t="s">
        <v>2016</v>
      </c>
      <c r="P156" s="29">
        <v>63</v>
      </c>
      <c r="Q156" s="28" t="s">
        <v>2017</v>
      </c>
      <c r="R156" s="31">
        <v>3.3169533169530001</v>
      </c>
      <c r="S156" s="29">
        <v>1221</v>
      </c>
      <c r="T156" s="32">
        <v>18.993333333332998</v>
      </c>
      <c r="U156" s="32">
        <v>0</v>
      </c>
      <c r="V156" s="31">
        <v>3.3169533169530001</v>
      </c>
      <c r="W156" s="33">
        <v>46090</v>
      </c>
      <c r="X156" s="33">
        <v>46090</v>
      </c>
    </row>
    <row r="157" spans="1:24" ht="15.75" thickBot="1" x14ac:dyDescent="0.3">
      <c r="A157" t="str">
        <f t="shared" si="2"/>
        <v>N1WB E27406 UL1G1C</v>
      </c>
      <c r="B157" s="22" t="s">
        <v>1038</v>
      </c>
      <c r="C157" s="22" t="s">
        <v>2438</v>
      </c>
      <c r="D157" s="22" t="s">
        <v>134</v>
      </c>
      <c r="E157" s="22" t="s">
        <v>2417</v>
      </c>
      <c r="F157" s="22" t="s">
        <v>2369</v>
      </c>
      <c r="G157" s="28" t="s">
        <v>2012</v>
      </c>
      <c r="H157" s="22" t="s">
        <v>2055</v>
      </c>
      <c r="I157" s="21"/>
      <c r="J157" s="22" t="s">
        <v>261</v>
      </c>
      <c r="K157" s="22" t="s">
        <v>262</v>
      </c>
      <c r="L157" s="21"/>
      <c r="M157" s="22" t="s">
        <v>2014</v>
      </c>
      <c r="N157" s="28" t="s">
        <v>2015</v>
      </c>
      <c r="O157" s="28" t="s">
        <v>2016</v>
      </c>
      <c r="P157" s="29">
        <v>140</v>
      </c>
      <c r="Q157" s="28" t="s">
        <v>2017</v>
      </c>
      <c r="R157" s="31">
        <v>3.3149171270709998</v>
      </c>
      <c r="S157" s="29">
        <v>2715</v>
      </c>
      <c r="T157" s="32">
        <v>42.233333333333</v>
      </c>
      <c r="U157" s="32">
        <v>0</v>
      </c>
      <c r="V157" s="31">
        <v>3.3149171270709998</v>
      </c>
      <c r="W157" s="33">
        <v>46090</v>
      </c>
      <c r="X157" s="33">
        <v>46090</v>
      </c>
    </row>
    <row r="158" spans="1:24" ht="15.75" thickBot="1" x14ac:dyDescent="0.3">
      <c r="A158" t="str">
        <f t="shared" si="2"/>
        <v>N1WB E27406 UL1G1E</v>
      </c>
      <c r="B158" s="22" t="s">
        <v>1039</v>
      </c>
      <c r="C158" s="22" t="s">
        <v>2439</v>
      </c>
      <c r="D158" s="22" t="s">
        <v>134</v>
      </c>
      <c r="E158" s="22" t="s">
        <v>2417</v>
      </c>
      <c r="F158" s="22" t="s">
        <v>2369</v>
      </c>
      <c r="G158" s="28" t="s">
        <v>2012</v>
      </c>
      <c r="H158" s="22" t="s">
        <v>2055</v>
      </c>
      <c r="I158" s="21"/>
      <c r="J158" s="22" t="s">
        <v>261</v>
      </c>
      <c r="K158" s="22" t="s">
        <v>262</v>
      </c>
      <c r="L158" s="21"/>
      <c r="M158" s="22" t="s">
        <v>2014</v>
      </c>
      <c r="N158" s="28" t="s">
        <v>2015</v>
      </c>
      <c r="O158" s="28" t="s">
        <v>2016</v>
      </c>
      <c r="P158" s="29">
        <v>262</v>
      </c>
      <c r="Q158" s="28" t="s">
        <v>2017</v>
      </c>
      <c r="R158" s="31">
        <v>3.921503409279</v>
      </c>
      <c r="S158" s="29">
        <v>4295</v>
      </c>
      <c r="T158" s="32">
        <v>66.811111111111003</v>
      </c>
      <c r="U158" s="32">
        <v>0</v>
      </c>
      <c r="V158" s="31">
        <v>3.921503409279</v>
      </c>
      <c r="W158" s="33">
        <v>46090</v>
      </c>
      <c r="X158" s="33">
        <v>46090</v>
      </c>
    </row>
    <row r="159" spans="1:24" ht="15.75" thickBot="1" x14ac:dyDescent="0.3">
      <c r="A159" t="str">
        <f t="shared" si="2"/>
        <v>N1WB E27406 UL3LU4</v>
      </c>
      <c r="B159" s="22" t="s">
        <v>1040</v>
      </c>
      <c r="C159" s="22" t="s">
        <v>2440</v>
      </c>
      <c r="D159" s="22" t="s">
        <v>134</v>
      </c>
      <c r="E159" s="22" t="s">
        <v>2441</v>
      </c>
      <c r="F159" s="22" t="s">
        <v>2369</v>
      </c>
      <c r="G159" s="28" t="s">
        <v>2012</v>
      </c>
      <c r="H159" s="22" t="s">
        <v>2055</v>
      </c>
      <c r="I159" s="21"/>
      <c r="J159" s="22" t="s">
        <v>261</v>
      </c>
      <c r="K159" s="22" t="s">
        <v>262</v>
      </c>
      <c r="L159" s="21"/>
      <c r="M159" s="22" t="s">
        <v>2014</v>
      </c>
      <c r="N159" s="28" t="s">
        <v>2015</v>
      </c>
      <c r="O159" s="28" t="s">
        <v>2016</v>
      </c>
      <c r="P159" s="29">
        <v>18</v>
      </c>
      <c r="Q159" s="28" t="s">
        <v>2017</v>
      </c>
      <c r="R159" s="31">
        <v>3.5064935064929998</v>
      </c>
      <c r="S159" s="29">
        <v>330</v>
      </c>
      <c r="T159" s="32">
        <v>5.1333333333329998</v>
      </c>
      <c r="U159" s="32">
        <v>0</v>
      </c>
      <c r="V159" s="31">
        <v>3.5064935064929998</v>
      </c>
      <c r="W159" s="33">
        <v>46090</v>
      </c>
      <c r="X159" s="33">
        <v>46090</v>
      </c>
    </row>
    <row r="160" spans="1:24" ht="15.75" thickBot="1" x14ac:dyDescent="0.3">
      <c r="A160" t="str">
        <f t="shared" si="2"/>
        <v>N1WB E27407 RP1G1C</v>
      </c>
      <c r="B160" s="22" t="s">
        <v>995</v>
      </c>
      <c r="C160" s="22" t="s">
        <v>2442</v>
      </c>
      <c r="D160" s="22" t="s">
        <v>176</v>
      </c>
      <c r="E160" s="22" t="s">
        <v>2417</v>
      </c>
      <c r="F160" s="22" t="s">
        <v>2443</v>
      </c>
      <c r="G160" s="28" t="s">
        <v>2012</v>
      </c>
      <c r="H160" s="22" t="s">
        <v>2055</v>
      </c>
      <c r="I160" s="21"/>
      <c r="J160" s="22" t="s">
        <v>261</v>
      </c>
      <c r="K160" s="22" t="s">
        <v>262</v>
      </c>
      <c r="L160" s="21"/>
      <c r="M160" s="22" t="s">
        <v>2014</v>
      </c>
      <c r="N160" s="28" t="s">
        <v>2015</v>
      </c>
      <c r="O160" s="28" t="s">
        <v>2016</v>
      </c>
      <c r="P160" s="29">
        <v>76</v>
      </c>
      <c r="Q160" s="28" t="s">
        <v>2017</v>
      </c>
      <c r="R160" s="31">
        <v>3.9785946952070002</v>
      </c>
      <c r="S160" s="29">
        <v>1228</v>
      </c>
      <c r="T160" s="32">
        <v>19.102222222222</v>
      </c>
      <c r="U160" s="32">
        <v>0</v>
      </c>
      <c r="V160" s="31">
        <v>3.9785946952070002</v>
      </c>
      <c r="W160" s="33">
        <v>46090</v>
      </c>
      <c r="X160" s="33">
        <v>46090</v>
      </c>
    </row>
    <row r="161" spans="1:24" ht="15.75" thickBot="1" x14ac:dyDescent="0.3">
      <c r="A161" t="str">
        <f t="shared" si="2"/>
        <v>N1WB E27407 RP1G1E</v>
      </c>
      <c r="B161" s="22" t="s">
        <v>996</v>
      </c>
      <c r="C161" s="22" t="s">
        <v>2444</v>
      </c>
      <c r="D161" s="22" t="s">
        <v>176</v>
      </c>
      <c r="E161" s="22" t="s">
        <v>2417</v>
      </c>
      <c r="F161" s="22" t="s">
        <v>2443</v>
      </c>
      <c r="G161" s="28" t="s">
        <v>2012</v>
      </c>
      <c r="H161" s="22" t="s">
        <v>2055</v>
      </c>
      <c r="I161" s="21"/>
      <c r="J161" s="22" t="s">
        <v>261</v>
      </c>
      <c r="K161" s="22" t="s">
        <v>262</v>
      </c>
      <c r="L161" s="21"/>
      <c r="M161" s="22" t="s">
        <v>2014</v>
      </c>
      <c r="N161" s="28" t="s">
        <v>2015</v>
      </c>
      <c r="O161" s="28" t="s">
        <v>2016</v>
      </c>
      <c r="P161" s="29">
        <v>64</v>
      </c>
      <c r="Q161" s="28" t="s">
        <v>2017</v>
      </c>
      <c r="R161" s="31">
        <v>3.3696033696029999</v>
      </c>
      <c r="S161" s="29">
        <v>1221</v>
      </c>
      <c r="T161" s="32">
        <v>18.993333333332998</v>
      </c>
      <c r="U161" s="32">
        <v>0</v>
      </c>
      <c r="V161" s="31">
        <v>3.3696033696029999</v>
      </c>
      <c r="W161" s="33">
        <v>46090</v>
      </c>
      <c r="X161" s="33">
        <v>46090</v>
      </c>
    </row>
    <row r="162" spans="1:24" ht="15.75" thickBot="1" x14ac:dyDescent="0.3">
      <c r="A162" t="str">
        <f t="shared" si="2"/>
        <v>N1WB E27407 UL1G1C</v>
      </c>
      <c r="B162" s="22" t="s">
        <v>999</v>
      </c>
      <c r="C162" s="22" t="s">
        <v>2445</v>
      </c>
      <c r="D162" s="22" t="s">
        <v>176</v>
      </c>
      <c r="E162" s="21"/>
      <c r="F162" s="22" t="s">
        <v>2375</v>
      </c>
      <c r="G162" s="28" t="s">
        <v>2012</v>
      </c>
      <c r="H162" s="22" t="s">
        <v>2055</v>
      </c>
      <c r="I162" s="21"/>
      <c r="J162" s="22" t="s">
        <v>261</v>
      </c>
      <c r="K162" s="22" t="s">
        <v>262</v>
      </c>
      <c r="L162" s="21"/>
      <c r="M162" s="22" t="s">
        <v>2014</v>
      </c>
      <c r="N162" s="28" t="s">
        <v>2015</v>
      </c>
      <c r="O162" s="28" t="s">
        <v>2016</v>
      </c>
      <c r="P162" s="29">
        <v>161</v>
      </c>
      <c r="Q162" s="28" t="s">
        <v>2017</v>
      </c>
      <c r="R162" s="31">
        <v>3.8121546961320001</v>
      </c>
      <c r="S162" s="29">
        <v>2715</v>
      </c>
      <c r="T162" s="32">
        <v>42.233333333333</v>
      </c>
      <c r="U162" s="32">
        <v>0</v>
      </c>
      <c r="V162" s="31">
        <v>3.8121546961320001</v>
      </c>
      <c r="W162" s="33">
        <v>46090</v>
      </c>
      <c r="X162" s="33">
        <v>46090</v>
      </c>
    </row>
    <row r="163" spans="1:24" ht="15.75" thickBot="1" x14ac:dyDescent="0.3">
      <c r="A163" t="str">
        <f t="shared" si="2"/>
        <v>N1WB E28252 AD</v>
      </c>
      <c r="B163" s="22" t="s">
        <v>1985</v>
      </c>
      <c r="C163" s="22" t="s">
        <v>2446</v>
      </c>
      <c r="D163" s="22" t="s">
        <v>2447</v>
      </c>
      <c r="E163" s="21"/>
      <c r="F163" s="22" t="s">
        <v>2030</v>
      </c>
      <c r="G163" s="28" t="s">
        <v>2012</v>
      </c>
      <c r="H163" s="22" t="s">
        <v>2080</v>
      </c>
      <c r="I163" s="21"/>
      <c r="J163" s="22" t="s">
        <v>261</v>
      </c>
      <c r="K163" s="22" t="s">
        <v>924</v>
      </c>
      <c r="L163" s="21"/>
      <c r="M163" s="22" t="s">
        <v>2014</v>
      </c>
      <c r="N163" s="28" t="s">
        <v>2015</v>
      </c>
      <c r="O163" s="28" t="s">
        <v>2016</v>
      </c>
      <c r="P163" s="29">
        <v>540</v>
      </c>
      <c r="Q163" s="28" t="s">
        <v>2017</v>
      </c>
      <c r="R163" s="31">
        <v>1.982767061588</v>
      </c>
      <c r="S163" s="29">
        <v>17508</v>
      </c>
      <c r="T163" s="32">
        <v>272.34666666666698</v>
      </c>
      <c r="U163" s="32">
        <v>0</v>
      </c>
      <c r="V163" s="31">
        <v>1.982767061588</v>
      </c>
      <c r="W163" s="33">
        <v>46088</v>
      </c>
      <c r="X163" s="33">
        <v>46090</v>
      </c>
    </row>
    <row r="164" spans="1:24" ht="15.75" thickBot="1" x14ac:dyDescent="0.3">
      <c r="A164" t="str">
        <f t="shared" si="2"/>
        <v>N1WB E28253 AD</v>
      </c>
      <c r="B164" s="22" t="s">
        <v>1981</v>
      </c>
      <c r="C164" s="22" t="s">
        <v>2448</v>
      </c>
      <c r="D164" s="22" t="s">
        <v>2447</v>
      </c>
      <c r="E164" s="21"/>
      <c r="F164" s="22" t="s">
        <v>2030</v>
      </c>
      <c r="G164" s="28" t="s">
        <v>2012</v>
      </c>
      <c r="H164" s="22" t="s">
        <v>2080</v>
      </c>
      <c r="I164" s="21"/>
      <c r="J164" s="22" t="s">
        <v>261</v>
      </c>
      <c r="K164" s="22" t="s">
        <v>924</v>
      </c>
      <c r="L164" s="21"/>
      <c r="M164" s="22" t="s">
        <v>2014</v>
      </c>
      <c r="N164" s="28" t="s">
        <v>2015</v>
      </c>
      <c r="O164" s="28" t="s">
        <v>2016</v>
      </c>
      <c r="P164" s="29">
        <v>604</v>
      </c>
      <c r="Q164" s="28" t="s">
        <v>2017</v>
      </c>
      <c r="R164" s="31">
        <v>2.2279418997340001</v>
      </c>
      <c r="S164" s="29">
        <v>17428</v>
      </c>
      <c r="T164" s="32">
        <v>271.102222222222</v>
      </c>
      <c r="U164" s="32">
        <v>0</v>
      </c>
      <c r="V164" s="31">
        <v>2.2279418997340001</v>
      </c>
      <c r="W164" s="33">
        <v>46089</v>
      </c>
      <c r="X164" s="33">
        <v>46090</v>
      </c>
    </row>
    <row r="165" spans="1:24" ht="15.75" thickBot="1" x14ac:dyDescent="0.3">
      <c r="A165" t="str">
        <f t="shared" si="2"/>
        <v>N1WB E403A86 AH3ZHE</v>
      </c>
      <c r="B165" s="22" t="s">
        <v>524</v>
      </c>
      <c r="C165" s="22" t="s">
        <v>2449</v>
      </c>
      <c r="D165" s="22" t="s">
        <v>2450</v>
      </c>
      <c r="E165" s="21"/>
      <c r="F165" s="22" t="s">
        <v>2385</v>
      </c>
      <c r="G165" s="28" t="s">
        <v>2012</v>
      </c>
      <c r="H165" s="22" t="s">
        <v>2055</v>
      </c>
      <c r="I165" s="21"/>
      <c r="J165" s="22" t="s">
        <v>261</v>
      </c>
      <c r="K165" s="22" t="s">
        <v>262</v>
      </c>
      <c r="L165" s="21"/>
      <c r="M165" s="22" t="s">
        <v>2014</v>
      </c>
      <c r="N165" s="28" t="s">
        <v>2015</v>
      </c>
      <c r="O165" s="28" t="s">
        <v>2016</v>
      </c>
      <c r="P165" s="29">
        <v>1023</v>
      </c>
      <c r="Q165" s="28" t="s">
        <v>2017</v>
      </c>
      <c r="R165" s="31">
        <v>3.8607658632309998</v>
      </c>
      <c r="S165" s="29">
        <v>17034</v>
      </c>
      <c r="T165" s="32">
        <v>264.97333333333302</v>
      </c>
      <c r="U165" s="32">
        <v>0</v>
      </c>
      <c r="V165" s="31">
        <v>3.8607658632309998</v>
      </c>
      <c r="W165" s="33">
        <v>46090</v>
      </c>
      <c r="X165" s="33">
        <v>46090</v>
      </c>
    </row>
    <row r="166" spans="1:24" ht="15.75" thickBot="1" x14ac:dyDescent="0.3">
      <c r="A166" t="str">
        <f t="shared" si="2"/>
        <v>N1WB E403E32 AB</v>
      </c>
      <c r="B166" s="22" t="s">
        <v>1927</v>
      </c>
      <c r="C166" s="22" t="s">
        <v>2451</v>
      </c>
      <c r="D166" s="22" t="s">
        <v>2452</v>
      </c>
      <c r="E166" s="21"/>
      <c r="F166" s="22" t="s">
        <v>2030</v>
      </c>
      <c r="G166" s="28" t="s">
        <v>2012</v>
      </c>
      <c r="H166" s="22" t="s">
        <v>2080</v>
      </c>
      <c r="I166" s="21"/>
      <c r="J166" s="22" t="s">
        <v>261</v>
      </c>
      <c r="K166" s="22" t="s">
        <v>924</v>
      </c>
      <c r="L166" s="21"/>
      <c r="M166" s="22" t="s">
        <v>2014</v>
      </c>
      <c r="N166" s="28" t="s">
        <v>2015</v>
      </c>
      <c r="O166" s="28" t="s">
        <v>2016</v>
      </c>
      <c r="P166" s="29">
        <v>798</v>
      </c>
      <c r="Q166" s="28" t="s">
        <v>2017</v>
      </c>
      <c r="R166" s="31">
        <v>2.9486147833079999</v>
      </c>
      <c r="S166" s="29">
        <v>17398</v>
      </c>
      <c r="T166" s="32">
        <v>270.63555555555598</v>
      </c>
      <c r="U166" s="32">
        <v>0</v>
      </c>
      <c r="V166" s="31">
        <v>2.9486147833079999</v>
      </c>
      <c r="W166" s="33">
        <v>46089</v>
      </c>
      <c r="X166" s="33">
        <v>46090</v>
      </c>
    </row>
    <row r="167" spans="1:24" ht="15.75" thickBot="1" x14ac:dyDescent="0.3">
      <c r="A167" t="str">
        <f t="shared" si="2"/>
        <v>N1WB E404D91 AC</v>
      </c>
      <c r="B167" s="22" t="s">
        <v>961</v>
      </c>
      <c r="C167" s="22" t="s">
        <v>2453</v>
      </c>
      <c r="D167" s="22" t="s">
        <v>2454</v>
      </c>
      <c r="E167" s="21"/>
      <c r="F167" s="22" t="s">
        <v>2030</v>
      </c>
      <c r="G167" s="28" t="s">
        <v>2012</v>
      </c>
      <c r="H167" s="22" t="s">
        <v>2013</v>
      </c>
      <c r="I167" s="21"/>
      <c r="J167" s="22" t="s">
        <v>261</v>
      </c>
      <c r="K167" s="22" t="s">
        <v>924</v>
      </c>
      <c r="L167" s="21"/>
      <c r="M167" s="22" t="s">
        <v>2014</v>
      </c>
      <c r="N167" s="28" t="s">
        <v>2015</v>
      </c>
      <c r="O167" s="28" t="s">
        <v>2016</v>
      </c>
      <c r="P167" s="29">
        <v>1344</v>
      </c>
      <c r="Q167" s="28" t="s">
        <v>2017</v>
      </c>
      <c r="R167" s="31">
        <v>2.4258760107809998</v>
      </c>
      <c r="S167" s="29">
        <v>35616</v>
      </c>
      <c r="T167" s="32">
        <v>554.02666666666698</v>
      </c>
      <c r="U167" s="32">
        <v>0</v>
      </c>
      <c r="V167" s="31">
        <v>2.4258760107809998</v>
      </c>
      <c r="W167" s="33">
        <v>46089</v>
      </c>
      <c r="X167" s="33">
        <v>46090</v>
      </c>
    </row>
    <row r="168" spans="1:24" ht="15.75" thickBot="1" x14ac:dyDescent="0.3">
      <c r="A168" t="str">
        <f t="shared" si="2"/>
        <v>N1WB E40780 AC</v>
      </c>
      <c r="B168" s="22" t="s">
        <v>1797</v>
      </c>
      <c r="C168" s="22" t="s">
        <v>2455</v>
      </c>
      <c r="D168" s="22" t="s">
        <v>2456</v>
      </c>
      <c r="E168" s="22" t="s">
        <v>2457</v>
      </c>
      <c r="F168" s="22" t="s">
        <v>2030</v>
      </c>
      <c r="G168" s="28" t="s">
        <v>2012</v>
      </c>
      <c r="H168" s="22" t="s">
        <v>2013</v>
      </c>
      <c r="I168" s="21"/>
      <c r="J168" s="22" t="s">
        <v>261</v>
      </c>
      <c r="K168" s="22" t="s">
        <v>924</v>
      </c>
      <c r="L168" s="21"/>
      <c r="M168" s="22" t="s">
        <v>2014</v>
      </c>
      <c r="N168" s="28" t="s">
        <v>2015</v>
      </c>
      <c r="O168" s="28" t="s">
        <v>2016</v>
      </c>
      <c r="P168" s="29">
        <v>1092</v>
      </c>
      <c r="Q168" s="28" t="s">
        <v>2017</v>
      </c>
      <c r="R168" s="31">
        <v>3.8613861386130002</v>
      </c>
      <c r="S168" s="29">
        <v>18180</v>
      </c>
      <c r="T168" s="32">
        <v>282.8</v>
      </c>
      <c r="U168" s="32">
        <v>0</v>
      </c>
      <c r="V168" s="31">
        <v>3.8613861386130002</v>
      </c>
      <c r="W168" s="33">
        <v>46090</v>
      </c>
      <c r="X168" s="33">
        <v>46090</v>
      </c>
    </row>
    <row r="169" spans="1:24" ht="15.75" thickBot="1" x14ac:dyDescent="0.3">
      <c r="A169" t="str">
        <f t="shared" si="2"/>
        <v>N1WB E412A04 CB</v>
      </c>
      <c r="B169" s="22" t="s">
        <v>1919</v>
      </c>
      <c r="C169" s="22" t="s">
        <v>2086</v>
      </c>
      <c r="D169" s="22" t="s">
        <v>2458</v>
      </c>
      <c r="E169" s="21"/>
      <c r="F169" s="22" t="s">
        <v>2459</v>
      </c>
      <c r="G169" s="28" t="s">
        <v>2012</v>
      </c>
      <c r="H169" s="22" t="s">
        <v>2013</v>
      </c>
      <c r="I169" s="21"/>
      <c r="J169" s="22" t="s">
        <v>261</v>
      </c>
      <c r="K169" s="22" t="s">
        <v>924</v>
      </c>
      <c r="L169" s="21"/>
      <c r="M169" s="22" t="s">
        <v>2014</v>
      </c>
      <c r="N169" s="28" t="s">
        <v>2015</v>
      </c>
      <c r="O169" s="28" t="s">
        <v>2016</v>
      </c>
      <c r="P169" s="29">
        <v>1080</v>
      </c>
      <c r="Q169" s="28" t="s">
        <v>2017</v>
      </c>
      <c r="R169" s="31">
        <v>3.8315988647110002</v>
      </c>
      <c r="S169" s="29">
        <v>18120</v>
      </c>
      <c r="T169" s="32">
        <v>281.86666666666702</v>
      </c>
      <c r="U169" s="32">
        <v>0</v>
      </c>
      <c r="V169" s="31">
        <v>3.8315988647110002</v>
      </c>
      <c r="W169" s="33">
        <v>46090</v>
      </c>
      <c r="X169" s="33">
        <v>46090</v>
      </c>
    </row>
    <row r="170" spans="1:24" ht="15.75" thickBot="1" x14ac:dyDescent="0.3">
      <c r="A170" t="str">
        <f t="shared" si="2"/>
        <v>P0630900</v>
      </c>
      <c r="B170" s="22" t="s">
        <v>1155</v>
      </c>
      <c r="C170" s="22" t="s">
        <v>2460</v>
      </c>
      <c r="D170" s="22" t="s">
        <v>2461</v>
      </c>
      <c r="E170" s="22" t="s">
        <v>2462</v>
      </c>
      <c r="F170" s="22" t="s">
        <v>2463</v>
      </c>
      <c r="G170" s="28" t="s">
        <v>2012</v>
      </c>
      <c r="H170" s="22" t="s">
        <v>2464</v>
      </c>
      <c r="I170" s="21"/>
      <c r="J170" s="22" t="s">
        <v>394</v>
      </c>
      <c r="K170" s="22" t="s">
        <v>924</v>
      </c>
      <c r="L170" s="21"/>
      <c r="M170" s="22" t="s">
        <v>2014</v>
      </c>
      <c r="N170" s="28" t="s">
        <v>2015</v>
      </c>
      <c r="O170" s="28" t="s">
        <v>2016</v>
      </c>
      <c r="P170" s="29">
        <v>3570</v>
      </c>
      <c r="Q170" s="28" t="s">
        <v>2017</v>
      </c>
      <c r="R170" s="31">
        <v>2.833333333333</v>
      </c>
      <c r="S170" s="29">
        <v>81000</v>
      </c>
      <c r="T170" s="32">
        <v>1260</v>
      </c>
      <c r="U170" s="32">
        <v>0</v>
      </c>
      <c r="V170" s="31">
        <v>2.833333333333</v>
      </c>
      <c r="W170" s="33">
        <v>46089</v>
      </c>
      <c r="X170" s="33">
        <v>46090</v>
      </c>
    </row>
    <row r="171" spans="1:24" ht="15.75" thickBot="1" x14ac:dyDescent="0.3">
      <c r="A171" t="str">
        <f t="shared" si="2"/>
        <v>P1WB E10610 BA</v>
      </c>
      <c r="B171" s="22" t="s">
        <v>1948</v>
      </c>
      <c r="C171" s="22" t="s">
        <v>2465</v>
      </c>
      <c r="D171" s="22" t="s">
        <v>2404</v>
      </c>
      <c r="E171" s="21"/>
      <c r="F171" s="22" t="s">
        <v>2030</v>
      </c>
      <c r="G171" s="28" t="s">
        <v>2012</v>
      </c>
      <c r="H171" s="22" t="s">
        <v>2080</v>
      </c>
      <c r="I171" s="21"/>
      <c r="J171" s="22" t="s">
        <v>261</v>
      </c>
      <c r="K171" s="22" t="s">
        <v>924</v>
      </c>
      <c r="L171" s="21"/>
      <c r="M171" s="22" t="s">
        <v>2014</v>
      </c>
      <c r="N171" s="28" t="s">
        <v>2015</v>
      </c>
      <c r="O171" s="28" t="s">
        <v>2016</v>
      </c>
      <c r="P171" s="29">
        <v>934</v>
      </c>
      <c r="Q171" s="28" t="s">
        <v>2017</v>
      </c>
      <c r="R171" s="31">
        <v>3.4495494164570002</v>
      </c>
      <c r="S171" s="29">
        <v>17406</v>
      </c>
      <c r="T171" s="32">
        <v>270.76</v>
      </c>
      <c r="U171" s="32">
        <v>0</v>
      </c>
      <c r="V171" s="31">
        <v>3.4495494164570002</v>
      </c>
      <c r="W171" s="33">
        <v>46090</v>
      </c>
      <c r="X171" s="33">
        <v>46090</v>
      </c>
    </row>
    <row r="172" spans="1:24" ht="15.75" thickBot="1" x14ac:dyDescent="0.3">
      <c r="A172" t="str">
        <f t="shared" si="2"/>
        <v>P1WB E280A54 BB</v>
      </c>
      <c r="B172" s="22" t="s">
        <v>1960</v>
      </c>
      <c r="C172" s="22" t="s">
        <v>2466</v>
      </c>
      <c r="D172" s="22" t="s">
        <v>2467</v>
      </c>
      <c r="E172" s="21"/>
      <c r="F172" s="22" t="s">
        <v>2030</v>
      </c>
      <c r="G172" s="28" t="s">
        <v>2012</v>
      </c>
      <c r="H172" s="22" t="s">
        <v>2080</v>
      </c>
      <c r="I172" s="21"/>
      <c r="J172" s="22" t="s">
        <v>261</v>
      </c>
      <c r="K172" s="22" t="s">
        <v>924</v>
      </c>
      <c r="L172" s="21"/>
      <c r="M172" s="22" t="s">
        <v>2014</v>
      </c>
      <c r="N172" s="28" t="s">
        <v>2015</v>
      </c>
      <c r="O172" s="28" t="s">
        <v>2016</v>
      </c>
      <c r="P172" s="29">
        <v>335</v>
      </c>
      <c r="Q172" s="28" t="s">
        <v>2017</v>
      </c>
      <c r="R172" s="31">
        <v>1.1891614735339999</v>
      </c>
      <c r="S172" s="29">
        <v>18110</v>
      </c>
      <c r="T172" s="32">
        <v>281.71111111111099</v>
      </c>
      <c r="U172" s="32">
        <v>0</v>
      </c>
      <c r="V172" s="31">
        <v>1.1891614735339999</v>
      </c>
      <c r="W172" s="33">
        <v>46088</v>
      </c>
      <c r="X172" s="33">
        <v>46090</v>
      </c>
    </row>
    <row r="173" spans="1:24" ht="15.75" thickBot="1" x14ac:dyDescent="0.3">
      <c r="A173" t="str">
        <f t="shared" si="2"/>
        <v>P1WB E280A55 BB</v>
      </c>
      <c r="B173" s="22" t="s">
        <v>1957</v>
      </c>
      <c r="C173" s="22" t="s">
        <v>2468</v>
      </c>
      <c r="D173" s="22" t="s">
        <v>2469</v>
      </c>
      <c r="E173" s="21"/>
      <c r="F173" s="22" t="s">
        <v>2030</v>
      </c>
      <c r="G173" s="28" t="s">
        <v>2012</v>
      </c>
      <c r="H173" s="22" t="s">
        <v>2080</v>
      </c>
      <c r="I173" s="21"/>
      <c r="J173" s="22" t="s">
        <v>261</v>
      </c>
      <c r="K173" s="22" t="s">
        <v>924</v>
      </c>
      <c r="L173" s="21"/>
      <c r="M173" s="22" t="s">
        <v>2014</v>
      </c>
      <c r="N173" s="28" t="s">
        <v>2015</v>
      </c>
      <c r="O173" s="28" t="s">
        <v>2016</v>
      </c>
      <c r="P173" s="29">
        <v>413</v>
      </c>
      <c r="Q173" s="28" t="s">
        <v>2017</v>
      </c>
      <c r="R173" s="31">
        <v>1.4668508287290001</v>
      </c>
      <c r="S173" s="29">
        <v>18100</v>
      </c>
      <c r="T173" s="32">
        <v>281.555555555556</v>
      </c>
      <c r="U173" s="32">
        <v>0</v>
      </c>
      <c r="V173" s="31">
        <v>1.4668508287290001</v>
      </c>
      <c r="W173" s="33">
        <v>46088</v>
      </c>
      <c r="X173" s="33">
        <v>46090</v>
      </c>
    </row>
    <row r="174" spans="1:24" ht="15.75" thickBot="1" x14ac:dyDescent="0.3">
      <c r="A174" t="str">
        <f t="shared" si="2"/>
        <v>P2DB 16E166 AB</v>
      </c>
      <c r="B174" s="22" t="s">
        <v>362</v>
      </c>
      <c r="C174" s="22" t="s">
        <v>2470</v>
      </c>
      <c r="D174" s="22" t="s">
        <v>2471</v>
      </c>
      <c r="E174" s="21"/>
      <c r="F174" s="22" t="s">
        <v>2472</v>
      </c>
      <c r="G174" s="28" t="s">
        <v>2012</v>
      </c>
      <c r="H174" s="22" t="s">
        <v>2080</v>
      </c>
      <c r="I174" s="21"/>
      <c r="J174" s="22" t="s">
        <v>364</v>
      </c>
      <c r="K174" s="22" t="s">
        <v>262</v>
      </c>
      <c r="L174" s="21"/>
      <c r="M174" s="22" t="s">
        <v>2014</v>
      </c>
      <c r="N174" s="28" t="s">
        <v>2015</v>
      </c>
      <c r="O174" s="28" t="s">
        <v>2016</v>
      </c>
      <c r="P174" s="29">
        <v>972</v>
      </c>
      <c r="Q174" s="28" t="s">
        <v>2017</v>
      </c>
      <c r="R174" s="31">
        <v>1.9647124350930001</v>
      </c>
      <c r="S174" s="29">
        <v>31804</v>
      </c>
      <c r="T174" s="32">
        <v>494.728888888889</v>
      </c>
      <c r="U174" s="32">
        <v>0</v>
      </c>
      <c r="V174" s="31">
        <v>1.9647124350930001</v>
      </c>
      <c r="W174" s="33">
        <v>46088</v>
      </c>
      <c r="X174" s="33">
        <v>46090</v>
      </c>
    </row>
    <row r="175" spans="1:24" ht="15.75" thickBot="1" x14ac:dyDescent="0.3">
      <c r="A175" t="str">
        <f t="shared" si="2"/>
        <v>P2DB 16E166 BB</v>
      </c>
      <c r="B175" s="22" t="s">
        <v>372</v>
      </c>
      <c r="C175" s="22" t="s">
        <v>2473</v>
      </c>
      <c r="D175" s="22" t="s">
        <v>2474</v>
      </c>
      <c r="E175" s="21"/>
      <c r="F175" s="22" t="s">
        <v>2472</v>
      </c>
      <c r="G175" s="28" t="s">
        <v>2012</v>
      </c>
      <c r="H175" s="22" t="s">
        <v>2080</v>
      </c>
      <c r="I175" s="21"/>
      <c r="J175" s="22" t="s">
        <v>364</v>
      </c>
      <c r="K175" s="22" t="s">
        <v>262</v>
      </c>
      <c r="L175" s="21"/>
      <c r="M175" s="22" t="s">
        <v>2014</v>
      </c>
      <c r="N175" s="28" t="s">
        <v>2015</v>
      </c>
      <c r="O175" s="28" t="s">
        <v>2016</v>
      </c>
      <c r="P175" s="29">
        <v>187</v>
      </c>
      <c r="Q175" s="28" t="s">
        <v>2017</v>
      </c>
      <c r="R175" s="31">
        <v>1.5396296838400001</v>
      </c>
      <c r="S175" s="29">
        <v>7808</v>
      </c>
      <c r="T175" s="32">
        <v>121.45777777777801</v>
      </c>
      <c r="U175" s="32">
        <v>0</v>
      </c>
      <c r="V175" s="31">
        <v>1.5396296838400001</v>
      </c>
      <c r="W175" s="33">
        <v>46088</v>
      </c>
      <c r="X175" s="33">
        <v>46090</v>
      </c>
    </row>
    <row r="176" spans="1:24" ht="15.75" thickBot="1" x14ac:dyDescent="0.3">
      <c r="A176" t="str">
        <f t="shared" si="2"/>
        <v>PC PP800 AC</v>
      </c>
      <c r="B176" s="22" t="s">
        <v>1978</v>
      </c>
      <c r="C176" s="22" t="s">
        <v>2475</v>
      </c>
      <c r="D176" s="22" t="s">
        <v>1979</v>
      </c>
      <c r="E176" s="21"/>
      <c r="F176" s="22" t="s">
        <v>2476</v>
      </c>
      <c r="G176" s="28" t="s">
        <v>2012</v>
      </c>
      <c r="H176" s="22" t="s">
        <v>2477</v>
      </c>
      <c r="I176" s="21"/>
      <c r="J176" s="22" t="s">
        <v>1164</v>
      </c>
      <c r="K176" s="22" t="s">
        <v>924</v>
      </c>
      <c r="L176" s="21"/>
      <c r="M176" s="22" t="s">
        <v>2014</v>
      </c>
      <c r="N176" s="28" t="s">
        <v>2015</v>
      </c>
      <c r="O176" s="28" t="s">
        <v>2016</v>
      </c>
      <c r="P176" s="29">
        <v>563</v>
      </c>
      <c r="Q176" s="28" t="s">
        <v>2017</v>
      </c>
      <c r="R176" s="31">
        <v>3.1916099773240001</v>
      </c>
      <c r="S176" s="29">
        <v>11340</v>
      </c>
      <c r="T176" s="32">
        <v>176.4</v>
      </c>
      <c r="U176" s="32">
        <v>0</v>
      </c>
      <c r="V176" s="31">
        <v>3.1916099773240001</v>
      </c>
      <c r="W176" s="33">
        <v>46090</v>
      </c>
      <c r="X176" s="33">
        <v>46090</v>
      </c>
    </row>
    <row r="177" spans="1:24" ht="15.75" thickBot="1" x14ac:dyDescent="0.3">
      <c r="A177" t="str">
        <f t="shared" si="2"/>
        <v>PC PP801 AC</v>
      </c>
      <c r="B177" s="22" t="s">
        <v>1975</v>
      </c>
      <c r="C177" s="22" t="s">
        <v>2478</v>
      </c>
      <c r="D177" s="22" t="s">
        <v>1976</v>
      </c>
      <c r="E177" s="21"/>
      <c r="F177" s="22" t="s">
        <v>2479</v>
      </c>
      <c r="G177" s="28" t="s">
        <v>2012</v>
      </c>
      <c r="H177" s="22" t="s">
        <v>2477</v>
      </c>
      <c r="I177" s="21"/>
      <c r="J177" s="22" t="s">
        <v>1164</v>
      </c>
      <c r="K177" s="22" t="s">
        <v>924</v>
      </c>
      <c r="L177" s="21"/>
      <c r="M177" s="22" t="s">
        <v>2014</v>
      </c>
      <c r="N177" s="28" t="s">
        <v>2015</v>
      </c>
      <c r="O177" s="28" t="s">
        <v>2016</v>
      </c>
      <c r="P177" s="29">
        <v>216</v>
      </c>
      <c r="Q177" s="28" t="s">
        <v>2017</v>
      </c>
      <c r="R177" s="31">
        <v>1.2129380053900001</v>
      </c>
      <c r="S177" s="29">
        <v>11448</v>
      </c>
      <c r="T177" s="32">
        <v>178.08</v>
      </c>
      <c r="U177" s="32">
        <v>0</v>
      </c>
      <c r="V177" s="31">
        <v>1.2129380053900001</v>
      </c>
      <c r="W177" s="33">
        <v>46088</v>
      </c>
      <c r="X177" s="33">
        <v>46090</v>
      </c>
    </row>
    <row r="178" spans="1:24" ht="15.75" thickBot="1" x14ac:dyDescent="0.3">
      <c r="A178" t="str">
        <f t="shared" si="2"/>
        <v>PC.WL68507882</v>
      </c>
      <c r="B178" s="22" t="s">
        <v>1777</v>
      </c>
      <c r="C178" s="22" t="s">
        <v>2480</v>
      </c>
      <c r="D178" s="22" t="s">
        <v>2481</v>
      </c>
      <c r="E178" s="22" t="s">
        <v>2482</v>
      </c>
      <c r="F178" s="22" t="s">
        <v>2483</v>
      </c>
      <c r="G178" s="28" t="s">
        <v>2012</v>
      </c>
      <c r="H178" s="22" t="s">
        <v>2022</v>
      </c>
      <c r="I178" s="21"/>
      <c r="J178" s="22" t="s">
        <v>1117</v>
      </c>
      <c r="K178" s="22" t="s">
        <v>924</v>
      </c>
      <c r="L178" s="21"/>
      <c r="M178" s="22" t="s">
        <v>2014</v>
      </c>
      <c r="N178" s="28" t="s">
        <v>2015</v>
      </c>
      <c r="O178" s="28" t="s">
        <v>2016</v>
      </c>
      <c r="P178" s="29">
        <v>1941</v>
      </c>
      <c r="Q178" s="28" t="s">
        <v>2017</v>
      </c>
      <c r="R178" s="31">
        <v>3.669957983193</v>
      </c>
      <c r="S178" s="29">
        <v>34000</v>
      </c>
      <c r="T178" s="32">
        <v>528.88888888888903</v>
      </c>
      <c r="U178" s="32">
        <v>0</v>
      </c>
      <c r="V178" s="31">
        <v>3.669957983193</v>
      </c>
      <c r="W178" s="33">
        <v>46090</v>
      </c>
      <c r="X178" s="33">
        <v>46090</v>
      </c>
    </row>
    <row r="179" spans="1:24" ht="15.75" thickBot="1" x14ac:dyDescent="0.3">
      <c r="A179" t="str">
        <f t="shared" si="2"/>
        <v>PC02220</v>
      </c>
      <c r="B179" s="22" t="s">
        <v>1375</v>
      </c>
      <c r="C179" s="22" t="s">
        <v>2484</v>
      </c>
      <c r="D179" s="22" t="s">
        <v>1376</v>
      </c>
      <c r="E179" s="22" t="s">
        <v>2485</v>
      </c>
      <c r="F179" s="22" t="s">
        <v>2486</v>
      </c>
      <c r="G179" s="28" t="s">
        <v>2012</v>
      </c>
      <c r="H179" s="22" t="s">
        <v>2487</v>
      </c>
      <c r="I179" s="21"/>
      <c r="J179" s="22" t="s">
        <v>364</v>
      </c>
      <c r="K179" s="22" t="s">
        <v>924</v>
      </c>
      <c r="L179" s="21"/>
      <c r="M179" s="22" t="s">
        <v>2014</v>
      </c>
      <c r="N179" s="28" t="s">
        <v>2015</v>
      </c>
      <c r="O179" s="28" t="s">
        <v>2016</v>
      </c>
      <c r="P179" s="29">
        <v>2727</v>
      </c>
      <c r="Q179" s="28" t="s">
        <v>2017</v>
      </c>
      <c r="R179" s="31">
        <v>3.9201060567330002</v>
      </c>
      <c r="S179" s="29">
        <v>44720</v>
      </c>
      <c r="T179" s="32">
        <v>695.64444444444405</v>
      </c>
      <c r="U179" s="32">
        <v>0</v>
      </c>
      <c r="V179" s="31">
        <v>3.9201060567330002</v>
      </c>
      <c r="W179" s="33">
        <v>46090</v>
      </c>
      <c r="X179" s="33">
        <v>46090</v>
      </c>
    </row>
    <row r="180" spans="1:24" ht="15.75" thickBot="1" x14ac:dyDescent="0.3">
      <c r="A180" t="str">
        <f t="shared" si="2"/>
        <v>PCPGMBEW17761</v>
      </c>
      <c r="B180" s="22" t="s">
        <v>2488</v>
      </c>
      <c r="C180" s="22" t="s">
        <v>2489</v>
      </c>
      <c r="D180" s="22" t="s">
        <v>2490</v>
      </c>
      <c r="E180" s="21"/>
      <c r="F180" s="22" t="s">
        <v>2030</v>
      </c>
      <c r="G180" s="28" t="s">
        <v>2012</v>
      </c>
      <c r="H180" s="22" t="s">
        <v>2491</v>
      </c>
      <c r="I180" s="22" t="s">
        <v>2492</v>
      </c>
      <c r="J180" s="22" t="s">
        <v>404</v>
      </c>
      <c r="K180" s="22" t="s">
        <v>262</v>
      </c>
      <c r="L180" s="22" t="s">
        <v>2493</v>
      </c>
      <c r="M180" s="22" t="s">
        <v>2130</v>
      </c>
      <c r="N180" s="28" t="s">
        <v>2494</v>
      </c>
      <c r="O180" s="28" t="s">
        <v>2016</v>
      </c>
      <c r="P180" s="29">
        <v>33</v>
      </c>
      <c r="Q180" s="28" t="s">
        <v>2017</v>
      </c>
      <c r="R180" s="31">
        <v>3.2487420695689999</v>
      </c>
      <c r="S180" s="29">
        <v>653</v>
      </c>
      <c r="T180" s="32">
        <v>10.157777777777</v>
      </c>
      <c r="U180" s="32">
        <v>0</v>
      </c>
      <c r="V180" s="31">
        <v>3.2487420695689999</v>
      </c>
      <c r="W180" s="33">
        <v>46090</v>
      </c>
      <c r="X180" s="33">
        <v>46090</v>
      </c>
    </row>
    <row r="181" spans="1:24" ht="15.75" thickBot="1" x14ac:dyDescent="0.3">
      <c r="A181" t="str">
        <f t="shared" si="2"/>
        <v>PCS2610143AA</v>
      </c>
      <c r="B181" s="22" t="s">
        <v>2495</v>
      </c>
      <c r="C181" s="21"/>
      <c r="D181" s="22" t="s">
        <v>2496</v>
      </c>
      <c r="E181" s="22" t="s">
        <v>2497</v>
      </c>
      <c r="F181" s="22" t="s">
        <v>2498</v>
      </c>
      <c r="G181" s="28" t="s">
        <v>2012</v>
      </c>
      <c r="H181" s="22" t="s">
        <v>2499</v>
      </c>
      <c r="I181" s="22" t="s">
        <v>2500</v>
      </c>
      <c r="J181" s="22" t="s">
        <v>494</v>
      </c>
      <c r="K181" s="22" t="s">
        <v>924</v>
      </c>
      <c r="L181" s="22" t="s">
        <v>2501</v>
      </c>
      <c r="M181" s="22" t="s">
        <v>2130</v>
      </c>
      <c r="N181" s="28" t="s">
        <v>2494</v>
      </c>
      <c r="O181" s="28" t="s">
        <v>2016</v>
      </c>
      <c r="P181" s="29">
        <v>872</v>
      </c>
      <c r="Q181" s="28" t="s">
        <v>2017</v>
      </c>
      <c r="R181" s="31">
        <v>3.2425464401399999</v>
      </c>
      <c r="S181" s="29">
        <v>17288</v>
      </c>
      <c r="T181" s="32">
        <v>268.92444444444402</v>
      </c>
      <c r="U181" s="32">
        <v>0</v>
      </c>
      <c r="V181" s="31">
        <v>3.2425464401399999</v>
      </c>
      <c r="W181" s="33">
        <v>46090</v>
      </c>
      <c r="X181" s="33">
        <v>46090</v>
      </c>
    </row>
    <row r="182" spans="1:24" ht="15.75" thickBot="1" x14ac:dyDescent="0.3">
      <c r="A182" t="str">
        <f t="shared" si="2"/>
        <v>R1WB E291A34 MAA</v>
      </c>
      <c r="B182" s="22" t="s">
        <v>333</v>
      </c>
      <c r="C182" s="22" t="s">
        <v>2502</v>
      </c>
      <c r="D182" s="22" t="s">
        <v>2503</v>
      </c>
      <c r="E182" s="21"/>
      <c r="F182" s="22" t="s">
        <v>2504</v>
      </c>
      <c r="G182" s="28" t="s">
        <v>2012</v>
      </c>
      <c r="H182" s="22" t="s">
        <v>2055</v>
      </c>
      <c r="I182" s="21"/>
      <c r="J182" s="22" t="s">
        <v>261</v>
      </c>
      <c r="K182" s="22" t="s">
        <v>262</v>
      </c>
      <c r="L182" s="21"/>
      <c r="M182" s="22" t="s">
        <v>2014</v>
      </c>
      <c r="N182" s="28" t="s">
        <v>2015</v>
      </c>
      <c r="O182" s="28" t="s">
        <v>2016</v>
      </c>
      <c r="P182" s="29">
        <v>943</v>
      </c>
      <c r="Q182" s="28" t="s">
        <v>2017</v>
      </c>
      <c r="R182" s="31">
        <v>3.5155084998500001</v>
      </c>
      <c r="S182" s="29">
        <v>17244</v>
      </c>
      <c r="T182" s="32">
        <v>268.24</v>
      </c>
      <c r="U182" s="32">
        <v>0</v>
      </c>
      <c r="V182" s="31">
        <v>3.5155084998500001</v>
      </c>
      <c r="W182" s="33">
        <v>46090</v>
      </c>
      <c r="X182" s="33">
        <v>46090</v>
      </c>
    </row>
    <row r="183" spans="1:24" ht="15.75" thickBot="1" x14ac:dyDescent="0.3">
      <c r="A183" t="str">
        <f t="shared" si="2"/>
        <v>R1WB E291A35 MAA</v>
      </c>
      <c r="B183" s="22" t="s">
        <v>335</v>
      </c>
      <c r="C183" s="22" t="s">
        <v>2505</v>
      </c>
      <c r="D183" s="22" t="s">
        <v>2506</v>
      </c>
      <c r="E183" s="21"/>
      <c r="F183" s="22" t="s">
        <v>2504</v>
      </c>
      <c r="G183" s="28" t="s">
        <v>2012</v>
      </c>
      <c r="H183" s="22" t="s">
        <v>2055</v>
      </c>
      <c r="I183" s="21"/>
      <c r="J183" s="22" t="s">
        <v>261</v>
      </c>
      <c r="K183" s="22" t="s">
        <v>262</v>
      </c>
      <c r="L183" s="21"/>
      <c r="M183" s="22" t="s">
        <v>2014</v>
      </c>
      <c r="N183" s="28" t="s">
        <v>2015</v>
      </c>
      <c r="O183" s="28" t="s">
        <v>2016</v>
      </c>
      <c r="P183" s="29">
        <v>609</v>
      </c>
      <c r="Q183" s="28" t="s">
        <v>2017</v>
      </c>
      <c r="R183" s="31">
        <v>2.276559865092</v>
      </c>
      <c r="S183" s="29">
        <v>17197</v>
      </c>
      <c r="T183" s="32">
        <v>267.50888888888898</v>
      </c>
      <c r="U183" s="32">
        <v>0</v>
      </c>
      <c r="V183" s="31">
        <v>2.276559865092</v>
      </c>
      <c r="W183" s="33">
        <v>46089</v>
      </c>
      <c r="X183" s="33">
        <v>46090</v>
      </c>
    </row>
    <row r="184" spans="1:24" ht="15.75" thickBot="1" x14ac:dyDescent="0.3">
      <c r="A184" t="str">
        <f t="shared" si="2"/>
        <v>REPACK3D072SB3C</v>
      </c>
      <c r="B184" s="22" t="s">
        <v>2507</v>
      </c>
      <c r="C184" s="22" t="s">
        <v>2508</v>
      </c>
      <c r="D184" s="22" t="s">
        <v>1440</v>
      </c>
      <c r="E184" s="21"/>
      <c r="F184" s="22" t="s">
        <v>2509</v>
      </c>
      <c r="G184" s="28" t="s">
        <v>2012</v>
      </c>
      <c r="H184" s="22" t="s">
        <v>2013</v>
      </c>
      <c r="I184" s="21"/>
      <c r="J184" s="22" t="s">
        <v>364</v>
      </c>
      <c r="K184" s="22" t="s">
        <v>262</v>
      </c>
      <c r="L184" s="21"/>
      <c r="M184" s="22" t="s">
        <v>2034</v>
      </c>
      <c r="N184" s="28" t="s">
        <v>2015</v>
      </c>
      <c r="O184" s="28" t="s">
        <v>2016</v>
      </c>
      <c r="P184" s="29">
        <v>1327</v>
      </c>
      <c r="Q184" s="28" t="s">
        <v>2017</v>
      </c>
      <c r="R184" s="31">
        <v>3.522759450658</v>
      </c>
      <c r="S184" s="29">
        <v>24216</v>
      </c>
      <c r="T184" s="32">
        <v>376.69333333333299</v>
      </c>
      <c r="U184" s="32">
        <v>0</v>
      </c>
      <c r="V184" s="31">
        <v>3.522759450658</v>
      </c>
      <c r="W184" s="33">
        <v>46090</v>
      </c>
      <c r="X184" s="33">
        <v>46090</v>
      </c>
    </row>
    <row r="185" spans="1:24" ht="15.75" thickBot="1" x14ac:dyDescent="0.3">
      <c r="A185" t="str">
        <f t="shared" si="2"/>
        <v>REPACK5B852</v>
      </c>
      <c r="B185" s="22" t="s">
        <v>2510</v>
      </c>
      <c r="C185" s="22" t="s">
        <v>2172</v>
      </c>
      <c r="D185" s="22" t="s">
        <v>2511</v>
      </c>
      <c r="E185" s="21"/>
      <c r="F185" s="22" t="s">
        <v>2512</v>
      </c>
      <c r="G185" s="28" t="s">
        <v>2012</v>
      </c>
      <c r="H185" s="22" t="s">
        <v>2013</v>
      </c>
      <c r="I185" s="21"/>
      <c r="J185" s="22" t="s">
        <v>364</v>
      </c>
      <c r="K185" s="22" t="s">
        <v>262</v>
      </c>
      <c r="L185" s="21"/>
      <c r="M185" s="22" t="s">
        <v>2034</v>
      </c>
      <c r="N185" s="28" t="s">
        <v>2015</v>
      </c>
      <c r="O185" s="28" t="s">
        <v>2016</v>
      </c>
      <c r="P185" s="29">
        <v>2313</v>
      </c>
      <c r="Q185" s="28" t="s">
        <v>2017</v>
      </c>
      <c r="R185" s="31">
        <v>3.6281594110449999</v>
      </c>
      <c r="S185" s="29">
        <v>40983</v>
      </c>
      <c r="T185" s="32">
        <v>637.51333333333298</v>
      </c>
      <c r="U185" s="32">
        <v>0</v>
      </c>
      <c r="V185" s="31">
        <v>3.6281594110449999</v>
      </c>
      <c r="W185" s="33">
        <v>46090</v>
      </c>
      <c r="X185" s="33">
        <v>46090</v>
      </c>
    </row>
    <row r="186" spans="1:24" ht="15.75" thickBot="1" x14ac:dyDescent="0.3">
      <c r="A186" t="str">
        <f t="shared" si="2"/>
        <v>REPACKBR5B018</v>
      </c>
      <c r="B186" s="22" t="s">
        <v>2513</v>
      </c>
      <c r="C186" s="22" t="s">
        <v>2514</v>
      </c>
      <c r="D186" s="22" t="s">
        <v>2515</v>
      </c>
      <c r="E186" s="21"/>
      <c r="F186" s="22" t="s">
        <v>2516</v>
      </c>
      <c r="G186" s="28" t="s">
        <v>2012</v>
      </c>
      <c r="H186" s="22" t="s">
        <v>2013</v>
      </c>
      <c r="I186" s="21"/>
      <c r="J186" s="22" t="s">
        <v>364</v>
      </c>
      <c r="K186" s="22" t="s">
        <v>262</v>
      </c>
      <c r="L186" s="21"/>
      <c r="M186" s="22" t="s">
        <v>2034</v>
      </c>
      <c r="N186" s="28" t="s">
        <v>2015</v>
      </c>
      <c r="O186" s="28" t="s">
        <v>2016</v>
      </c>
      <c r="P186" s="29">
        <v>1225</v>
      </c>
      <c r="Q186" s="28" t="s">
        <v>2017</v>
      </c>
      <c r="R186" s="31">
        <v>3.755185732678</v>
      </c>
      <c r="S186" s="29">
        <v>20971</v>
      </c>
      <c r="T186" s="32">
        <v>326.21555555555602</v>
      </c>
      <c r="U186" s="32">
        <v>0</v>
      </c>
      <c r="V186" s="31">
        <v>3.755185732678</v>
      </c>
      <c r="W186" s="33">
        <v>46090</v>
      </c>
      <c r="X186" s="33">
        <v>46090</v>
      </c>
    </row>
    <row r="187" spans="1:24" ht="15.75" thickBot="1" x14ac:dyDescent="0.3">
      <c r="A187" t="str">
        <f t="shared" si="2"/>
        <v>RMPFD01</v>
      </c>
      <c r="B187" s="22" t="s">
        <v>2517</v>
      </c>
      <c r="C187" s="21"/>
      <c r="D187" s="22" t="s">
        <v>2518</v>
      </c>
      <c r="E187" s="22" t="s">
        <v>2519</v>
      </c>
      <c r="F187" s="22" t="s">
        <v>2030</v>
      </c>
      <c r="G187" s="28" t="s">
        <v>2012</v>
      </c>
      <c r="H187" s="22" t="s">
        <v>2520</v>
      </c>
      <c r="I187" s="22" t="s">
        <v>2521</v>
      </c>
      <c r="J187" s="22" t="s">
        <v>261</v>
      </c>
      <c r="K187" s="22" t="s">
        <v>262</v>
      </c>
      <c r="L187" s="22" t="s">
        <v>2522</v>
      </c>
      <c r="M187" s="22" t="s">
        <v>2523</v>
      </c>
      <c r="N187" s="28" t="s">
        <v>2494</v>
      </c>
      <c r="O187" s="28" t="s">
        <v>2016</v>
      </c>
      <c r="P187" s="29">
        <v>2839.596</v>
      </c>
      <c r="Q187" s="28" t="s">
        <v>1164</v>
      </c>
      <c r="R187" s="31">
        <v>2.3325618136320001</v>
      </c>
      <c r="S187" s="34">
        <v>78259.644</v>
      </c>
      <c r="T187" s="32">
        <v>1217.3722399999999</v>
      </c>
      <c r="U187" s="32">
        <v>0</v>
      </c>
      <c r="V187" s="31">
        <v>2.3325618136320001</v>
      </c>
      <c r="W187" s="33">
        <v>46089</v>
      </c>
      <c r="X187" s="33">
        <v>46090</v>
      </c>
    </row>
    <row r="188" spans="1:24" ht="15.75" thickBot="1" x14ac:dyDescent="0.3">
      <c r="A188" t="str">
        <f t="shared" si="2"/>
        <v>RMS2116386A</v>
      </c>
      <c r="B188" s="22" t="s">
        <v>2524</v>
      </c>
      <c r="C188" s="22" t="s">
        <v>2525</v>
      </c>
      <c r="D188" s="22" t="s">
        <v>2526</v>
      </c>
      <c r="E188" s="22" t="s">
        <v>2527</v>
      </c>
      <c r="F188" s="22" t="s">
        <v>2528</v>
      </c>
      <c r="G188" s="28" t="s">
        <v>2012</v>
      </c>
      <c r="H188" s="22" t="s">
        <v>2529</v>
      </c>
      <c r="I188" s="22" t="s">
        <v>2530</v>
      </c>
      <c r="J188" s="22" t="s">
        <v>261</v>
      </c>
      <c r="K188" s="22" t="s">
        <v>924</v>
      </c>
      <c r="L188" s="22" t="s">
        <v>2531</v>
      </c>
      <c r="M188" s="22" t="s">
        <v>2532</v>
      </c>
      <c r="N188" s="28" t="s">
        <v>2494</v>
      </c>
      <c r="O188" s="28" t="s">
        <v>2016</v>
      </c>
      <c r="P188" s="29">
        <v>275.24</v>
      </c>
      <c r="Q188" s="28" t="s">
        <v>1164</v>
      </c>
      <c r="R188" s="31">
        <v>2.4804858354079999</v>
      </c>
      <c r="S188" s="34">
        <v>7133.28</v>
      </c>
      <c r="T188" s="32">
        <v>110.962133333333</v>
      </c>
      <c r="U188" s="32">
        <v>0</v>
      </c>
      <c r="V188" s="31">
        <v>2.4804858354079999</v>
      </c>
      <c r="W188" s="33">
        <v>46089</v>
      </c>
      <c r="X188" s="33">
        <v>46090</v>
      </c>
    </row>
    <row r="189" spans="1:24" ht="15.75" thickBot="1" x14ac:dyDescent="0.3">
      <c r="A189" t="str">
        <f t="shared" si="2"/>
        <v>RMS26106A58A</v>
      </c>
      <c r="B189" s="22" t="s">
        <v>2533</v>
      </c>
      <c r="C189" s="21"/>
      <c r="D189" s="22" t="s">
        <v>2534</v>
      </c>
      <c r="E189" s="22" t="s">
        <v>2527</v>
      </c>
      <c r="F189" s="22" t="s">
        <v>2535</v>
      </c>
      <c r="G189" s="28" t="s">
        <v>2012</v>
      </c>
      <c r="H189" s="22" t="s">
        <v>2536</v>
      </c>
      <c r="I189" s="22" t="s">
        <v>2537</v>
      </c>
      <c r="J189" s="22" t="s">
        <v>261</v>
      </c>
      <c r="K189" s="22" t="s">
        <v>924</v>
      </c>
      <c r="L189" s="22" t="s">
        <v>2531</v>
      </c>
      <c r="M189" s="22" t="s">
        <v>2532</v>
      </c>
      <c r="N189" s="28" t="s">
        <v>2494</v>
      </c>
      <c r="O189" s="28" t="s">
        <v>2016</v>
      </c>
      <c r="P189" s="29">
        <v>36.037999999999997</v>
      </c>
      <c r="Q189" s="28" t="s">
        <v>1164</v>
      </c>
      <c r="R189" s="31">
        <v>3.1300628942470001</v>
      </c>
      <c r="S189" s="34">
        <v>740.154</v>
      </c>
      <c r="T189" s="32">
        <v>11.513506666666</v>
      </c>
      <c r="U189" s="32">
        <v>0</v>
      </c>
      <c r="V189" s="31">
        <v>3.1300628942470001</v>
      </c>
      <c r="W189" s="33">
        <v>46090</v>
      </c>
      <c r="X189" s="33">
        <v>46090</v>
      </c>
    </row>
    <row r="190" spans="1:24" ht="15.75" thickBot="1" x14ac:dyDescent="0.3">
      <c r="A190" t="str">
        <f t="shared" si="2"/>
        <v>RMS5810202RL</v>
      </c>
      <c r="B190" s="22" t="s">
        <v>2538</v>
      </c>
      <c r="C190" s="22" t="s">
        <v>2539</v>
      </c>
      <c r="D190" s="22" t="s">
        <v>2540</v>
      </c>
      <c r="E190" s="22" t="s">
        <v>2541</v>
      </c>
      <c r="F190" s="22" t="s">
        <v>2542</v>
      </c>
      <c r="G190" s="28" t="s">
        <v>2012</v>
      </c>
      <c r="H190" s="22" t="s">
        <v>2543</v>
      </c>
      <c r="I190" s="22" t="s">
        <v>2544</v>
      </c>
      <c r="J190" s="22" t="s">
        <v>364</v>
      </c>
      <c r="K190" s="22" t="s">
        <v>924</v>
      </c>
      <c r="L190" s="22" t="s">
        <v>2531</v>
      </c>
      <c r="M190" s="22" t="s">
        <v>2532</v>
      </c>
      <c r="N190" s="28" t="s">
        <v>2494</v>
      </c>
      <c r="O190" s="28" t="s">
        <v>2016</v>
      </c>
      <c r="P190" s="29">
        <v>25782.353999999999</v>
      </c>
      <c r="Q190" s="28" t="s">
        <v>1164</v>
      </c>
      <c r="R190" s="31">
        <v>2.7941210445640001</v>
      </c>
      <c r="S190" s="34">
        <v>593187.27300000004</v>
      </c>
      <c r="T190" s="32">
        <v>9227.3575799999999</v>
      </c>
      <c r="U190" s="32">
        <v>0</v>
      </c>
      <c r="V190" s="31">
        <v>2.7941210445640001</v>
      </c>
      <c r="W190" s="33">
        <v>46089</v>
      </c>
      <c r="X190" s="33">
        <v>46090</v>
      </c>
    </row>
    <row r="191" spans="1:24" ht="15.75" thickBot="1" x14ac:dyDescent="0.3">
      <c r="A191" t="str">
        <f t="shared" si="2"/>
        <v>RMSBR18K586A</v>
      </c>
      <c r="B191" s="22" t="s">
        <v>2545</v>
      </c>
      <c r="C191" s="22" t="s">
        <v>2546</v>
      </c>
      <c r="D191" s="22" t="s">
        <v>2547</v>
      </c>
      <c r="E191" s="22" t="s">
        <v>2527</v>
      </c>
      <c r="F191" s="22" t="s">
        <v>2548</v>
      </c>
      <c r="G191" s="28" t="s">
        <v>2012</v>
      </c>
      <c r="H191" s="22" t="s">
        <v>2549</v>
      </c>
      <c r="I191" s="22" t="s">
        <v>2550</v>
      </c>
      <c r="J191" s="22" t="s">
        <v>364</v>
      </c>
      <c r="K191" s="22" t="s">
        <v>924</v>
      </c>
      <c r="L191" s="22" t="s">
        <v>2531</v>
      </c>
      <c r="M191" s="22" t="s">
        <v>2532</v>
      </c>
      <c r="N191" s="28" t="s">
        <v>2494</v>
      </c>
      <c r="O191" s="28" t="s">
        <v>2016</v>
      </c>
      <c r="P191" s="29">
        <v>438.15120000000002</v>
      </c>
      <c r="Q191" s="28" t="s">
        <v>1164</v>
      </c>
      <c r="R191" s="31">
        <v>1.761021468269</v>
      </c>
      <c r="S191" s="34">
        <v>15994.616400000001</v>
      </c>
      <c r="T191" s="32">
        <v>248.80514400000001</v>
      </c>
      <c r="U191" s="32">
        <v>0</v>
      </c>
      <c r="V191" s="31">
        <v>1.761021468269</v>
      </c>
      <c r="W191" s="33">
        <v>46088</v>
      </c>
      <c r="X191" s="33">
        <v>46090</v>
      </c>
    </row>
    <row r="192" spans="1:24" ht="15.75" thickBot="1" x14ac:dyDescent="0.3">
      <c r="A192" t="str">
        <f t="shared" si="2"/>
        <v>RMSE10786B</v>
      </c>
      <c r="B192" s="22" t="s">
        <v>2551</v>
      </c>
      <c r="C192" s="22" t="s">
        <v>2552</v>
      </c>
      <c r="D192" s="22" t="s">
        <v>2553</v>
      </c>
      <c r="E192" s="22" t="s">
        <v>2554</v>
      </c>
      <c r="F192" s="22" t="s">
        <v>2555</v>
      </c>
      <c r="G192" s="28" t="s">
        <v>2012</v>
      </c>
      <c r="H192" s="22" t="s">
        <v>2556</v>
      </c>
      <c r="I192" s="22" t="s">
        <v>2557</v>
      </c>
      <c r="J192" s="22" t="s">
        <v>261</v>
      </c>
      <c r="K192" s="22" t="s">
        <v>924</v>
      </c>
      <c r="L192" s="22" t="s">
        <v>2558</v>
      </c>
      <c r="M192" s="22" t="s">
        <v>2532</v>
      </c>
      <c r="N192" s="28" t="s">
        <v>2494</v>
      </c>
      <c r="O192" s="28" t="s">
        <v>2016</v>
      </c>
      <c r="P192" s="29">
        <v>141.13999999999999</v>
      </c>
      <c r="Q192" s="28" t="s">
        <v>1164</v>
      </c>
      <c r="R192" s="31">
        <v>1.1155961485029999</v>
      </c>
      <c r="S192" s="34">
        <v>8133.1274999999996</v>
      </c>
      <c r="T192" s="32">
        <v>126.515316666667</v>
      </c>
      <c r="U192" s="32">
        <v>0</v>
      </c>
      <c r="V192" s="31">
        <v>1.1155961485029999</v>
      </c>
      <c r="W192" s="33">
        <v>46088</v>
      </c>
      <c r="X192" s="33">
        <v>46090</v>
      </c>
    </row>
    <row r="193" spans="1:24" ht="15.75" thickBot="1" x14ac:dyDescent="0.3">
      <c r="A193" t="str">
        <f t="shared" si="2"/>
        <v>RMSE10792</v>
      </c>
      <c r="B193" s="22" t="s">
        <v>2559</v>
      </c>
      <c r="C193" s="22" t="s">
        <v>2560</v>
      </c>
      <c r="D193" s="22" t="s">
        <v>2561</v>
      </c>
      <c r="E193" s="22" t="s">
        <v>2527</v>
      </c>
      <c r="F193" s="22" t="s">
        <v>2562</v>
      </c>
      <c r="G193" s="28" t="s">
        <v>2012</v>
      </c>
      <c r="H193" s="22" t="s">
        <v>2543</v>
      </c>
      <c r="I193" s="22" t="s">
        <v>2544</v>
      </c>
      <c r="J193" s="22" t="s">
        <v>261</v>
      </c>
      <c r="K193" s="22" t="s">
        <v>924</v>
      </c>
      <c r="L193" s="22" t="s">
        <v>2531</v>
      </c>
      <c r="M193" s="22" t="s">
        <v>2532</v>
      </c>
      <c r="N193" s="28" t="s">
        <v>2494</v>
      </c>
      <c r="O193" s="28" t="s">
        <v>2016</v>
      </c>
      <c r="P193" s="29">
        <v>1961.4010000000001</v>
      </c>
      <c r="Q193" s="28" t="s">
        <v>1164</v>
      </c>
      <c r="R193" s="31">
        <v>1.1029908478279999</v>
      </c>
      <c r="S193" s="34">
        <v>114316.51</v>
      </c>
      <c r="T193" s="32">
        <v>1778.2568222222201</v>
      </c>
      <c r="U193" s="32">
        <v>0</v>
      </c>
      <c r="V193" s="31">
        <v>1.1029908478279999</v>
      </c>
      <c r="W193" s="33">
        <v>46088</v>
      </c>
      <c r="X193" s="33">
        <v>46090</v>
      </c>
    </row>
    <row r="194" spans="1:24" ht="15.75" thickBot="1" x14ac:dyDescent="0.3">
      <c r="A194" t="str">
        <f t="shared" si="2"/>
        <v>RMSE16B292B</v>
      </c>
      <c r="B194" s="22" t="s">
        <v>2563</v>
      </c>
      <c r="C194" s="22" t="s">
        <v>2564</v>
      </c>
      <c r="D194" s="22" t="s">
        <v>2565</v>
      </c>
      <c r="E194" s="22" t="s">
        <v>2554</v>
      </c>
      <c r="F194" s="22" t="s">
        <v>2566</v>
      </c>
      <c r="G194" s="28" t="s">
        <v>2012</v>
      </c>
      <c r="H194" s="22" t="s">
        <v>2556</v>
      </c>
      <c r="I194" s="22" t="s">
        <v>2557</v>
      </c>
      <c r="J194" s="22" t="s">
        <v>261</v>
      </c>
      <c r="K194" s="22" t="s">
        <v>924</v>
      </c>
      <c r="L194" s="22" t="s">
        <v>2558</v>
      </c>
      <c r="M194" s="22" t="s">
        <v>2532</v>
      </c>
      <c r="N194" s="28" t="s">
        <v>2494</v>
      </c>
      <c r="O194" s="28" t="s">
        <v>2016</v>
      </c>
      <c r="P194" s="29">
        <v>254.72800000000001</v>
      </c>
      <c r="Q194" s="28" t="s">
        <v>1164</v>
      </c>
      <c r="R194" s="31">
        <v>1.188175044331</v>
      </c>
      <c r="S194" s="34">
        <v>13781.951999999999</v>
      </c>
      <c r="T194" s="32">
        <v>214.38592</v>
      </c>
      <c r="U194" s="32">
        <v>0</v>
      </c>
      <c r="V194" s="31">
        <v>1.188175044331</v>
      </c>
      <c r="W194" s="33">
        <v>46088</v>
      </c>
      <c r="X194" s="33">
        <v>46090</v>
      </c>
    </row>
    <row r="195" spans="1:24" ht="15.75" thickBot="1" x14ac:dyDescent="0.3">
      <c r="A195" t="str">
        <f t="shared" si="2"/>
        <v>RMSE43488RL</v>
      </c>
      <c r="B195" s="22" t="s">
        <v>2567</v>
      </c>
      <c r="C195" s="22" t="s">
        <v>2568</v>
      </c>
      <c r="D195" s="22" t="s">
        <v>2569</v>
      </c>
      <c r="E195" s="22" t="s">
        <v>2527</v>
      </c>
      <c r="F195" s="22" t="s">
        <v>2570</v>
      </c>
      <c r="G195" s="28" t="s">
        <v>2012</v>
      </c>
      <c r="H195" s="22" t="s">
        <v>2549</v>
      </c>
      <c r="I195" s="22" t="s">
        <v>2550</v>
      </c>
      <c r="J195" s="22" t="s">
        <v>261</v>
      </c>
      <c r="K195" s="22" t="s">
        <v>924</v>
      </c>
      <c r="L195" s="22" t="s">
        <v>2531</v>
      </c>
      <c r="M195" s="22" t="s">
        <v>2532</v>
      </c>
      <c r="N195" s="28" t="s">
        <v>2494</v>
      </c>
      <c r="O195" s="28" t="s">
        <v>2016</v>
      </c>
      <c r="P195" s="29">
        <v>880.96600000000001</v>
      </c>
      <c r="Q195" s="28" t="s">
        <v>1164</v>
      </c>
      <c r="R195" s="31">
        <v>1.8716318532689999</v>
      </c>
      <c r="S195" s="34">
        <v>30258.903999999999</v>
      </c>
      <c r="T195" s="32">
        <v>470.69406222222199</v>
      </c>
      <c r="U195" s="32">
        <v>0</v>
      </c>
      <c r="V195" s="31">
        <v>1.8716318532689999</v>
      </c>
      <c r="W195" s="33">
        <v>46088</v>
      </c>
      <c r="X195" s="33">
        <v>46090</v>
      </c>
    </row>
    <row r="196" spans="1:24" ht="15.75" thickBot="1" x14ac:dyDescent="0.3">
      <c r="A196" t="str">
        <f t="shared" si="2"/>
        <v>SB3C 3D072 AA</v>
      </c>
      <c r="B196" s="22" t="s">
        <v>947</v>
      </c>
      <c r="C196" s="22" t="s">
        <v>2508</v>
      </c>
      <c r="D196" s="22" t="s">
        <v>2571</v>
      </c>
      <c r="E196" s="21"/>
      <c r="F196" s="22" t="s">
        <v>2030</v>
      </c>
      <c r="G196" s="28" t="s">
        <v>2012</v>
      </c>
      <c r="H196" s="22" t="s">
        <v>2080</v>
      </c>
      <c r="I196" s="21"/>
      <c r="J196" s="22" t="s">
        <v>364</v>
      </c>
      <c r="K196" s="22" t="s">
        <v>924</v>
      </c>
      <c r="L196" s="21"/>
      <c r="M196" s="22" t="s">
        <v>2014</v>
      </c>
      <c r="N196" s="28" t="s">
        <v>2015</v>
      </c>
      <c r="O196" s="28" t="s">
        <v>2016</v>
      </c>
      <c r="P196" s="29">
        <v>1208</v>
      </c>
      <c r="Q196" s="28" t="s">
        <v>2017</v>
      </c>
      <c r="R196" s="31">
        <v>3.4096040945350001</v>
      </c>
      <c r="S196" s="29">
        <v>22776</v>
      </c>
      <c r="T196" s="32">
        <v>354.29333333333301</v>
      </c>
      <c r="U196" s="32">
        <v>0</v>
      </c>
      <c r="V196" s="31">
        <v>3.4096040945350001</v>
      </c>
      <c r="W196" s="33">
        <v>46090</v>
      </c>
      <c r="X196" s="33">
        <v>46090</v>
      </c>
    </row>
    <row r="197" spans="1:24" ht="15.75" thickBot="1" x14ac:dyDescent="0.3">
      <c r="A197" t="str">
        <f t="shared" ref="A197:A260" si="3">TRIM(B197)</f>
        <v>SB3V 16E166 ZB</v>
      </c>
      <c r="B197" s="22" t="s">
        <v>365</v>
      </c>
      <c r="C197" s="22" t="s">
        <v>2572</v>
      </c>
      <c r="D197" s="22" t="s">
        <v>2573</v>
      </c>
      <c r="E197" s="21"/>
      <c r="F197" s="22" t="s">
        <v>2574</v>
      </c>
      <c r="G197" s="28" t="s">
        <v>2012</v>
      </c>
      <c r="H197" s="22" t="s">
        <v>2080</v>
      </c>
      <c r="I197" s="21"/>
      <c r="J197" s="22" t="s">
        <v>364</v>
      </c>
      <c r="K197" s="22" t="s">
        <v>262</v>
      </c>
      <c r="L197" s="21"/>
      <c r="M197" s="22" t="s">
        <v>2014</v>
      </c>
      <c r="N197" s="28" t="s">
        <v>2015</v>
      </c>
      <c r="O197" s="28" t="s">
        <v>2016</v>
      </c>
      <c r="P197" s="29">
        <v>183</v>
      </c>
      <c r="Q197" s="28" t="s">
        <v>2017</v>
      </c>
      <c r="R197" s="31">
        <v>3.6648865153529999</v>
      </c>
      <c r="S197" s="29">
        <v>3210</v>
      </c>
      <c r="T197" s="32">
        <v>49.933333333333003</v>
      </c>
      <c r="U197" s="32">
        <v>0</v>
      </c>
      <c r="V197" s="31">
        <v>3.6648865153529999</v>
      </c>
      <c r="W197" s="33">
        <v>46090</v>
      </c>
      <c r="X197" s="33">
        <v>46090</v>
      </c>
    </row>
    <row r="198" spans="1:24" ht="15.75" thickBot="1" x14ac:dyDescent="0.3">
      <c r="A198" t="str">
        <f t="shared" si="3"/>
        <v>ASYE025B84B</v>
      </c>
      <c r="B198" s="22" t="s">
        <v>340</v>
      </c>
      <c r="C198" s="22" t="s">
        <v>2575</v>
      </c>
      <c r="D198" s="22" t="s">
        <v>2576</v>
      </c>
      <c r="E198" s="21"/>
      <c r="F198" s="22" t="s">
        <v>2030</v>
      </c>
      <c r="G198" s="28" t="s">
        <v>2012</v>
      </c>
      <c r="H198" s="22" t="s">
        <v>2037</v>
      </c>
      <c r="I198" s="21"/>
      <c r="J198" s="22" t="s">
        <v>261</v>
      </c>
      <c r="K198" s="22" t="s">
        <v>262</v>
      </c>
      <c r="L198" s="21"/>
      <c r="M198" s="22" t="s">
        <v>2034</v>
      </c>
      <c r="N198" s="28" t="s">
        <v>2015</v>
      </c>
      <c r="O198" s="28" t="s">
        <v>2016</v>
      </c>
      <c r="P198" s="29">
        <v>140</v>
      </c>
      <c r="Q198" s="28" t="s">
        <v>2017</v>
      </c>
      <c r="R198" s="31">
        <v>4.3520309477749999</v>
      </c>
      <c r="S198" s="29">
        <v>2068</v>
      </c>
      <c r="T198" s="32">
        <v>32.168888888887999</v>
      </c>
      <c r="U198" s="32">
        <v>0</v>
      </c>
      <c r="V198" s="31">
        <v>4.3520309477749999</v>
      </c>
      <c r="W198" s="33">
        <v>46091</v>
      </c>
      <c r="X198" s="33">
        <v>46091</v>
      </c>
    </row>
    <row r="199" spans="1:24" ht="15.75" thickBot="1" x14ac:dyDescent="0.3">
      <c r="A199" t="str">
        <f t="shared" si="3"/>
        <v>ASYHS111K34W20</v>
      </c>
      <c r="B199" s="22" t="s">
        <v>1658</v>
      </c>
      <c r="C199" s="22" t="s">
        <v>2052</v>
      </c>
      <c r="D199" s="22" t="s">
        <v>1659</v>
      </c>
      <c r="E199" s="22" t="s">
        <v>2577</v>
      </c>
      <c r="F199" s="22" t="s">
        <v>2578</v>
      </c>
      <c r="G199" s="28" t="s">
        <v>2012</v>
      </c>
      <c r="H199" s="22" t="s">
        <v>2055</v>
      </c>
      <c r="I199" s="21"/>
      <c r="J199" s="22" t="s">
        <v>364</v>
      </c>
      <c r="K199" s="22" t="s">
        <v>924</v>
      </c>
      <c r="L199" s="21"/>
      <c r="M199" s="22" t="s">
        <v>2034</v>
      </c>
      <c r="N199" s="28" t="s">
        <v>2015</v>
      </c>
      <c r="O199" s="28" t="s">
        <v>2016</v>
      </c>
      <c r="P199" s="29">
        <v>4018</v>
      </c>
      <c r="Q199" s="28" t="s">
        <v>2017</v>
      </c>
      <c r="R199" s="31">
        <v>4.2347733420770002</v>
      </c>
      <c r="S199" s="29">
        <v>60995</v>
      </c>
      <c r="T199" s="32">
        <v>948.81111111111102</v>
      </c>
      <c r="U199" s="32">
        <v>0</v>
      </c>
      <c r="V199" s="31">
        <v>4.2347733420770002</v>
      </c>
      <c r="W199" s="33">
        <v>46091</v>
      </c>
      <c r="X199" s="33">
        <v>46091</v>
      </c>
    </row>
    <row r="200" spans="1:24" ht="15.75" thickBot="1" x14ac:dyDescent="0.3">
      <c r="A200" t="str">
        <f t="shared" si="3"/>
        <v>ASYHS60B62W22</v>
      </c>
      <c r="B200" s="22" t="s">
        <v>1687</v>
      </c>
      <c r="C200" s="22" t="s">
        <v>2579</v>
      </c>
      <c r="D200" s="22" t="s">
        <v>2057</v>
      </c>
      <c r="E200" s="22" t="s">
        <v>2580</v>
      </c>
      <c r="F200" s="22" t="s">
        <v>2581</v>
      </c>
      <c r="G200" s="28" t="s">
        <v>2012</v>
      </c>
      <c r="H200" s="22" t="s">
        <v>2080</v>
      </c>
      <c r="I200" s="21"/>
      <c r="J200" s="22" t="s">
        <v>261</v>
      </c>
      <c r="K200" s="22" t="s">
        <v>924</v>
      </c>
      <c r="L200" s="21"/>
      <c r="M200" s="22" t="s">
        <v>2034</v>
      </c>
      <c r="N200" s="28" t="s">
        <v>2015</v>
      </c>
      <c r="O200" s="28" t="s">
        <v>2016</v>
      </c>
      <c r="P200" s="29">
        <v>1437</v>
      </c>
      <c r="Q200" s="28" t="s">
        <v>2017</v>
      </c>
      <c r="R200" s="31">
        <v>4.8720305589660002</v>
      </c>
      <c r="S200" s="29">
        <v>18961</v>
      </c>
      <c r="T200" s="32">
        <v>294.94888888888897</v>
      </c>
      <c r="U200" s="32">
        <v>0</v>
      </c>
      <c r="V200" s="31">
        <v>4.8720305589660002</v>
      </c>
      <c r="W200" s="33">
        <v>46091</v>
      </c>
      <c r="X200" s="33">
        <v>46091</v>
      </c>
    </row>
    <row r="201" spans="1:24" ht="15.75" thickBot="1" x14ac:dyDescent="0.3">
      <c r="A201" t="str">
        <f t="shared" si="3"/>
        <v>ASYHS69A31W15P703</v>
      </c>
      <c r="B201" s="22" t="s">
        <v>1692</v>
      </c>
      <c r="C201" s="22" t="s">
        <v>2112</v>
      </c>
      <c r="D201" s="22" t="s">
        <v>1693</v>
      </c>
      <c r="E201" s="22" t="s">
        <v>2582</v>
      </c>
      <c r="F201" s="22" t="s">
        <v>2583</v>
      </c>
      <c r="G201" s="28" t="s">
        <v>2012</v>
      </c>
      <c r="H201" s="22" t="s">
        <v>2080</v>
      </c>
      <c r="I201" s="21"/>
      <c r="J201" s="22" t="s">
        <v>261</v>
      </c>
      <c r="K201" s="22" t="s">
        <v>924</v>
      </c>
      <c r="L201" s="21"/>
      <c r="M201" s="22" t="s">
        <v>2034</v>
      </c>
      <c r="N201" s="28" t="s">
        <v>2015</v>
      </c>
      <c r="O201" s="28" t="s">
        <v>2016</v>
      </c>
      <c r="P201" s="29">
        <v>1275</v>
      </c>
      <c r="Q201" s="28" t="s">
        <v>2017</v>
      </c>
      <c r="R201" s="31">
        <v>4.7879131791739997</v>
      </c>
      <c r="S201" s="29">
        <v>17119</v>
      </c>
      <c r="T201" s="32">
        <v>266.29555555555601</v>
      </c>
      <c r="U201" s="32">
        <v>0</v>
      </c>
      <c r="V201" s="31">
        <v>4.7879131791739997</v>
      </c>
      <c r="W201" s="33">
        <v>46091</v>
      </c>
      <c r="X201" s="33">
        <v>46091</v>
      </c>
    </row>
    <row r="202" spans="1:24" ht="15.75" thickBot="1" x14ac:dyDescent="0.3">
      <c r="A202" t="str">
        <f t="shared" si="3"/>
        <v>ASYHS70370W14</v>
      </c>
      <c r="B202" s="22" t="s">
        <v>1734</v>
      </c>
      <c r="C202" s="22" t="s">
        <v>2584</v>
      </c>
      <c r="D202" s="22" t="s">
        <v>2585</v>
      </c>
      <c r="E202" s="22" t="s">
        <v>2586</v>
      </c>
      <c r="F202" s="22" t="s">
        <v>2587</v>
      </c>
      <c r="G202" s="28" t="s">
        <v>2012</v>
      </c>
      <c r="H202" s="22" t="s">
        <v>2080</v>
      </c>
      <c r="I202" s="21"/>
      <c r="J202" s="22" t="s">
        <v>494</v>
      </c>
      <c r="K202" s="22" t="s">
        <v>924</v>
      </c>
      <c r="L202" s="21"/>
      <c r="M202" s="22" t="s">
        <v>2034</v>
      </c>
      <c r="N202" s="28" t="s">
        <v>2015</v>
      </c>
      <c r="O202" s="28" t="s">
        <v>2016</v>
      </c>
      <c r="P202" s="29">
        <v>15671</v>
      </c>
      <c r="Q202" s="28" t="s">
        <v>2017</v>
      </c>
      <c r="R202" s="31">
        <v>4.0841188503219996</v>
      </c>
      <c r="S202" s="29">
        <v>246668</v>
      </c>
      <c r="T202" s="32">
        <v>3837.0577777777798</v>
      </c>
      <c r="U202" s="32">
        <v>0</v>
      </c>
      <c r="V202" s="31">
        <v>4.0841188503219996</v>
      </c>
      <c r="W202" s="33">
        <v>46091</v>
      </c>
      <c r="X202" s="33">
        <v>46091</v>
      </c>
    </row>
    <row r="203" spans="1:24" ht="15.75" thickBot="1" x14ac:dyDescent="0.3">
      <c r="A203" t="str">
        <f t="shared" si="3"/>
        <v>ASYHS85A41W2</v>
      </c>
      <c r="B203" s="22" t="s">
        <v>1747</v>
      </c>
      <c r="C203" s="22" t="s">
        <v>2063</v>
      </c>
      <c r="D203" s="22" t="s">
        <v>2588</v>
      </c>
      <c r="E203" s="22" t="s">
        <v>2589</v>
      </c>
      <c r="F203" s="22" t="s">
        <v>2590</v>
      </c>
      <c r="G203" s="28" t="s">
        <v>2012</v>
      </c>
      <c r="H203" s="22" t="s">
        <v>2055</v>
      </c>
      <c r="I203" s="21"/>
      <c r="J203" s="22" t="s">
        <v>494</v>
      </c>
      <c r="K203" s="22" t="s">
        <v>924</v>
      </c>
      <c r="L203" s="21"/>
      <c r="M203" s="22" t="s">
        <v>2034</v>
      </c>
      <c r="N203" s="28" t="s">
        <v>2015</v>
      </c>
      <c r="O203" s="28" t="s">
        <v>2016</v>
      </c>
      <c r="P203" s="29">
        <v>1198</v>
      </c>
      <c r="Q203" s="28" t="s">
        <v>2017</v>
      </c>
      <c r="R203" s="31">
        <v>4.3922827486190004</v>
      </c>
      <c r="S203" s="29">
        <v>17534</v>
      </c>
      <c r="T203" s="32">
        <v>272.75111111111102</v>
      </c>
      <c r="U203" s="32">
        <v>0</v>
      </c>
      <c r="V203" s="31">
        <v>4.3922827486190004</v>
      </c>
      <c r="W203" s="33">
        <v>46091</v>
      </c>
      <c r="X203" s="33">
        <v>46091</v>
      </c>
    </row>
    <row r="204" spans="1:24" ht="15.75" thickBot="1" x14ac:dyDescent="0.3">
      <c r="A204" t="str">
        <f t="shared" si="3"/>
        <v>ASYHS8B292W15</v>
      </c>
      <c r="B204" s="22" t="s">
        <v>1750</v>
      </c>
      <c r="C204" s="22" t="s">
        <v>2591</v>
      </c>
      <c r="D204" s="22" t="s">
        <v>2592</v>
      </c>
      <c r="E204" s="22" t="s">
        <v>2593</v>
      </c>
      <c r="F204" s="22" t="s">
        <v>2594</v>
      </c>
      <c r="G204" s="28" t="s">
        <v>2012</v>
      </c>
      <c r="H204" s="22" t="s">
        <v>2055</v>
      </c>
      <c r="I204" s="21"/>
      <c r="J204" s="22" t="s">
        <v>261</v>
      </c>
      <c r="K204" s="22" t="s">
        <v>924</v>
      </c>
      <c r="L204" s="21"/>
      <c r="M204" s="22" t="s">
        <v>2034</v>
      </c>
      <c r="N204" s="28" t="s">
        <v>2015</v>
      </c>
      <c r="O204" s="28" t="s">
        <v>2016</v>
      </c>
      <c r="P204" s="29">
        <v>2246</v>
      </c>
      <c r="Q204" s="28" t="s">
        <v>2017</v>
      </c>
      <c r="R204" s="31">
        <v>4.1029159241200004</v>
      </c>
      <c r="S204" s="29">
        <v>35191</v>
      </c>
      <c r="T204" s="32">
        <v>547.41555555555601</v>
      </c>
      <c r="U204" s="32">
        <v>0</v>
      </c>
      <c r="V204" s="31">
        <v>4.1029159241200004</v>
      </c>
      <c r="W204" s="33">
        <v>46091</v>
      </c>
      <c r="X204" s="33">
        <v>46091</v>
      </c>
    </row>
    <row r="205" spans="1:24" ht="15.75" thickBot="1" x14ac:dyDescent="0.3">
      <c r="A205" t="str">
        <f t="shared" si="3"/>
        <v>ASYPW38250W15</v>
      </c>
      <c r="B205" s="22" t="s">
        <v>1820</v>
      </c>
      <c r="C205" s="22" t="s">
        <v>2595</v>
      </c>
      <c r="D205" s="22" t="s">
        <v>2596</v>
      </c>
      <c r="E205" s="21"/>
      <c r="F205" s="22" t="s">
        <v>2597</v>
      </c>
      <c r="G205" s="28" t="s">
        <v>2012</v>
      </c>
      <c r="H205" s="22" t="s">
        <v>2013</v>
      </c>
      <c r="I205" s="21"/>
      <c r="J205" s="22" t="s">
        <v>1164</v>
      </c>
      <c r="K205" s="22" t="s">
        <v>924</v>
      </c>
      <c r="L205" s="21"/>
      <c r="M205" s="22" t="s">
        <v>2034</v>
      </c>
      <c r="N205" s="28" t="s">
        <v>2015</v>
      </c>
      <c r="O205" s="28" t="s">
        <v>2016</v>
      </c>
      <c r="P205" s="29">
        <v>786</v>
      </c>
      <c r="Q205" s="28" t="s">
        <v>2017</v>
      </c>
      <c r="R205" s="31">
        <v>4.4288343788729998</v>
      </c>
      <c r="S205" s="29">
        <v>11409</v>
      </c>
      <c r="T205" s="32">
        <v>177.47333333333299</v>
      </c>
      <c r="U205" s="32">
        <v>0</v>
      </c>
      <c r="V205" s="31">
        <v>4.4288343788729998</v>
      </c>
      <c r="W205" s="33">
        <v>46091</v>
      </c>
      <c r="X205" s="33">
        <v>46091</v>
      </c>
    </row>
    <row r="206" spans="1:24" ht="15.75" thickBot="1" x14ac:dyDescent="0.3">
      <c r="A206" t="str">
        <f t="shared" si="3"/>
        <v>ASYPW50K20W15P703</v>
      </c>
      <c r="B206" s="22" t="s">
        <v>1829</v>
      </c>
      <c r="C206" s="22" t="s">
        <v>2086</v>
      </c>
      <c r="D206" s="22" t="s">
        <v>2113</v>
      </c>
      <c r="E206" s="22" t="s">
        <v>2598</v>
      </c>
      <c r="F206" s="22" t="s">
        <v>2599</v>
      </c>
      <c r="G206" s="28" t="s">
        <v>2012</v>
      </c>
      <c r="H206" s="22" t="s">
        <v>2080</v>
      </c>
      <c r="I206" s="21"/>
      <c r="J206" s="22" t="s">
        <v>261</v>
      </c>
      <c r="K206" s="22" t="s">
        <v>924</v>
      </c>
      <c r="L206" s="21"/>
      <c r="M206" s="22" t="s">
        <v>2034</v>
      </c>
      <c r="N206" s="28" t="s">
        <v>2015</v>
      </c>
      <c r="O206" s="28" t="s">
        <v>2016</v>
      </c>
      <c r="P206" s="29">
        <v>1249</v>
      </c>
      <c r="Q206" s="28" t="s">
        <v>2017</v>
      </c>
      <c r="R206" s="31">
        <v>4.5009729885559997</v>
      </c>
      <c r="S206" s="29">
        <v>17839</v>
      </c>
      <c r="T206" s="32">
        <v>277.495555555556</v>
      </c>
      <c r="U206" s="32">
        <v>0</v>
      </c>
      <c r="V206" s="31">
        <v>4.5009729885559997</v>
      </c>
      <c r="W206" s="33">
        <v>46091</v>
      </c>
      <c r="X206" s="33">
        <v>46091</v>
      </c>
    </row>
    <row r="207" spans="1:24" ht="15.75" thickBot="1" x14ac:dyDescent="0.3">
      <c r="A207" t="str">
        <f t="shared" si="3"/>
        <v>ASYPW53A41W1P703</v>
      </c>
      <c r="B207" s="22" t="s">
        <v>1832</v>
      </c>
      <c r="C207" s="22" t="s">
        <v>2600</v>
      </c>
      <c r="D207" s="22" t="s">
        <v>2601</v>
      </c>
      <c r="E207" s="22" t="s">
        <v>2602</v>
      </c>
      <c r="F207" s="22" t="s">
        <v>2603</v>
      </c>
      <c r="G207" s="28" t="s">
        <v>2012</v>
      </c>
      <c r="H207" s="22" t="s">
        <v>2080</v>
      </c>
      <c r="I207" s="21"/>
      <c r="J207" s="22" t="s">
        <v>261</v>
      </c>
      <c r="K207" s="22" t="s">
        <v>924</v>
      </c>
      <c r="L207" s="21"/>
      <c r="M207" s="22" t="s">
        <v>2034</v>
      </c>
      <c r="N207" s="28" t="s">
        <v>2015</v>
      </c>
      <c r="O207" s="28" t="s">
        <v>2016</v>
      </c>
      <c r="P207" s="29">
        <v>2597</v>
      </c>
      <c r="Q207" s="28" t="s">
        <v>2017</v>
      </c>
      <c r="R207" s="31">
        <v>4.3846517491329999</v>
      </c>
      <c r="S207" s="29">
        <v>38076</v>
      </c>
      <c r="T207" s="32">
        <v>592.29333333333295</v>
      </c>
      <c r="U207" s="32">
        <v>0</v>
      </c>
      <c r="V207" s="31">
        <v>4.3846517491329999</v>
      </c>
      <c r="W207" s="33">
        <v>46091</v>
      </c>
      <c r="X207" s="33">
        <v>46091</v>
      </c>
    </row>
    <row r="208" spans="1:24" ht="15.75" thickBot="1" x14ac:dyDescent="0.3">
      <c r="A208" t="str">
        <f t="shared" si="3"/>
        <v>DET21024A68A</v>
      </c>
      <c r="B208" s="22" t="s">
        <v>1409</v>
      </c>
      <c r="C208" s="22" t="s">
        <v>2604</v>
      </c>
      <c r="D208" s="22" t="s">
        <v>2605</v>
      </c>
      <c r="E208" s="21"/>
      <c r="F208" s="22" t="s">
        <v>2606</v>
      </c>
      <c r="G208" s="28" t="s">
        <v>2012</v>
      </c>
      <c r="H208" s="22" t="s">
        <v>2080</v>
      </c>
      <c r="I208" s="21"/>
      <c r="J208" s="22" t="s">
        <v>261</v>
      </c>
      <c r="K208" s="22" t="s">
        <v>924</v>
      </c>
      <c r="L208" s="21"/>
      <c r="M208" s="22" t="s">
        <v>2034</v>
      </c>
      <c r="N208" s="28" t="s">
        <v>2015</v>
      </c>
      <c r="O208" s="28" t="s">
        <v>2016</v>
      </c>
      <c r="P208" s="29">
        <v>1142</v>
      </c>
      <c r="Q208" s="28" t="s">
        <v>2017</v>
      </c>
      <c r="R208" s="31">
        <v>4.8861421440450004</v>
      </c>
      <c r="S208" s="29">
        <v>15025</v>
      </c>
      <c r="T208" s="32">
        <v>233.722222222222</v>
      </c>
      <c r="U208" s="32">
        <v>0</v>
      </c>
      <c r="V208" s="31">
        <v>4.8861421440450004</v>
      </c>
      <c r="W208" s="33">
        <v>46091</v>
      </c>
      <c r="X208" s="33">
        <v>46091</v>
      </c>
    </row>
    <row r="209" spans="1:24" ht="15.75" thickBot="1" x14ac:dyDescent="0.3">
      <c r="A209" t="str">
        <f t="shared" si="3"/>
        <v>DET2661270B</v>
      </c>
      <c r="B209" s="22" t="s">
        <v>1435</v>
      </c>
      <c r="C209" s="22" t="s">
        <v>2607</v>
      </c>
      <c r="D209" s="22" t="s">
        <v>2608</v>
      </c>
      <c r="E209" s="22" t="s">
        <v>2609</v>
      </c>
      <c r="F209" s="22" t="s">
        <v>2610</v>
      </c>
      <c r="G209" s="28" t="s">
        <v>2012</v>
      </c>
      <c r="H209" s="22" t="s">
        <v>2080</v>
      </c>
      <c r="I209" s="21"/>
      <c r="J209" s="22" t="s">
        <v>494</v>
      </c>
      <c r="K209" s="22" t="s">
        <v>924</v>
      </c>
      <c r="L209" s="21"/>
      <c r="M209" s="22" t="s">
        <v>2034</v>
      </c>
      <c r="N209" s="28" t="s">
        <v>2015</v>
      </c>
      <c r="O209" s="28" t="s">
        <v>2016</v>
      </c>
      <c r="P209" s="29">
        <v>8</v>
      </c>
      <c r="Q209" s="28" t="s">
        <v>2017</v>
      </c>
      <c r="R209" s="31">
        <v>4.6753246753240001</v>
      </c>
      <c r="S209" s="29">
        <v>110</v>
      </c>
      <c r="T209" s="32">
        <v>1.711111111111</v>
      </c>
      <c r="U209" s="32">
        <v>0</v>
      </c>
      <c r="V209" s="31">
        <v>4.6753246753240001</v>
      </c>
      <c r="W209" s="33">
        <v>46091</v>
      </c>
      <c r="X209" s="33">
        <v>46091</v>
      </c>
    </row>
    <row r="210" spans="1:24" ht="15.75" thickBot="1" x14ac:dyDescent="0.3">
      <c r="A210" t="str">
        <f t="shared" si="3"/>
        <v>DET2661271B</v>
      </c>
      <c r="B210" s="22" t="s">
        <v>1438</v>
      </c>
      <c r="C210" s="22" t="s">
        <v>2607</v>
      </c>
      <c r="D210" s="22" t="s">
        <v>2611</v>
      </c>
      <c r="E210" s="22" t="s">
        <v>2612</v>
      </c>
      <c r="F210" s="22" t="s">
        <v>2613</v>
      </c>
      <c r="G210" s="28" t="s">
        <v>2012</v>
      </c>
      <c r="H210" s="22" t="s">
        <v>2080</v>
      </c>
      <c r="I210" s="21"/>
      <c r="J210" s="22" t="s">
        <v>494</v>
      </c>
      <c r="K210" s="22" t="s">
        <v>924</v>
      </c>
      <c r="L210" s="21"/>
      <c r="M210" s="22" t="s">
        <v>2034</v>
      </c>
      <c r="N210" s="28" t="s">
        <v>2015</v>
      </c>
      <c r="O210" s="28" t="s">
        <v>2016</v>
      </c>
      <c r="P210" s="29">
        <v>8</v>
      </c>
      <c r="Q210" s="28" t="s">
        <v>2017</v>
      </c>
      <c r="R210" s="31">
        <v>4.6753246753240001</v>
      </c>
      <c r="S210" s="29">
        <v>110</v>
      </c>
      <c r="T210" s="32">
        <v>1.711111111111</v>
      </c>
      <c r="U210" s="32">
        <v>0</v>
      </c>
      <c r="V210" s="31">
        <v>4.6753246753240001</v>
      </c>
      <c r="W210" s="33">
        <v>46091</v>
      </c>
      <c r="X210" s="33">
        <v>46091</v>
      </c>
    </row>
    <row r="211" spans="1:24" ht="15.75" thickBot="1" x14ac:dyDescent="0.3">
      <c r="A211" t="str">
        <f t="shared" si="3"/>
        <v>DET26613E42A</v>
      </c>
      <c r="B211" s="22" t="s">
        <v>1361</v>
      </c>
      <c r="C211" s="21"/>
      <c r="D211" s="22" t="s">
        <v>1362</v>
      </c>
      <c r="E211" s="22" t="s">
        <v>2614</v>
      </c>
      <c r="F211" s="22" t="s">
        <v>2615</v>
      </c>
      <c r="G211" s="28" t="s">
        <v>2012</v>
      </c>
      <c r="H211" s="22" t="s">
        <v>2080</v>
      </c>
      <c r="I211" s="21"/>
      <c r="J211" s="22" t="s">
        <v>494</v>
      </c>
      <c r="K211" s="22" t="s">
        <v>924</v>
      </c>
      <c r="L211" s="21"/>
      <c r="M211" s="22" t="s">
        <v>2034</v>
      </c>
      <c r="N211" s="28" t="s">
        <v>2015</v>
      </c>
      <c r="O211" s="28" t="s">
        <v>2016</v>
      </c>
      <c r="P211" s="29">
        <v>1287</v>
      </c>
      <c r="Q211" s="28" t="s">
        <v>2017</v>
      </c>
      <c r="R211" s="31">
        <v>4.718587560494</v>
      </c>
      <c r="S211" s="29">
        <v>17534</v>
      </c>
      <c r="T211" s="32">
        <v>272.75111111111102</v>
      </c>
      <c r="U211" s="32">
        <v>0</v>
      </c>
      <c r="V211" s="31">
        <v>4.718587560494</v>
      </c>
      <c r="W211" s="33">
        <v>46091</v>
      </c>
      <c r="X211" s="33">
        <v>46091</v>
      </c>
    </row>
    <row r="212" spans="1:24" ht="15.75" thickBot="1" x14ac:dyDescent="0.3">
      <c r="A212" t="str">
        <f t="shared" si="3"/>
        <v>DET5810738A</v>
      </c>
      <c r="B212" s="22" t="s">
        <v>1211</v>
      </c>
      <c r="C212" s="22" t="s">
        <v>2081</v>
      </c>
      <c r="D212" s="22" t="s">
        <v>2616</v>
      </c>
      <c r="E212" s="22" t="s">
        <v>2617</v>
      </c>
      <c r="F212" s="22" t="s">
        <v>2618</v>
      </c>
      <c r="G212" s="28" t="s">
        <v>2012</v>
      </c>
      <c r="H212" s="22" t="s">
        <v>2080</v>
      </c>
      <c r="I212" s="21"/>
      <c r="J212" s="22" t="s">
        <v>261</v>
      </c>
      <c r="K212" s="22" t="s">
        <v>924</v>
      </c>
      <c r="L212" s="21"/>
      <c r="M212" s="22" t="s">
        <v>2034</v>
      </c>
      <c r="N212" s="28" t="s">
        <v>2015</v>
      </c>
      <c r="O212" s="28" t="s">
        <v>2016</v>
      </c>
      <c r="P212" s="29">
        <v>3916</v>
      </c>
      <c r="Q212" s="28" t="s">
        <v>2017</v>
      </c>
      <c r="R212" s="31">
        <v>4.0854082626229999</v>
      </c>
      <c r="S212" s="29">
        <v>61620</v>
      </c>
      <c r="T212" s="32">
        <v>958.53333333333296</v>
      </c>
      <c r="U212" s="32">
        <v>0</v>
      </c>
      <c r="V212" s="31">
        <v>4.0854082626229999</v>
      </c>
      <c r="W212" s="33">
        <v>46091</v>
      </c>
      <c r="X212" s="33">
        <v>46091</v>
      </c>
    </row>
    <row r="213" spans="1:24" ht="15.75" thickBot="1" x14ac:dyDescent="0.3">
      <c r="A213" t="str">
        <f t="shared" si="3"/>
        <v>DET5810739A</v>
      </c>
      <c r="B213" s="22" t="s">
        <v>1213</v>
      </c>
      <c r="C213" s="22" t="s">
        <v>2076</v>
      </c>
      <c r="D213" s="22" t="s">
        <v>2619</v>
      </c>
      <c r="E213" s="22" t="s">
        <v>2620</v>
      </c>
      <c r="F213" s="22" t="s">
        <v>2621</v>
      </c>
      <c r="G213" s="28" t="s">
        <v>2012</v>
      </c>
      <c r="H213" s="22" t="s">
        <v>2080</v>
      </c>
      <c r="I213" s="21"/>
      <c r="J213" s="22" t="s">
        <v>261</v>
      </c>
      <c r="K213" s="22" t="s">
        <v>924</v>
      </c>
      <c r="L213" s="21"/>
      <c r="M213" s="22" t="s">
        <v>2034</v>
      </c>
      <c r="N213" s="28" t="s">
        <v>2015</v>
      </c>
      <c r="O213" s="28" t="s">
        <v>2016</v>
      </c>
      <c r="P213" s="29">
        <v>4526</v>
      </c>
      <c r="Q213" s="28" t="s">
        <v>2017</v>
      </c>
      <c r="R213" s="31">
        <v>4.7317798480580002</v>
      </c>
      <c r="S213" s="29">
        <v>61490</v>
      </c>
      <c r="T213" s="32">
        <v>956.51111111111095</v>
      </c>
      <c r="U213" s="32">
        <v>0</v>
      </c>
      <c r="V213" s="31">
        <v>4.7317798480580002</v>
      </c>
      <c r="W213" s="33">
        <v>46091</v>
      </c>
      <c r="X213" s="33">
        <v>46091</v>
      </c>
    </row>
    <row r="214" spans="1:24" ht="15.75" thickBot="1" x14ac:dyDescent="0.3">
      <c r="A214" t="str">
        <f t="shared" si="3"/>
        <v>DET58111K35</v>
      </c>
      <c r="B214" s="22" t="s">
        <v>1588</v>
      </c>
      <c r="C214" s="22" t="s">
        <v>2622</v>
      </c>
      <c r="D214" s="22" t="s">
        <v>2623</v>
      </c>
      <c r="E214" s="21"/>
      <c r="F214" s="22" t="s">
        <v>2624</v>
      </c>
      <c r="G214" s="28" t="s">
        <v>2012</v>
      </c>
      <c r="H214" s="22" t="s">
        <v>2055</v>
      </c>
      <c r="I214" s="21"/>
      <c r="J214" s="22" t="s">
        <v>364</v>
      </c>
      <c r="K214" s="22" t="s">
        <v>924</v>
      </c>
      <c r="L214" s="21"/>
      <c r="M214" s="22" t="s">
        <v>2034</v>
      </c>
      <c r="N214" s="28" t="s">
        <v>2015</v>
      </c>
      <c r="O214" s="28" t="s">
        <v>2016</v>
      </c>
      <c r="P214" s="29">
        <v>4052</v>
      </c>
      <c r="Q214" s="28" t="s">
        <v>2017</v>
      </c>
      <c r="R214" s="31">
        <v>4.4462868359770003</v>
      </c>
      <c r="S214" s="29">
        <v>58585</v>
      </c>
      <c r="T214" s="32">
        <v>911.32222222222197</v>
      </c>
      <c r="U214" s="32">
        <v>0</v>
      </c>
      <c r="V214" s="31">
        <v>4.4462868359770003</v>
      </c>
      <c r="W214" s="33">
        <v>46091</v>
      </c>
      <c r="X214" s="33">
        <v>46091</v>
      </c>
    </row>
    <row r="215" spans="1:24" ht="15.75" thickBot="1" x14ac:dyDescent="0.3">
      <c r="A215" t="str">
        <f t="shared" si="3"/>
        <v>DET58111K36</v>
      </c>
      <c r="B215" s="22" t="s">
        <v>1364</v>
      </c>
      <c r="C215" s="22" t="s">
        <v>2622</v>
      </c>
      <c r="D215" s="22" t="s">
        <v>2625</v>
      </c>
      <c r="E215" s="21"/>
      <c r="F215" s="22" t="s">
        <v>2626</v>
      </c>
      <c r="G215" s="28" t="s">
        <v>2012</v>
      </c>
      <c r="H215" s="22" t="s">
        <v>2055</v>
      </c>
      <c r="I215" s="21"/>
      <c r="J215" s="22" t="s">
        <v>364</v>
      </c>
      <c r="K215" s="22" t="s">
        <v>924</v>
      </c>
      <c r="L215" s="21"/>
      <c r="M215" s="22" t="s">
        <v>2034</v>
      </c>
      <c r="N215" s="28" t="s">
        <v>2015</v>
      </c>
      <c r="O215" s="28" t="s">
        <v>2016</v>
      </c>
      <c r="P215" s="29">
        <v>4202</v>
      </c>
      <c r="Q215" s="28" t="s">
        <v>2017</v>
      </c>
      <c r="R215" s="31">
        <v>4.4287002447499999</v>
      </c>
      <c r="S215" s="29">
        <v>60995</v>
      </c>
      <c r="T215" s="32">
        <v>948.81111111111102</v>
      </c>
      <c r="U215" s="32">
        <v>0</v>
      </c>
      <c r="V215" s="31">
        <v>4.4287002447499999</v>
      </c>
      <c r="W215" s="33">
        <v>46091</v>
      </c>
      <c r="X215" s="33">
        <v>46091</v>
      </c>
    </row>
    <row r="216" spans="1:24" ht="15.75" thickBot="1" x14ac:dyDescent="0.3">
      <c r="A216" t="str">
        <f t="shared" si="3"/>
        <v>DET68425118B</v>
      </c>
      <c r="B216" s="22" t="s">
        <v>1160</v>
      </c>
      <c r="C216" s="22" t="s">
        <v>2627</v>
      </c>
      <c r="D216" s="22" t="s">
        <v>2628</v>
      </c>
      <c r="E216" s="21"/>
      <c r="F216" s="22" t="s">
        <v>2629</v>
      </c>
      <c r="G216" s="28" t="s">
        <v>2012</v>
      </c>
      <c r="H216" s="22" t="s">
        <v>2022</v>
      </c>
      <c r="I216" s="21"/>
      <c r="J216" s="22" t="s">
        <v>1117</v>
      </c>
      <c r="K216" s="22" t="s">
        <v>924</v>
      </c>
      <c r="L216" s="21"/>
      <c r="M216" s="22" t="s">
        <v>2034</v>
      </c>
      <c r="N216" s="28" t="s">
        <v>2015</v>
      </c>
      <c r="O216" s="28" t="s">
        <v>2016</v>
      </c>
      <c r="P216" s="29">
        <v>1860</v>
      </c>
      <c r="Q216" s="28" t="s">
        <v>2017</v>
      </c>
      <c r="R216" s="31">
        <v>4.2527894640569999</v>
      </c>
      <c r="S216" s="29">
        <v>28116</v>
      </c>
      <c r="T216" s="32">
        <v>437.36</v>
      </c>
      <c r="U216" s="32">
        <v>0</v>
      </c>
      <c r="V216" s="31">
        <v>4.2527894640569999</v>
      </c>
      <c r="W216" s="33">
        <v>46091</v>
      </c>
      <c r="X216" s="33">
        <v>46091</v>
      </c>
    </row>
    <row r="217" spans="1:24" ht="15.75" thickBot="1" x14ac:dyDescent="0.3">
      <c r="A217" t="str">
        <f t="shared" si="3"/>
        <v>DET850109BU0A08N00L</v>
      </c>
      <c r="B217" s="22" t="s">
        <v>1087</v>
      </c>
      <c r="C217" s="22" t="s">
        <v>2630</v>
      </c>
      <c r="D217" s="22" t="s">
        <v>1088</v>
      </c>
      <c r="E217" s="21"/>
      <c r="F217" s="22" t="s">
        <v>2631</v>
      </c>
      <c r="G217" s="28" t="s">
        <v>2012</v>
      </c>
      <c r="H217" s="22" t="s">
        <v>2632</v>
      </c>
      <c r="I217" s="21"/>
      <c r="J217" s="22" t="s">
        <v>1086</v>
      </c>
      <c r="K217" s="22" t="s">
        <v>924</v>
      </c>
      <c r="L217" s="21"/>
      <c r="M217" s="22" t="s">
        <v>2014</v>
      </c>
      <c r="N217" s="28" t="s">
        <v>2015</v>
      </c>
      <c r="O217" s="28" t="s">
        <v>2016</v>
      </c>
      <c r="P217" s="29">
        <v>2817</v>
      </c>
      <c r="Q217" s="28" t="s">
        <v>2017</v>
      </c>
      <c r="R217" s="31">
        <v>4.8944015444010001</v>
      </c>
      <c r="S217" s="29">
        <v>37000</v>
      </c>
      <c r="T217" s="32">
        <v>575.555555555556</v>
      </c>
      <c r="U217" s="32">
        <v>0</v>
      </c>
      <c r="V217" s="31">
        <v>4.8944015444010001</v>
      </c>
      <c r="W217" s="33">
        <v>46091</v>
      </c>
      <c r="X217" s="33">
        <v>46091</v>
      </c>
    </row>
    <row r="218" spans="1:24" ht="15.75" thickBot="1" x14ac:dyDescent="0.3">
      <c r="A218" t="str">
        <f t="shared" si="3"/>
        <v>DETE502P34A</v>
      </c>
      <c r="B218" s="22" t="s">
        <v>1298</v>
      </c>
      <c r="C218" s="22" t="s">
        <v>2633</v>
      </c>
      <c r="D218" s="22" t="s">
        <v>2634</v>
      </c>
      <c r="E218" s="22" t="s">
        <v>2633</v>
      </c>
      <c r="F218" s="22" t="s">
        <v>2635</v>
      </c>
      <c r="G218" s="28" t="s">
        <v>2012</v>
      </c>
      <c r="H218" s="22" t="s">
        <v>2080</v>
      </c>
      <c r="I218" s="21"/>
      <c r="J218" s="22" t="s">
        <v>261</v>
      </c>
      <c r="K218" s="22" t="s">
        <v>924</v>
      </c>
      <c r="L218" s="21"/>
      <c r="M218" s="22" t="s">
        <v>2034</v>
      </c>
      <c r="N218" s="28" t="s">
        <v>2015</v>
      </c>
      <c r="O218" s="28" t="s">
        <v>2016</v>
      </c>
      <c r="P218" s="29">
        <v>71</v>
      </c>
      <c r="Q218" s="28" t="s">
        <v>2017</v>
      </c>
      <c r="R218" s="31">
        <v>4.4356518117450001</v>
      </c>
      <c r="S218" s="29">
        <v>1029</v>
      </c>
      <c r="T218" s="32">
        <v>16.006666666666</v>
      </c>
      <c r="U218" s="32">
        <v>0</v>
      </c>
      <c r="V218" s="31">
        <v>4.4356518117450001</v>
      </c>
      <c r="W218" s="33">
        <v>46091</v>
      </c>
      <c r="X218" s="33">
        <v>46091</v>
      </c>
    </row>
    <row r="219" spans="1:24" ht="15.75" thickBot="1" x14ac:dyDescent="0.3">
      <c r="A219" t="str">
        <f t="shared" si="3"/>
        <v>KB3B 26243C03 AG</v>
      </c>
      <c r="B219" s="22" t="s">
        <v>517</v>
      </c>
      <c r="C219" s="22" t="s">
        <v>2636</v>
      </c>
      <c r="D219" s="22" t="s">
        <v>2637</v>
      </c>
      <c r="E219" s="21"/>
      <c r="F219" s="22" t="s">
        <v>2215</v>
      </c>
      <c r="G219" s="28" t="s">
        <v>2012</v>
      </c>
      <c r="H219" s="22" t="s">
        <v>2080</v>
      </c>
      <c r="I219" s="21"/>
      <c r="J219" s="22" t="s">
        <v>494</v>
      </c>
      <c r="K219" s="22" t="s">
        <v>262</v>
      </c>
      <c r="L219" s="21"/>
      <c r="M219" s="22" t="s">
        <v>2014</v>
      </c>
      <c r="N219" s="28" t="s">
        <v>2015</v>
      </c>
      <c r="O219" s="28" t="s">
        <v>2016</v>
      </c>
      <c r="P219" s="29">
        <v>1166</v>
      </c>
      <c r="Q219" s="28" t="s">
        <v>2017</v>
      </c>
      <c r="R219" s="31">
        <v>4.1287327379310002</v>
      </c>
      <c r="S219" s="29">
        <v>18155</v>
      </c>
      <c r="T219" s="32">
        <v>282.41111111111098</v>
      </c>
      <c r="U219" s="32">
        <v>0</v>
      </c>
      <c r="V219" s="31">
        <v>4.1287327379310002</v>
      </c>
      <c r="W219" s="33">
        <v>46091</v>
      </c>
      <c r="X219" s="33">
        <v>46091</v>
      </c>
    </row>
    <row r="220" spans="1:24" ht="15.75" thickBot="1" x14ac:dyDescent="0.3">
      <c r="A220" t="str">
        <f t="shared" si="3"/>
        <v>KB3B 26291A34 AD</v>
      </c>
      <c r="B220" s="22" t="s">
        <v>599</v>
      </c>
      <c r="C220" s="22" t="s">
        <v>2638</v>
      </c>
      <c r="D220" s="22" t="s">
        <v>2639</v>
      </c>
      <c r="E220" s="21"/>
      <c r="F220" s="22" t="s">
        <v>2640</v>
      </c>
      <c r="G220" s="28" t="s">
        <v>2012</v>
      </c>
      <c r="H220" s="22" t="s">
        <v>2080</v>
      </c>
      <c r="I220" s="21"/>
      <c r="J220" s="22" t="s">
        <v>494</v>
      </c>
      <c r="K220" s="22" t="s">
        <v>262</v>
      </c>
      <c r="L220" s="22" t="s">
        <v>2641</v>
      </c>
      <c r="M220" s="22" t="s">
        <v>2014</v>
      </c>
      <c r="N220" s="28" t="s">
        <v>2015</v>
      </c>
      <c r="O220" s="28" t="s">
        <v>2016</v>
      </c>
      <c r="P220" s="29">
        <v>28</v>
      </c>
      <c r="Q220" s="28" t="s">
        <v>2017</v>
      </c>
      <c r="R220" s="31">
        <v>4.0909090909090002</v>
      </c>
      <c r="S220" s="29">
        <v>440</v>
      </c>
      <c r="T220" s="32">
        <v>6.844444444444</v>
      </c>
      <c r="U220" s="32">
        <v>0</v>
      </c>
      <c r="V220" s="31">
        <v>4.0909090909090002</v>
      </c>
      <c r="W220" s="33">
        <v>46091</v>
      </c>
      <c r="X220" s="33">
        <v>46091</v>
      </c>
    </row>
    <row r="221" spans="1:24" ht="15.75" thickBot="1" x14ac:dyDescent="0.3">
      <c r="A221" t="str">
        <f t="shared" si="3"/>
        <v>KB3B 26508A40 AB</v>
      </c>
      <c r="B221" s="22" t="s">
        <v>1913</v>
      </c>
      <c r="C221" s="22" t="s">
        <v>2642</v>
      </c>
      <c r="D221" s="22" t="s">
        <v>2643</v>
      </c>
      <c r="E221" s="21"/>
      <c r="F221" s="22" t="s">
        <v>2030</v>
      </c>
      <c r="G221" s="28" t="s">
        <v>2012</v>
      </c>
      <c r="H221" s="22" t="s">
        <v>2080</v>
      </c>
      <c r="I221" s="21"/>
      <c r="J221" s="22" t="s">
        <v>494</v>
      </c>
      <c r="K221" s="22" t="s">
        <v>924</v>
      </c>
      <c r="L221" s="21"/>
      <c r="M221" s="22" t="s">
        <v>2014</v>
      </c>
      <c r="N221" s="28" t="s">
        <v>2015</v>
      </c>
      <c r="O221" s="28" t="s">
        <v>2016</v>
      </c>
      <c r="P221" s="29">
        <v>1177</v>
      </c>
      <c r="Q221" s="28" t="s">
        <v>2017</v>
      </c>
      <c r="R221" s="31">
        <v>4.9218946018520002</v>
      </c>
      <c r="S221" s="29">
        <v>15373</v>
      </c>
      <c r="T221" s="32">
        <v>239.13555555555601</v>
      </c>
      <c r="U221" s="32">
        <v>0</v>
      </c>
      <c r="V221" s="31">
        <v>4.9218946018520002</v>
      </c>
      <c r="W221" s="33">
        <v>46091</v>
      </c>
      <c r="X221" s="33">
        <v>46091</v>
      </c>
    </row>
    <row r="222" spans="1:24" ht="15.75" thickBot="1" x14ac:dyDescent="0.3">
      <c r="A222" t="str">
        <f t="shared" si="3"/>
        <v>KB3B 9W506 AA</v>
      </c>
      <c r="B222" s="22" t="s">
        <v>1801</v>
      </c>
      <c r="C222" s="22" t="s">
        <v>2644</v>
      </c>
      <c r="D222" s="22" t="s">
        <v>2645</v>
      </c>
      <c r="E222" s="21"/>
      <c r="F222" s="22" t="s">
        <v>2030</v>
      </c>
      <c r="G222" s="28" t="s">
        <v>2012</v>
      </c>
      <c r="H222" s="22" t="s">
        <v>2080</v>
      </c>
      <c r="I222" s="21"/>
      <c r="J222" s="22" t="s">
        <v>494</v>
      </c>
      <c r="K222" s="22" t="s">
        <v>924</v>
      </c>
      <c r="L222" s="21"/>
      <c r="M222" s="22" t="s">
        <v>2014</v>
      </c>
      <c r="N222" s="28" t="s">
        <v>2015</v>
      </c>
      <c r="O222" s="28" t="s">
        <v>2016</v>
      </c>
      <c r="P222" s="29">
        <v>4546</v>
      </c>
      <c r="Q222" s="28" t="s">
        <v>2017</v>
      </c>
      <c r="R222" s="31">
        <v>4.9620153684939998</v>
      </c>
      <c r="S222" s="29">
        <v>58896</v>
      </c>
      <c r="T222" s="32">
        <v>916.16</v>
      </c>
      <c r="U222" s="32">
        <v>0</v>
      </c>
      <c r="V222" s="31">
        <v>4.9620153684939998</v>
      </c>
      <c r="W222" s="33">
        <v>46091</v>
      </c>
      <c r="X222" s="33">
        <v>46091</v>
      </c>
    </row>
    <row r="223" spans="1:24" ht="15.75" thickBot="1" x14ac:dyDescent="0.3">
      <c r="A223" t="str">
        <f t="shared" si="3"/>
        <v>KB3C 2K004 AA</v>
      </c>
      <c r="B223" s="22" t="s">
        <v>925</v>
      </c>
      <c r="C223" s="22" t="s">
        <v>2646</v>
      </c>
      <c r="D223" s="22" t="s">
        <v>2164</v>
      </c>
      <c r="E223" s="21"/>
      <c r="F223" s="22" t="s">
        <v>2030</v>
      </c>
      <c r="G223" s="28" t="s">
        <v>2012</v>
      </c>
      <c r="H223" s="22" t="s">
        <v>2080</v>
      </c>
      <c r="I223" s="21"/>
      <c r="J223" s="22" t="s">
        <v>494</v>
      </c>
      <c r="K223" s="22" t="s">
        <v>924</v>
      </c>
      <c r="L223" s="21"/>
      <c r="M223" s="22" t="s">
        <v>2014</v>
      </c>
      <c r="N223" s="28" t="s">
        <v>2015</v>
      </c>
      <c r="O223" s="28" t="s">
        <v>2016</v>
      </c>
      <c r="P223" s="29">
        <v>3615</v>
      </c>
      <c r="Q223" s="28" t="s">
        <v>2017</v>
      </c>
      <c r="R223" s="31">
        <v>4.1983787173740001</v>
      </c>
      <c r="S223" s="29">
        <v>55353</v>
      </c>
      <c r="T223" s="32">
        <v>861.04666666666697</v>
      </c>
      <c r="U223" s="32">
        <v>0</v>
      </c>
      <c r="V223" s="31">
        <v>4.1983787173740001</v>
      </c>
      <c r="W223" s="33">
        <v>46091</v>
      </c>
      <c r="X223" s="33">
        <v>46091</v>
      </c>
    </row>
    <row r="224" spans="1:24" ht="15.75" thickBot="1" x14ac:dyDescent="0.3">
      <c r="A224" t="str">
        <f t="shared" si="3"/>
        <v>KTN1WB 16L558 DB</v>
      </c>
      <c r="B224" s="22" t="s">
        <v>359</v>
      </c>
      <c r="C224" s="22" t="s">
        <v>2647</v>
      </c>
      <c r="D224" s="22" t="s">
        <v>2221</v>
      </c>
      <c r="E224" s="21"/>
      <c r="F224" s="22" t="s">
        <v>2222</v>
      </c>
      <c r="G224" s="28" t="s">
        <v>2012</v>
      </c>
      <c r="H224" s="22" t="s">
        <v>2080</v>
      </c>
      <c r="I224" s="21"/>
      <c r="J224" s="22" t="s">
        <v>261</v>
      </c>
      <c r="K224" s="22" t="s">
        <v>262</v>
      </c>
      <c r="L224" s="21"/>
      <c r="M224" s="22" t="s">
        <v>2014</v>
      </c>
      <c r="N224" s="28" t="s">
        <v>2015</v>
      </c>
      <c r="O224" s="28" t="s">
        <v>2016</v>
      </c>
      <c r="P224" s="29">
        <v>1177</v>
      </c>
      <c r="Q224" s="28" t="s">
        <v>2017</v>
      </c>
      <c r="R224" s="31">
        <v>4.8533858700629997</v>
      </c>
      <c r="S224" s="29">
        <v>15590</v>
      </c>
      <c r="T224" s="32">
        <v>242.51111111111101</v>
      </c>
      <c r="U224" s="32">
        <v>0</v>
      </c>
      <c r="V224" s="31">
        <v>4.8533858700629997</v>
      </c>
      <c r="W224" s="33">
        <v>46091</v>
      </c>
      <c r="X224" s="33">
        <v>46091</v>
      </c>
    </row>
    <row r="225" spans="1:24" ht="15.75" thickBot="1" x14ac:dyDescent="0.3">
      <c r="A225" t="str">
        <f t="shared" si="3"/>
        <v>M2DB 17E811 BA5YZ9</v>
      </c>
      <c r="B225" s="22" t="s">
        <v>380</v>
      </c>
      <c r="C225" s="22" t="s">
        <v>2648</v>
      </c>
      <c r="D225" s="22" t="s">
        <v>2649</v>
      </c>
      <c r="E225" s="21"/>
      <c r="F225" s="22" t="s">
        <v>2232</v>
      </c>
      <c r="G225" s="28" t="s">
        <v>2012</v>
      </c>
      <c r="H225" s="22" t="s">
        <v>2080</v>
      </c>
      <c r="I225" s="21"/>
      <c r="J225" s="22" t="s">
        <v>364</v>
      </c>
      <c r="K225" s="22" t="s">
        <v>262</v>
      </c>
      <c r="L225" s="21"/>
      <c r="M225" s="22" t="s">
        <v>2014</v>
      </c>
      <c r="N225" s="28" t="s">
        <v>2015</v>
      </c>
      <c r="O225" s="28" t="s">
        <v>2016</v>
      </c>
      <c r="P225" s="29">
        <v>1018</v>
      </c>
      <c r="Q225" s="28" t="s">
        <v>2017</v>
      </c>
      <c r="R225" s="31">
        <v>4.7264810878850003</v>
      </c>
      <c r="S225" s="29">
        <v>13846</v>
      </c>
      <c r="T225" s="32">
        <v>215.382222222222</v>
      </c>
      <c r="U225" s="32">
        <v>0</v>
      </c>
      <c r="V225" s="31">
        <v>4.7264810878850003</v>
      </c>
      <c r="W225" s="33">
        <v>46091</v>
      </c>
      <c r="X225" s="33">
        <v>46091</v>
      </c>
    </row>
    <row r="226" spans="1:24" ht="15.75" thickBot="1" x14ac:dyDescent="0.3">
      <c r="A226" t="str">
        <f t="shared" si="3"/>
        <v>M2DB X200B38 AC</v>
      </c>
      <c r="B226" s="22" t="s">
        <v>1651</v>
      </c>
      <c r="C226" s="22" t="s">
        <v>2650</v>
      </c>
      <c r="D226" s="22" t="s">
        <v>2651</v>
      </c>
      <c r="E226" s="21"/>
      <c r="F226" s="22" t="s">
        <v>2235</v>
      </c>
      <c r="G226" s="28" t="s">
        <v>2012</v>
      </c>
      <c r="H226" s="22" t="s">
        <v>2080</v>
      </c>
      <c r="I226" s="21"/>
      <c r="J226" s="22" t="s">
        <v>364</v>
      </c>
      <c r="K226" s="22" t="s">
        <v>924</v>
      </c>
      <c r="L226" s="21"/>
      <c r="M226" s="22" t="s">
        <v>2014</v>
      </c>
      <c r="N226" s="28" t="s">
        <v>2015</v>
      </c>
      <c r="O226" s="28" t="s">
        <v>2016</v>
      </c>
      <c r="P226" s="29">
        <v>1064</v>
      </c>
      <c r="Q226" s="28" t="s">
        <v>2017</v>
      </c>
      <c r="R226" s="31">
        <v>4.928308955976</v>
      </c>
      <c r="S226" s="29">
        <v>13879</v>
      </c>
      <c r="T226" s="32">
        <v>215.895555555556</v>
      </c>
      <c r="U226" s="32">
        <v>0</v>
      </c>
      <c r="V226" s="31">
        <v>4.928308955976</v>
      </c>
      <c r="W226" s="33">
        <v>46091</v>
      </c>
      <c r="X226" s="33">
        <v>46091</v>
      </c>
    </row>
    <row r="227" spans="1:24" ht="15.75" thickBot="1" x14ac:dyDescent="0.3">
      <c r="A227" t="str">
        <f t="shared" si="3"/>
        <v>MB3B 10723 AJ</v>
      </c>
      <c r="B227" s="22" t="s">
        <v>1645</v>
      </c>
      <c r="C227" s="22" t="s">
        <v>2652</v>
      </c>
      <c r="D227" s="22" t="s">
        <v>2246</v>
      </c>
      <c r="E227" s="21"/>
      <c r="F227" s="22" t="s">
        <v>2030</v>
      </c>
      <c r="G227" s="28" t="s">
        <v>2012</v>
      </c>
      <c r="H227" s="22" t="s">
        <v>2055</v>
      </c>
      <c r="I227" s="21"/>
      <c r="J227" s="22" t="s">
        <v>261</v>
      </c>
      <c r="K227" s="22" t="s">
        <v>924</v>
      </c>
      <c r="L227" s="21"/>
      <c r="M227" s="22" t="s">
        <v>2014</v>
      </c>
      <c r="N227" s="28" t="s">
        <v>2015</v>
      </c>
      <c r="O227" s="28" t="s">
        <v>2016</v>
      </c>
      <c r="P227" s="29">
        <v>167</v>
      </c>
      <c r="Q227" s="28" t="s">
        <v>2017</v>
      </c>
      <c r="R227" s="31">
        <v>4.1838325353519998</v>
      </c>
      <c r="S227" s="29">
        <v>2566</v>
      </c>
      <c r="T227" s="32">
        <v>39.915555555555002</v>
      </c>
      <c r="U227" s="32">
        <v>0</v>
      </c>
      <c r="V227" s="31">
        <v>4.1838325353519998</v>
      </c>
      <c r="W227" s="33">
        <v>46091</v>
      </c>
      <c r="X227" s="33">
        <v>46091</v>
      </c>
    </row>
    <row r="228" spans="1:24" ht="15.75" thickBot="1" x14ac:dyDescent="0.3">
      <c r="A228" t="str">
        <f t="shared" si="3"/>
        <v>MLD16E166ABPIA02</v>
      </c>
      <c r="B228" s="22" t="s">
        <v>900</v>
      </c>
      <c r="C228" s="22" t="s">
        <v>2653</v>
      </c>
      <c r="D228" s="22" t="s">
        <v>2654</v>
      </c>
      <c r="E228" s="22" t="s">
        <v>2655</v>
      </c>
      <c r="F228" s="22" t="s">
        <v>2278</v>
      </c>
      <c r="G228" s="28" t="s">
        <v>2012</v>
      </c>
      <c r="H228" s="22" t="s">
        <v>2013</v>
      </c>
      <c r="I228" s="21"/>
      <c r="J228" s="22" t="s">
        <v>364</v>
      </c>
      <c r="K228" s="22" t="s">
        <v>262</v>
      </c>
      <c r="L228" s="21"/>
      <c r="M228" s="22" t="s">
        <v>2034</v>
      </c>
      <c r="N228" s="28" t="s">
        <v>2015</v>
      </c>
      <c r="O228" s="28" t="s">
        <v>2016</v>
      </c>
      <c r="P228" s="29">
        <v>12657</v>
      </c>
      <c r="Q228" s="28" t="s">
        <v>2017</v>
      </c>
      <c r="R228" s="31">
        <v>4.4997582495369999</v>
      </c>
      <c r="S228" s="29">
        <v>180824</v>
      </c>
      <c r="T228" s="32">
        <v>2812.8177777777801</v>
      </c>
      <c r="U228" s="32">
        <v>0</v>
      </c>
      <c r="V228" s="31">
        <v>4.4997582495369999</v>
      </c>
      <c r="W228" s="33">
        <v>46091</v>
      </c>
      <c r="X228" s="33">
        <v>46091</v>
      </c>
    </row>
    <row r="229" spans="1:24" ht="15.75" thickBot="1" x14ac:dyDescent="0.3">
      <c r="A229" t="str">
        <f t="shared" si="3"/>
        <v>MLDBEE17681</v>
      </c>
      <c r="B229" s="22" t="s">
        <v>647</v>
      </c>
      <c r="C229" s="22" t="s">
        <v>2656</v>
      </c>
      <c r="D229" s="22" t="s">
        <v>2657</v>
      </c>
      <c r="E229" s="22" t="s">
        <v>2301</v>
      </c>
      <c r="F229" s="22" t="s">
        <v>2302</v>
      </c>
      <c r="G229" s="28" t="s">
        <v>2012</v>
      </c>
      <c r="H229" s="22" t="s">
        <v>2013</v>
      </c>
      <c r="I229" s="21"/>
      <c r="J229" s="22" t="s">
        <v>404</v>
      </c>
      <c r="K229" s="22" t="s">
        <v>262</v>
      </c>
      <c r="L229" s="21"/>
      <c r="M229" s="22" t="s">
        <v>2034</v>
      </c>
      <c r="N229" s="28" t="s">
        <v>2015</v>
      </c>
      <c r="O229" s="28" t="s">
        <v>2016</v>
      </c>
      <c r="P229" s="29">
        <v>108</v>
      </c>
      <c r="Q229" s="28" t="s">
        <v>2017</v>
      </c>
      <c r="R229" s="31">
        <v>4.628571428571</v>
      </c>
      <c r="S229" s="29">
        <v>1500</v>
      </c>
      <c r="T229" s="32">
        <v>23.333333333333002</v>
      </c>
      <c r="U229" s="32">
        <v>0</v>
      </c>
      <c r="V229" s="31">
        <v>4.628571428571</v>
      </c>
      <c r="W229" s="33">
        <v>46091</v>
      </c>
      <c r="X229" s="33">
        <v>46091</v>
      </c>
    </row>
    <row r="230" spans="1:24" ht="15.75" thickBot="1" x14ac:dyDescent="0.3">
      <c r="A230" t="str">
        <f t="shared" si="3"/>
        <v>MLDBEI06601</v>
      </c>
      <c r="B230" s="22" t="s">
        <v>723</v>
      </c>
      <c r="C230" s="22" t="s">
        <v>2658</v>
      </c>
      <c r="D230" s="22" t="s">
        <v>2659</v>
      </c>
      <c r="E230" s="22" t="s">
        <v>2660</v>
      </c>
      <c r="F230" s="22" t="s">
        <v>2661</v>
      </c>
      <c r="G230" s="28" t="s">
        <v>2012</v>
      </c>
      <c r="H230" s="22" t="s">
        <v>2013</v>
      </c>
      <c r="I230" s="21"/>
      <c r="J230" s="22" t="s">
        <v>404</v>
      </c>
      <c r="K230" s="22" t="s">
        <v>262</v>
      </c>
      <c r="L230" s="21"/>
      <c r="M230" s="22" t="s">
        <v>2034</v>
      </c>
      <c r="N230" s="28" t="s">
        <v>2015</v>
      </c>
      <c r="O230" s="28" t="s">
        <v>2016</v>
      </c>
      <c r="P230" s="29">
        <v>48</v>
      </c>
      <c r="Q230" s="28" t="s">
        <v>2017</v>
      </c>
      <c r="R230" s="31">
        <v>4.7254430102820004</v>
      </c>
      <c r="S230" s="29">
        <v>653</v>
      </c>
      <c r="T230" s="32">
        <v>10.157777777777</v>
      </c>
      <c r="U230" s="32">
        <v>0</v>
      </c>
      <c r="V230" s="31">
        <v>4.7254430102820004</v>
      </c>
      <c r="W230" s="33">
        <v>46091</v>
      </c>
      <c r="X230" s="33">
        <v>46091</v>
      </c>
    </row>
    <row r="231" spans="1:24" ht="15.75" thickBot="1" x14ac:dyDescent="0.3">
      <c r="A231" t="str">
        <f t="shared" si="3"/>
        <v>MLDE23942APIA45</v>
      </c>
      <c r="B231" s="22" t="s">
        <v>765</v>
      </c>
      <c r="C231" s="22" t="s">
        <v>2662</v>
      </c>
      <c r="D231" s="22" t="s">
        <v>2663</v>
      </c>
      <c r="E231" s="22" t="s">
        <v>2290</v>
      </c>
      <c r="F231" s="22" t="s">
        <v>2664</v>
      </c>
      <c r="G231" s="28" t="s">
        <v>2012</v>
      </c>
      <c r="H231" s="22" t="s">
        <v>2013</v>
      </c>
      <c r="I231" s="21"/>
      <c r="J231" s="22" t="s">
        <v>261</v>
      </c>
      <c r="K231" s="22" t="s">
        <v>262</v>
      </c>
      <c r="L231" s="21"/>
      <c r="M231" s="22" t="s">
        <v>2034</v>
      </c>
      <c r="N231" s="28" t="s">
        <v>2015</v>
      </c>
      <c r="O231" s="28" t="s">
        <v>2016</v>
      </c>
      <c r="P231" s="29">
        <v>1128</v>
      </c>
      <c r="Q231" s="28" t="s">
        <v>2017</v>
      </c>
      <c r="R231" s="31">
        <v>4.421602787456</v>
      </c>
      <c r="S231" s="29">
        <v>16400</v>
      </c>
      <c r="T231" s="32">
        <v>255.111111111111</v>
      </c>
      <c r="U231" s="32">
        <v>0</v>
      </c>
      <c r="V231" s="31">
        <v>4.421602787456</v>
      </c>
      <c r="W231" s="33">
        <v>46091</v>
      </c>
      <c r="X231" s="33">
        <v>46091</v>
      </c>
    </row>
    <row r="232" spans="1:24" ht="15.75" thickBot="1" x14ac:dyDescent="0.3">
      <c r="A232" t="str">
        <f t="shared" si="3"/>
        <v>MLDE266A65APIA01</v>
      </c>
      <c r="B232" s="22" t="s">
        <v>783</v>
      </c>
      <c r="C232" s="22" t="s">
        <v>2665</v>
      </c>
      <c r="D232" s="22" t="s">
        <v>2666</v>
      </c>
      <c r="E232" s="22" t="s">
        <v>2667</v>
      </c>
      <c r="F232" s="22" t="s">
        <v>2668</v>
      </c>
      <c r="G232" s="28" t="s">
        <v>2012</v>
      </c>
      <c r="H232" s="22" t="s">
        <v>2013</v>
      </c>
      <c r="I232" s="21"/>
      <c r="J232" s="22" t="s">
        <v>261</v>
      </c>
      <c r="K232" s="22" t="s">
        <v>262</v>
      </c>
      <c r="L232" s="21"/>
      <c r="M232" s="22" t="s">
        <v>2034</v>
      </c>
      <c r="N232" s="28" t="s">
        <v>2015</v>
      </c>
      <c r="O232" s="28" t="s">
        <v>2016</v>
      </c>
      <c r="P232" s="29">
        <v>1208</v>
      </c>
      <c r="Q232" s="28" t="s">
        <v>2017</v>
      </c>
      <c r="R232" s="31">
        <v>4.3437265274149999</v>
      </c>
      <c r="S232" s="29">
        <v>17878</v>
      </c>
      <c r="T232" s="32">
        <v>278.102222222222</v>
      </c>
      <c r="U232" s="32">
        <v>0</v>
      </c>
      <c r="V232" s="31">
        <v>4.3437265274149999</v>
      </c>
      <c r="W232" s="33">
        <v>46091</v>
      </c>
      <c r="X232" s="33">
        <v>46091</v>
      </c>
    </row>
    <row r="233" spans="1:24" ht="15.75" thickBot="1" x14ac:dyDescent="0.3">
      <c r="A233" t="str">
        <f t="shared" si="3"/>
        <v>N1WB 14A568 BE3ZHE</v>
      </c>
      <c r="B233" s="22" t="s">
        <v>348</v>
      </c>
      <c r="C233" s="22" t="s">
        <v>2669</v>
      </c>
      <c r="D233" s="22" t="s">
        <v>2670</v>
      </c>
      <c r="E233" s="21"/>
      <c r="F233" s="22" t="s">
        <v>2350</v>
      </c>
      <c r="G233" s="28" t="s">
        <v>2012</v>
      </c>
      <c r="H233" s="22" t="s">
        <v>2080</v>
      </c>
      <c r="I233" s="21"/>
      <c r="J233" s="22" t="s">
        <v>261</v>
      </c>
      <c r="K233" s="22" t="s">
        <v>262</v>
      </c>
      <c r="L233" s="21"/>
      <c r="M233" s="22" t="s">
        <v>2014</v>
      </c>
      <c r="N233" s="28" t="s">
        <v>2015</v>
      </c>
      <c r="O233" s="28" t="s">
        <v>2016</v>
      </c>
      <c r="P233" s="29">
        <v>1368</v>
      </c>
      <c r="Q233" s="28" t="s">
        <v>2017</v>
      </c>
      <c r="R233" s="31">
        <v>4.988816493241</v>
      </c>
      <c r="S233" s="29">
        <v>17628</v>
      </c>
      <c r="T233" s="32">
        <v>274.21333333333303</v>
      </c>
      <c r="U233" s="32">
        <v>0</v>
      </c>
      <c r="V233" s="31">
        <v>4.988816493241</v>
      </c>
      <c r="W233" s="33">
        <v>46091</v>
      </c>
      <c r="X233" s="33">
        <v>46091</v>
      </c>
    </row>
    <row r="234" spans="1:24" ht="15.75" thickBot="1" x14ac:dyDescent="0.3">
      <c r="A234" t="str">
        <f t="shared" si="3"/>
        <v>N1WB E23942 HF3ZHE</v>
      </c>
      <c r="B234" s="22" t="s">
        <v>1024</v>
      </c>
      <c r="C234" s="22" t="s">
        <v>2671</v>
      </c>
      <c r="D234" s="22" t="s">
        <v>6</v>
      </c>
      <c r="E234" s="21"/>
      <c r="F234" s="22" t="s">
        <v>2419</v>
      </c>
      <c r="G234" s="28" t="s">
        <v>2012</v>
      </c>
      <c r="H234" s="22" t="s">
        <v>2055</v>
      </c>
      <c r="I234" s="21"/>
      <c r="J234" s="22" t="s">
        <v>261</v>
      </c>
      <c r="K234" s="22" t="s">
        <v>262</v>
      </c>
      <c r="L234" s="21"/>
      <c r="M234" s="22" t="s">
        <v>2014</v>
      </c>
      <c r="N234" s="28" t="s">
        <v>2015</v>
      </c>
      <c r="O234" s="28" t="s">
        <v>2016</v>
      </c>
      <c r="P234" s="29">
        <v>375</v>
      </c>
      <c r="Q234" s="28" t="s">
        <v>2017</v>
      </c>
      <c r="R234" s="31">
        <v>4.9480999296270003</v>
      </c>
      <c r="S234" s="29">
        <v>4872</v>
      </c>
      <c r="T234" s="32">
        <v>75.786666666665994</v>
      </c>
      <c r="U234" s="32">
        <v>0</v>
      </c>
      <c r="V234" s="31">
        <v>4.9480999296270003</v>
      </c>
      <c r="W234" s="33">
        <v>46091</v>
      </c>
      <c r="X234" s="33">
        <v>46091</v>
      </c>
    </row>
    <row r="235" spans="1:24" ht="15.75" thickBot="1" x14ac:dyDescent="0.3">
      <c r="A235" t="str">
        <f t="shared" si="3"/>
        <v>N1WB E23942 SF3LU4</v>
      </c>
      <c r="B235" s="22" t="s">
        <v>1028</v>
      </c>
      <c r="C235" s="22" t="s">
        <v>2672</v>
      </c>
      <c r="D235" s="22" t="s">
        <v>6</v>
      </c>
      <c r="E235" s="21"/>
      <c r="F235" s="22" t="s">
        <v>2419</v>
      </c>
      <c r="G235" s="28" t="s">
        <v>2012</v>
      </c>
      <c r="H235" s="22" t="s">
        <v>2055</v>
      </c>
      <c r="I235" s="21"/>
      <c r="J235" s="22" t="s">
        <v>261</v>
      </c>
      <c r="K235" s="22" t="s">
        <v>262</v>
      </c>
      <c r="L235" s="21"/>
      <c r="M235" s="22" t="s">
        <v>2014</v>
      </c>
      <c r="N235" s="28" t="s">
        <v>2015</v>
      </c>
      <c r="O235" s="28" t="s">
        <v>2016</v>
      </c>
      <c r="P235" s="29">
        <v>22</v>
      </c>
      <c r="Q235" s="28" t="s">
        <v>2017</v>
      </c>
      <c r="R235" s="31">
        <v>4.2987407729039999</v>
      </c>
      <c r="S235" s="29">
        <v>329</v>
      </c>
      <c r="T235" s="32">
        <v>5.1177777777770004</v>
      </c>
      <c r="U235" s="32">
        <v>0</v>
      </c>
      <c r="V235" s="31">
        <v>4.2987407729039999</v>
      </c>
      <c r="W235" s="33">
        <v>46091</v>
      </c>
      <c r="X235" s="33">
        <v>46091</v>
      </c>
    </row>
    <row r="236" spans="1:24" ht="15.75" thickBot="1" x14ac:dyDescent="0.3">
      <c r="A236" t="str">
        <f t="shared" si="3"/>
        <v>N1WB E23942 TK1G1C</v>
      </c>
      <c r="B236" s="22" t="s">
        <v>1029</v>
      </c>
      <c r="C236" s="22" t="s">
        <v>2673</v>
      </c>
      <c r="D236" s="22" t="s">
        <v>6</v>
      </c>
      <c r="E236" s="21"/>
      <c r="F236" s="22" t="s">
        <v>2415</v>
      </c>
      <c r="G236" s="28" t="s">
        <v>2012</v>
      </c>
      <c r="H236" s="22" t="s">
        <v>2055</v>
      </c>
      <c r="I236" s="21"/>
      <c r="J236" s="22" t="s">
        <v>261</v>
      </c>
      <c r="K236" s="22" t="s">
        <v>262</v>
      </c>
      <c r="L236" s="21"/>
      <c r="M236" s="22" t="s">
        <v>2014</v>
      </c>
      <c r="N236" s="28" t="s">
        <v>2015</v>
      </c>
      <c r="O236" s="28" t="s">
        <v>2016</v>
      </c>
      <c r="P236" s="29">
        <v>181</v>
      </c>
      <c r="Q236" s="28" t="s">
        <v>2017</v>
      </c>
      <c r="R236" s="31">
        <v>4.5487546073939997</v>
      </c>
      <c r="S236" s="29">
        <v>2558</v>
      </c>
      <c r="T236" s="32">
        <v>39.791111111111</v>
      </c>
      <c r="U236" s="32">
        <v>0</v>
      </c>
      <c r="V236" s="31">
        <v>4.5487546073939997</v>
      </c>
      <c r="W236" s="33">
        <v>46091</v>
      </c>
      <c r="X236" s="33">
        <v>46091</v>
      </c>
    </row>
    <row r="237" spans="1:24" ht="15.75" thickBot="1" x14ac:dyDescent="0.3">
      <c r="A237" t="str">
        <f t="shared" si="3"/>
        <v>N1WB E23943 KL1G1C</v>
      </c>
      <c r="B237" s="22" t="s">
        <v>981</v>
      </c>
      <c r="C237" s="22" t="s">
        <v>2674</v>
      </c>
      <c r="D237" s="22" t="s">
        <v>72</v>
      </c>
      <c r="E237" s="22" t="s">
        <v>2414</v>
      </c>
      <c r="F237" s="22" t="s">
        <v>2360</v>
      </c>
      <c r="G237" s="28" t="s">
        <v>2012</v>
      </c>
      <c r="H237" s="22" t="s">
        <v>2055</v>
      </c>
      <c r="I237" s="21"/>
      <c r="J237" s="22" t="s">
        <v>261</v>
      </c>
      <c r="K237" s="22" t="s">
        <v>262</v>
      </c>
      <c r="L237" s="21"/>
      <c r="M237" s="22" t="s">
        <v>2014</v>
      </c>
      <c r="N237" s="28" t="s">
        <v>2015</v>
      </c>
      <c r="O237" s="28" t="s">
        <v>2016</v>
      </c>
      <c r="P237" s="29">
        <v>77</v>
      </c>
      <c r="Q237" s="28" t="s">
        <v>2017</v>
      </c>
      <c r="R237" s="31">
        <v>4.0309446254069998</v>
      </c>
      <c r="S237" s="29">
        <v>1228</v>
      </c>
      <c r="T237" s="32">
        <v>19.102222222222</v>
      </c>
      <c r="U237" s="32">
        <v>0</v>
      </c>
      <c r="V237" s="31">
        <v>4.0309446254069998</v>
      </c>
      <c r="W237" s="33">
        <v>46091</v>
      </c>
      <c r="X237" s="33">
        <v>46091</v>
      </c>
    </row>
    <row r="238" spans="1:24" ht="15.75" thickBot="1" x14ac:dyDescent="0.3">
      <c r="A238" t="str">
        <f t="shared" si="3"/>
        <v>N1WB E23943 VF1G1E</v>
      </c>
      <c r="B238" s="22" t="s">
        <v>989</v>
      </c>
      <c r="C238" s="22" t="s">
        <v>2675</v>
      </c>
      <c r="D238" s="22" t="s">
        <v>72</v>
      </c>
      <c r="E238" s="21"/>
      <c r="F238" s="22" t="s">
        <v>2423</v>
      </c>
      <c r="G238" s="28" t="s">
        <v>2012</v>
      </c>
      <c r="H238" s="22" t="s">
        <v>2055</v>
      </c>
      <c r="I238" s="21"/>
      <c r="J238" s="22" t="s">
        <v>261</v>
      </c>
      <c r="K238" s="22" t="s">
        <v>262</v>
      </c>
      <c r="L238" s="21"/>
      <c r="M238" s="22" t="s">
        <v>2014</v>
      </c>
      <c r="N238" s="28" t="s">
        <v>2015</v>
      </c>
      <c r="O238" s="28" t="s">
        <v>2016</v>
      </c>
      <c r="P238" s="29">
        <v>282</v>
      </c>
      <c r="Q238" s="28" t="s">
        <v>2017</v>
      </c>
      <c r="R238" s="31">
        <v>4.2159468438529997</v>
      </c>
      <c r="S238" s="29">
        <v>4300</v>
      </c>
      <c r="T238" s="32">
        <v>66.888888888888005</v>
      </c>
      <c r="U238" s="32">
        <v>0</v>
      </c>
      <c r="V238" s="31">
        <v>4.2159468438529997</v>
      </c>
      <c r="W238" s="33">
        <v>46091</v>
      </c>
      <c r="X238" s="33">
        <v>46091</v>
      </c>
    </row>
    <row r="239" spans="1:24" ht="15.75" thickBot="1" x14ac:dyDescent="0.3">
      <c r="A239" t="str">
        <f t="shared" si="3"/>
        <v>N1WB E23943 VF3LU4</v>
      </c>
      <c r="B239" s="22" t="s">
        <v>990</v>
      </c>
      <c r="C239" s="22" t="s">
        <v>2676</v>
      </c>
      <c r="D239" s="22" t="s">
        <v>72</v>
      </c>
      <c r="E239" s="21"/>
      <c r="F239" s="22" t="s">
        <v>2423</v>
      </c>
      <c r="G239" s="28" t="s">
        <v>2012</v>
      </c>
      <c r="H239" s="22" t="s">
        <v>2055</v>
      </c>
      <c r="I239" s="21"/>
      <c r="J239" s="22" t="s">
        <v>261</v>
      </c>
      <c r="K239" s="22" t="s">
        <v>262</v>
      </c>
      <c r="L239" s="21"/>
      <c r="M239" s="22" t="s">
        <v>2014</v>
      </c>
      <c r="N239" s="28" t="s">
        <v>2015</v>
      </c>
      <c r="O239" s="28" t="s">
        <v>2016</v>
      </c>
      <c r="P239" s="29">
        <v>21</v>
      </c>
      <c r="Q239" s="28" t="s">
        <v>2017</v>
      </c>
      <c r="R239" s="31">
        <v>4.1033434650449996</v>
      </c>
      <c r="S239" s="29">
        <v>329</v>
      </c>
      <c r="T239" s="32">
        <v>5.1177777777770004</v>
      </c>
      <c r="U239" s="32">
        <v>0</v>
      </c>
      <c r="V239" s="31">
        <v>4.1033434650449996</v>
      </c>
      <c r="W239" s="33">
        <v>46091</v>
      </c>
      <c r="X239" s="33">
        <v>46091</v>
      </c>
    </row>
    <row r="240" spans="1:24" ht="15.75" thickBot="1" x14ac:dyDescent="0.3">
      <c r="A240" t="str">
        <f t="shared" si="3"/>
        <v>N1WB E23943 YL1G1C</v>
      </c>
      <c r="B240" s="22" t="s">
        <v>991</v>
      </c>
      <c r="C240" s="22" t="s">
        <v>2677</v>
      </c>
      <c r="D240" s="22" t="s">
        <v>72</v>
      </c>
      <c r="E240" s="21"/>
      <c r="F240" s="22" t="s">
        <v>2360</v>
      </c>
      <c r="G240" s="28" t="s">
        <v>2012</v>
      </c>
      <c r="H240" s="22" t="s">
        <v>2055</v>
      </c>
      <c r="I240" s="21"/>
      <c r="J240" s="22" t="s">
        <v>261</v>
      </c>
      <c r="K240" s="22" t="s">
        <v>262</v>
      </c>
      <c r="L240" s="21"/>
      <c r="M240" s="22" t="s">
        <v>2014</v>
      </c>
      <c r="N240" s="28" t="s">
        <v>2015</v>
      </c>
      <c r="O240" s="28" t="s">
        <v>2016</v>
      </c>
      <c r="P240" s="29">
        <v>191</v>
      </c>
      <c r="Q240" s="28" t="s">
        <v>2017</v>
      </c>
      <c r="R240" s="31">
        <v>4.8264824797839996</v>
      </c>
      <c r="S240" s="29">
        <v>2544</v>
      </c>
      <c r="T240" s="32">
        <v>39.573333333332997</v>
      </c>
      <c r="U240" s="32">
        <v>0</v>
      </c>
      <c r="V240" s="31">
        <v>4.8264824797839996</v>
      </c>
      <c r="W240" s="33">
        <v>46091</v>
      </c>
      <c r="X240" s="33">
        <v>46091</v>
      </c>
    </row>
    <row r="241" spans="1:24" ht="15.75" thickBot="1" x14ac:dyDescent="0.3">
      <c r="A241" t="str">
        <f t="shared" si="3"/>
        <v>N1WB E24396 CA31NB</v>
      </c>
      <c r="B241" s="22" t="s">
        <v>510</v>
      </c>
      <c r="C241" s="22" t="s">
        <v>2678</v>
      </c>
      <c r="D241" s="22" t="s">
        <v>2679</v>
      </c>
      <c r="E241" s="21"/>
      <c r="F241" s="22" t="s">
        <v>2426</v>
      </c>
      <c r="G241" s="28" t="s">
        <v>2012</v>
      </c>
      <c r="H241" s="22" t="s">
        <v>2080</v>
      </c>
      <c r="I241" s="21"/>
      <c r="J241" s="22" t="s">
        <v>261</v>
      </c>
      <c r="K241" s="22" t="s">
        <v>262</v>
      </c>
      <c r="L241" s="21"/>
      <c r="M241" s="22" t="s">
        <v>2014</v>
      </c>
      <c r="N241" s="28" t="s">
        <v>2015</v>
      </c>
      <c r="O241" s="28" t="s">
        <v>2016</v>
      </c>
      <c r="P241" s="29">
        <v>1054</v>
      </c>
      <c r="Q241" s="28" t="s">
        <v>2017</v>
      </c>
      <c r="R241" s="31">
        <v>4.5636925208549997</v>
      </c>
      <c r="S241" s="29">
        <v>14847</v>
      </c>
      <c r="T241" s="32">
        <v>230.95333333333301</v>
      </c>
      <c r="U241" s="32">
        <v>0</v>
      </c>
      <c r="V241" s="31">
        <v>4.5636925208549997</v>
      </c>
      <c r="W241" s="33">
        <v>46091</v>
      </c>
      <c r="X241" s="33">
        <v>46091</v>
      </c>
    </row>
    <row r="242" spans="1:24" ht="15.75" thickBot="1" x14ac:dyDescent="0.3">
      <c r="A242" t="str">
        <f t="shared" si="3"/>
        <v>N1WB E268A04 CB</v>
      </c>
      <c r="B242" s="22" t="s">
        <v>1314</v>
      </c>
      <c r="C242" s="22" t="s">
        <v>2680</v>
      </c>
      <c r="D242" s="22" t="s">
        <v>2681</v>
      </c>
      <c r="E242" s="21"/>
      <c r="F242" s="22" t="s">
        <v>2030</v>
      </c>
      <c r="G242" s="28" t="s">
        <v>2012</v>
      </c>
      <c r="H242" s="22" t="s">
        <v>2682</v>
      </c>
      <c r="I242" s="21"/>
      <c r="J242" s="22" t="s">
        <v>261</v>
      </c>
      <c r="K242" s="22" t="s">
        <v>924</v>
      </c>
      <c r="L242" s="21"/>
      <c r="M242" s="22" t="s">
        <v>2014</v>
      </c>
      <c r="N242" s="28" t="s">
        <v>2015</v>
      </c>
      <c r="O242" s="28" t="s">
        <v>2016</v>
      </c>
      <c r="P242" s="29">
        <v>1202</v>
      </c>
      <c r="Q242" s="28" t="s">
        <v>2017</v>
      </c>
      <c r="R242" s="31">
        <v>4.4408866995069998</v>
      </c>
      <c r="S242" s="29">
        <v>17400</v>
      </c>
      <c r="T242" s="32">
        <v>270.66666666666703</v>
      </c>
      <c r="U242" s="32">
        <v>0</v>
      </c>
      <c r="V242" s="31">
        <v>4.4408866995069998</v>
      </c>
      <c r="W242" s="33">
        <v>46091</v>
      </c>
      <c r="X242" s="33">
        <v>46091</v>
      </c>
    </row>
    <row r="243" spans="1:24" ht="15.75" thickBot="1" x14ac:dyDescent="0.3">
      <c r="A243" t="str">
        <f t="shared" si="3"/>
        <v>N1WB E27406 CL3ZHE</v>
      </c>
      <c r="B243" s="22" t="s">
        <v>1031</v>
      </c>
      <c r="C243" s="22" t="s">
        <v>2683</v>
      </c>
      <c r="D243" s="22" t="s">
        <v>134</v>
      </c>
      <c r="E243" s="21"/>
      <c r="F243" s="22" t="s">
        <v>2369</v>
      </c>
      <c r="G243" s="28" t="s">
        <v>2012</v>
      </c>
      <c r="H243" s="22" t="s">
        <v>2055</v>
      </c>
      <c r="I243" s="21"/>
      <c r="J243" s="22" t="s">
        <v>261</v>
      </c>
      <c r="K243" s="22" t="s">
        <v>262</v>
      </c>
      <c r="L243" s="21"/>
      <c r="M243" s="22" t="s">
        <v>2014</v>
      </c>
      <c r="N243" s="28" t="s">
        <v>2015</v>
      </c>
      <c r="O243" s="28" t="s">
        <v>2016</v>
      </c>
      <c r="P243" s="29">
        <v>379</v>
      </c>
      <c r="Q243" s="28" t="s">
        <v>2017</v>
      </c>
      <c r="R243" s="31">
        <v>4.9988275983349997</v>
      </c>
      <c r="S243" s="29">
        <v>4874</v>
      </c>
      <c r="T243" s="32">
        <v>75.817777777776996</v>
      </c>
      <c r="U243" s="32">
        <v>0</v>
      </c>
      <c r="V243" s="31">
        <v>4.9988275983349997</v>
      </c>
      <c r="W243" s="33">
        <v>46091</v>
      </c>
      <c r="X243" s="33">
        <v>46091</v>
      </c>
    </row>
    <row r="244" spans="1:24" ht="15.75" thickBot="1" x14ac:dyDescent="0.3">
      <c r="A244" t="str">
        <f t="shared" si="3"/>
        <v>N1WB E27406 SL1G1C</v>
      </c>
      <c r="B244" s="22" t="s">
        <v>1037</v>
      </c>
      <c r="C244" s="22" t="s">
        <v>2684</v>
      </c>
      <c r="D244" s="22" t="s">
        <v>134</v>
      </c>
      <c r="E244" s="22" t="s">
        <v>2685</v>
      </c>
      <c r="F244" s="22" t="s">
        <v>2436</v>
      </c>
      <c r="G244" s="28" t="s">
        <v>2012</v>
      </c>
      <c r="H244" s="22" t="s">
        <v>2055</v>
      </c>
      <c r="I244" s="21"/>
      <c r="J244" s="22" t="s">
        <v>261</v>
      </c>
      <c r="K244" s="22" t="s">
        <v>262</v>
      </c>
      <c r="L244" s="21"/>
      <c r="M244" s="22" t="s">
        <v>2014</v>
      </c>
      <c r="N244" s="28" t="s">
        <v>2015</v>
      </c>
      <c r="O244" s="28" t="s">
        <v>2016</v>
      </c>
      <c r="P244" s="29">
        <v>181</v>
      </c>
      <c r="Q244" s="28" t="s">
        <v>2017</v>
      </c>
      <c r="R244" s="31">
        <v>4.5487546073939997</v>
      </c>
      <c r="S244" s="29">
        <v>2558</v>
      </c>
      <c r="T244" s="32">
        <v>39.791111111111</v>
      </c>
      <c r="U244" s="32">
        <v>0</v>
      </c>
      <c r="V244" s="31">
        <v>4.5487546073939997</v>
      </c>
      <c r="W244" s="33">
        <v>46091</v>
      </c>
      <c r="X244" s="33">
        <v>46091</v>
      </c>
    </row>
    <row r="245" spans="1:24" ht="15.75" thickBot="1" x14ac:dyDescent="0.3">
      <c r="A245" t="str">
        <f t="shared" si="3"/>
        <v>N1WB E27407 SL1G1C</v>
      </c>
      <c r="B245" s="22" t="s">
        <v>998</v>
      </c>
      <c r="C245" s="22" t="s">
        <v>2686</v>
      </c>
      <c r="D245" s="22" t="s">
        <v>176</v>
      </c>
      <c r="E245" s="22" t="s">
        <v>2685</v>
      </c>
      <c r="F245" s="22" t="s">
        <v>2443</v>
      </c>
      <c r="G245" s="28" t="s">
        <v>2012</v>
      </c>
      <c r="H245" s="22" t="s">
        <v>2055</v>
      </c>
      <c r="I245" s="21"/>
      <c r="J245" s="22" t="s">
        <v>261</v>
      </c>
      <c r="K245" s="22" t="s">
        <v>262</v>
      </c>
      <c r="L245" s="21"/>
      <c r="M245" s="22" t="s">
        <v>2014</v>
      </c>
      <c r="N245" s="28" t="s">
        <v>2015</v>
      </c>
      <c r="O245" s="28" t="s">
        <v>2016</v>
      </c>
      <c r="P245" s="29">
        <v>186</v>
      </c>
      <c r="Q245" s="28" t="s">
        <v>2017</v>
      </c>
      <c r="R245" s="31">
        <v>4.6725841567569999</v>
      </c>
      <c r="S245" s="29">
        <v>2559</v>
      </c>
      <c r="T245" s="32">
        <v>39.806666666665997</v>
      </c>
      <c r="U245" s="32">
        <v>0</v>
      </c>
      <c r="V245" s="31">
        <v>4.6725841567569999</v>
      </c>
      <c r="W245" s="33">
        <v>46091</v>
      </c>
      <c r="X245" s="33">
        <v>46091</v>
      </c>
    </row>
    <row r="246" spans="1:24" ht="15.75" thickBot="1" x14ac:dyDescent="0.3">
      <c r="A246" t="str">
        <f t="shared" si="3"/>
        <v>N1WB E27407 UL1G1E</v>
      </c>
      <c r="B246" s="22" t="s">
        <v>1000</v>
      </c>
      <c r="C246" s="22" t="s">
        <v>2687</v>
      </c>
      <c r="D246" s="22" t="s">
        <v>176</v>
      </c>
      <c r="E246" s="21"/>
      <c r="F246" s="22" t="s">
        <v>2375</v>
      </c>
      <c r="G246" s="28" t="s">
        <v>2012</v>
      </c>
      <c r="H246" s="22" t="s">
        <v>2055</v>
      </c>
      <c r="I246" s="21"/>
      <c r="J246" s="22" t="s">
        <v>261</v>
      </c>
      <c r="K246" s="22" t="s">
        <v>262</v>
      </c>
      <c r="L246" s="21"/>
      <c r="M246" s="22" t="s">
        <v>2014</v>
      </c>
      <c r="N246" s="28" t="s">
        <v>2015</v>
      </c>
      <c r="O246" s="28" t="s">
        <v>2016</v>
      </c>
      <c r="P246" s="29">
        <v>274</v>
      </c>
      <c r="Q246" s="28" t="s">
        <v>2017</v>
      </c>
      <c r="R246" s="31">
        <v>4.1058941058940004</v>
      </c>
      <c r="S246" s="29">
        <v>4290</v>
      </c>
      <c r="T246" s="32">
        <v>66.733333333332993</v>
      </c>
      <c r="U246" s="32">
        <v>0</v>
      </c>
      <c r="V246" s="31">
        <v>4.1058941058940004</v>
      </c>
      <c r="W246" s="33">
        <v>46091</v>
      </c>
      <c r="X246" s="33">
        <v>46091</v>
      </c>
    </row>
    <row r="247" spans="1:24" ht="15.75" thickBot="1" x14ac:dyDescent="0.3">
      <c r="A247" t="str">
        <f t="shared" si="3"/>
        <v>N1WB E27407 UL3LU4</v>
      </c>
      <c r="B247" s="22" t="s">
        <v>1001</v>
      </c>
      <c r="C247" s="22" t="s">
        <v>2688</v>
      </c>
      <c r="D247" s="22" t="s">
        <v>176</v>
      </c>
      <c r="E247" s="21"/>
      <c r="F247" s="22" t="s">
        <v>2375</v>
      </c>
      <c r="G247" s="28" t="s">
        <v>2012</v>
      </c>
      <c r="H247" s="22" t="s">
        <v>2055</v>
      </c>
      <c r="I247" s="21"/>
      <c r="J247" s="22" t="s">
        <v>261</v>
      </c>
      <c r="K247" s="22" t="s">
        <v>262</v>
      </c>
      <c r="L247" s="21"/>
      <c r="M247" s="22" t="s">
        <v>2014</v>
      </c>
      <c r="N247" s="28" t="s">
        <v>2015</v>
      </c>
      <c r="O247" s="28" t="s">
        <v>2016</v>
      </c>
      <c r="P247" s="29">
        <v>21</v>
      </c>
      <c r="Q247" s="28" t="s">
        <v>2017</v>
      </c>
      <c r="R247" s="31">
        <v>4.1033434650449996</v>
      </c>
      <c r="S247" s="29">
        <v>329</v>
      </c>
      <c r="T247" s="32">
        <v>5.1177777777770004</v>
      </c>
      <c r="U247" s="32">
        <v>0</v>
      </c>
      <c r="V247" s="31">
        <v>4.1033434650449996</v>
      </c>
      <c r="W247" s="33">
        <v>46091</v>
      </c>
      <c r="X247" s="33">
        <v>46091</v>
      </c>
    </row>
    <row r="248" spans="1:24" ht="15.75" thickBot="1" x14ac:dyDescent="0.3">
      <c r="A248" t="str">
        <f t="shared" si="3"/>
        <v>N1WB E31003 CD3ZHE</v>
      </c>
      <c r="B248" s="22" t="s">
        <v>489</v>
      </c>
      <c r="C248" s="22" t="s">
        <v>2689</v>
      </c>
      <c r="D248" s="22" t="s">
        <v>2690</v>
      </c>
      <c r="E248" s="21"/>
      <c r="F248" s="22" t="s">
        <v>2691</v>
      </c>
      <c r="G248" s="28" t="s">
        <v>2012</v>
      </c>
      <c r="H248" s="22" t="s">
        <v>2055</v>
      </c>
      <c r="I248" s="21"/>
      <c r="J248" s="22" t="s">
        <v>261</v>
      </c>
      <c r="K248" s="22" t="s">
        <v>262</v>
      </c>
      <c r="L248" s="21"/>
      <c r="M248" s="22" t="s">
        <v>2014</v>
      </c>
      <c r="N248" s="28" t="s">
        <v>2015</v>
      </c>
      <c r="O248" s="28" t="s">
        <v>2016</v>
      </c>
      <c r="P248" s="29">
        <v>1207</v>
      </c>
      <c r="Q248" s="28" t="s">
        <v>2017</v>
      </c>
      <c r="R248" s="31">
        <v>4.4851362510320003</v>
      </c>
      <c r="S248" s="29">
        <v>17300</v>
      </c>
      <c r="T248" s="32">
        <v>269.11111111111097</v>
      </c>
      <c r="U248" s="32">
        <v>0</v>
      </c>
      <c r="V248" s="31">
        <v>4.4851362510320003</v>
      </c>
      <c r="W248" s="33">
        <v>46091</v>
      </c>
      <c r="X248" s="33">
        <v>46091</v>
      </c>
    </row>
    <row r="249" spans="1:24" ht="15.75" thickBot="1" x14ac:dyDescent="0.3">
      <c r="A249" t="str">
        <f t="shared" si="3"/>
        <v>N1WB E312A49 BC</v>
      </c>
      <c r="B249" s="22" t="s">
        <v>958</v>
      </c>
      <c r="C249" s="22" t="s">
        <v>2692</v>
      </c>
      <c r="D249" s="22" t="s">
        <v>2693</v>
      </c>
      <c r="E249" s="21"/>
      <c r="F249" s="22" t="s">
        <v>2030</v>
      </c>
      <c r="G249" s="28" t="s">
        <v>2012</v>
      </c>
      <c r="H249" s="22" t="s">
        <v>2080</v>
      </c>
      <c r="I249" s="21"/>
      <c r="J249" s="22" t="s">
        <v>261</v>
      </c>
      <c r="K249" s="22" t="s">
        <v>924</v>
      </c>
      <c r="L249" s="21"/>
      <c r="M249" s="22" t="s">
        <v>2014</v>
      </c>
      <c r="N249" s="28" t="s">
        <v>2015</v>
      </c>
      <c r="O249" s="28" t="s">
        <v>2016</v>
      </c>
      <c r="P249" s="29">
        <v>1154</v>
      </c>
      <c r="Q249" s="28" t="s">
        <v>2017</v>
      </c>
      <c r="R249" s="31">
        <v>4.2043476500820001</v>
      </c>
      <c r="S249" s="29">
        <v>17645</v>
      </c>
      <c r="T249" s="32">
        <v>274.47777777777799</v>
      </c>
      <c r="U249" s="32">
        <v>0</v>
      </c>
      <c r="V249" s="31">
        <v>4.2043476500820001</v>
      </c>
      <c r="W249" s="33">
        <v>46091</v>
      </c>
      <c r="X249" s="33">
        <v>46091</v>
      </c>
    </row>
    <row r="250" spans="1:24" ht="15.75" thickBot="1" x14ac:dyDescent="0.3">
      <c r="A250" t="str">
        <f t="shared" si="3"/>
        <v>N1WB E412A05 CB</v>
      </c>
      <c r="B250" s="22" t="s">
        <v>1916</v>
      </c>
      <c r="C250" s="22" t="s">
        <v>2694</v>
      </c>
      <c r="D250" s="22" t="s">
        <v>2458</v>
      </c>
      <c r="E250" s="21"/>
      <c r="F250" s="22" t="s">
        <v>2030</v>
      </c>
      <c r="G250" s="28" t="s">
        <v>2012</v>
      </c>
      <c r="H250" s="22" t="s">
        <v>2013</v>
      </c>
      <c r="I250" s="21"/>
      <c r="J250" s="22" t="s">
        <v>261</v>
      </c>
      <c r="K250" s="22" t="s">
        <v>924</v>
      </c>
      <c r="L250" s="21"/>
      <c r="M250" s="22" t="s">
        <v>2014</v>
      </c>
      <c r="N250" s="28" t="s">
        <v>2015</v>
      </c>
      <c r="O250" s="28" t="s">
        <v>2016</v>
      </c>
      <c r="P250" s="29">
        <v>1320</v>
      </c>
      <c r="Q250" s="28" t="s">
        <v>2017</v>
      </c>
      <c r="R250" s="31">
        <v>4.7779922779920003</v>
      </c>
      <c r="S250" s="29">
        <v>17760</v>
      </c>
      <c r="T250" s="32">
        <v>276.26666666666699</v>
      </c>
      <c r="U250" s="32">
        <v>0</v>
      </c>
      <c r="V250" s="31">
        <v>4.7779922779920003</v>
      </c>
      <c r="W250" s="33">
        <v>46091</v>
      </c>
      <c r="X250" s="33">
        <v>46091</v>
      </c>
    </row>
    <row r="251" spans="1:24" ht="15.75" thickBot="1" x14ac:dyDescent="0.3">
      <c r="A251" t="str">
        <f t="shared" si="3"/>
        <v>PC.WL68436049</v>
      </c>
      <c r="B251" s="22" t="s">
        <v>1824</v>
      </c>
      <c r="C251" s="22" t="s">
        <v>2695</v>
      </c>
      <c r="D251" s="22" t="s">
        <v>2696</v>
      </c>
      <c r="E251" s="22" t="s">
        <v>2697</v>
      </c>
      <c r="F251" s="22" t="s">
        <v>2698</v>
      </c>
      <c r="G251" s="28" t="s">
        <v>2012</v>
      </c>
      <c r="H251" s="22" t="s">
        <v>2022</v>
      </c>
      <c r="I251" s="21"/>
      <c r="J251" s="22" t="s">
        <v>1117</v>
      </c>
      <c r="K251" s="22" t="s">
        <v>924</v>
      </c>
      <c r="L251" s="21"/>
      <c r="M251" s="22" t="s">
        <v>2014</v>
      </c>
      <c r="N251" s="28" t="s">
        <v>2015</v>
      </c>
      <c r="O251" s="28" t="s">
        <v>2016</v>
      </c>
      <c r="P251" s="29">
        <v>2615</v>
      </c>
      <c r="Q251" s="28" t="s">
        <v>2017</v>
      </c>
      <c r="R251" s="31">
        <v>4.9010828821320001</v>
      </c>
      <c r="S251" s="29">
        <v>34300</v>
      </c>
      <c r="T251" s="32">
        <v>533.555555555556</v>
      </c>
      <c r="U251" s="32">
        <v>0</v>
      </c>
      <c r="V251" s="31">
        <v>4.9010828821320001</v>
      </c>
      <c r="W251" s="33">
        <v>46091</v>
      </c>
      <c r="X251" s="33">
        <v>46091</v>
      </c>
    </row>
    <row r="252" spans="1:24" ht="15.75" thickBot="1" x14ac:dyDescent="0.3">
      <c r="A252" t="str">
        <f t="shared" si="3"/>
        <v>REPACKS109A26</v>
      </c>
      <c r="B252" s="22" t="s">
        <v>2699</v>
      </c>
      <c r="C252" s="22" t="s">
        <v>2700</v>
      </c>
      <c r="D252" s="22" t="s">
        <v>2701</v>
      </c>
      <c r="E252" s="21"/>
      <c r="F252" s="22" t="s">
        <v>2030</v>
      </c>
      <c r="G252" s="28" t="s">
        <v>2012</v>
      </c>
      <c r="H252" s="22" t="s">
        <v>2013</v>
      </c>
      <c r="I252" s="21"/>
      <c r="J252" s="22" t="s">
        <v>364</v>
      </c>
      <c r="K252" s="22" t="s">
        <v>262</v>
      </c>
      <c r="L252" s="21"/>
      <c r="M252" s="22" t="s">
        <v>2034</v>
      </c>
      <c r="N252" s="28" t="s">
        <v>2015</v>
      </c>
      <c r="O252" s="28" t="s">
        <v>2016</v>
      </c>
      <c r="P252" s="29">
        <v>2000</v>
      </c>
      <c r="Q252" s="28" t="s">
        <v>2017</v>
      </c>
      <c r="R252" s="31">
        <v>4.9298860648550002</v>
      </c>
      <c r="S252" s="29">
        <v>26080</v>
      </c>
      <c r="T252" s="32">
        <v>405.68888888888898</v>
      </c>
      <c r="U252" s="32">
        <v>0</v>
      </c>
      <c r="V252" s="31">
        <v>4.9298860648550002</v>
      </c>
      <c r="W252" s="33">
        <v>46091</v>
      </c>
      <c r="X252" s="33">
        <v>46091</v>
      </c>
    </row>
    <row r="253" spans="1:24" ht="15.75" thickBot="1" x14ac:dyDescent="0.3">
      <c r="A253" t="str">
        <f t="shared" si="3"/>
        <v>REPACKS28126</v>
      </c>
      <c r="B253" s="22" t="s">
        <v>2702</v>
      </c>
      <c r="C253" s="22" t="s">
        <v>2703</v>
      </c>
      <c r="D253" s="22" t="s">
        <v>2704</v>
      </c>
      <c r="E253" s="22" t="s">
        <v>2705</v>
      </c>
      <c r="F253" s="22" t="s">
        <v>2706</v>
      </c>
      <c r="G253" s="28" t="s">
        <v>2012</v>
      </c>
      <c r="H253" s="22" t="s">
        <v>2013</v>
      </c>
      <c r="I253" s="21"/>
      <c r="J253" s="22" t="s">
        <v>364</v>
      </c>
      <c r="K253" s="22" t="s">
        <v>262</v>
      </c>
      <c r="L253" s="21"/>
      <c r="M253" s="22" t="s">
        <v>2034</v>
      </c>
      <c r="N253" s="28" t="s">
        <v>2015</v>
      </c>
      <c r="O253" s="28" t="s">
        <v>2016</v>
      </c>
      <c r="P253" s="29">
        <v>578</v>
      </c>
      <c r="Q253" s="28" t="s">
        <v>2017</v>
      </c>
      <c r="R253" s="31">
        <v>4.3734866828080001</v>
      </c>
      <c r="S253" s="29">
        <v>8496</v>
      </c>
      <c r="T253" s="32">
        <v>132.16</v>
      </c>
      <c r="U253" s="32">
        <v>0</v>
      </c>
      <c r="V253" s="31">
        <v>4.3734866828080001</v>
      </c>
      <c r="W253" s="33">
        <v>46091</v>
      </c>
      <c r="X253" s="33">
        <v>46091</v>
      </c>
    </row>
    <row r="254" spans="1:24" ht="15.75" thickBot="1" x14ac:dyDescent="0.3">
      <c r="A254" t="str">
        <f t="shared" si="3"/>
        <v>RMP600GF30-BK</v>
      </c>
      <c r="B254" s="22" t="s">
        <v>2707</v>
      </c>
      <c r="C254" s="22" t="s">
        <v>2708</v>
      </c>
      <c r="D254" s="22" t="s">
        <v>2709</v>
      </c>
      <c r="E254" s="22" t="s">
        <v>2710</v>
      </c>
      <c r="F254" s="22" t="s">
        <v>2030</v>
      </c>
      <c r="G254" s="28" t="s">
        <v>2012</v>
      </c>
      <c r="H254" s="22" t="s">
        <v>2520</v>
      </c>
      <c r="I254" s="22" t="s">
        <v>2521</v>
      </c>
      <c r="J254" s="22" t="s">
        <v>698</v>
      </c>
      <c r="K254" s="22" t="s">
        <v>262</v>
      </c>
      <c r="L254" s="22" t="s">
        <v>2711</v>
      </c>
      <c r="M254" s="22" t="s">
        <v>2523</v>
      </c>
      <c r="N254" s="28" t="s">
        <v>2494</v>
      </c>
      <c r="O254" s="28" t="s">
        <v>2016</v>
      </c>
      <c r="P254" s="29">
        <v>8017.0032000000001</v>
      </c>
      <c r="Q254" s="28" t="s">
        <v>1164</v>
      </c>
      <c r="R254" s="31">
        <v>4.6183432608219999</v>
      </c>
      <c r="S254" s="34">
        <v>111593.8656</v>
      </c>
      <c r="T254" s="32">
        <v>1735.9045759999999</v>
      </c>
      <c r="U254" s="32">
        <v>0</v>
      </c>
      <c r="V254" s="31">
        <v>4.6183432608219999</v>
      </c>
      <c r="W254" s="33">
        <v>46091</v>
      </c>
      <c r="X254" s="33">
        <v>46091</v>
      </c>
    </row>
    <row r="255" spans="1:24" ht="15.75" thickBot="1" x14ac:dyDescent="0.3">
      <c r="A255" t="str">
        <f t="shared" si="3"/>
        <v>RMS2120170RLAA</v>
      </c>
      <c r="B255" s="22" t="s">
        <v>2712</v>
      </c>
      <c r="C255" s="22" t="s">
        <v>2713</v>
      </c>
      <c r="D255" s="22" t="s">
        <v>2714</v>
      </c>
      <c r="E255" s="22" t="s">
        <v>2527</v>
      </c>
      <c r="F255" s="22" t="s">
        <v>2715</v>
      </c>
      <c r="G255" s="28" t="s">
        <v>2012</v>
      </c>
      <c r="H255" s="22" t="s">
        <v>2716</v>
      </c>
      <c r="I255" s="22" t="s">
        <v>2717</v>
      </c>
      <c r="J255" s="22" t="s">
        <v>494</v>
      </c>
      <c r="K255" s="22" t="s">
        <v>924</v>
      </c>
      <c r="L255" s="22" t="s">
        <v>2531</v>
      </c>
      <c r="M255" s="22" t="s">
        <v>2532</v>
      </c>
      <c r="N255" s="28" t="s">
        <v>2494</v>
      </c>
      <c r="O255" s="28" t="s">
        <v>2016</v>
      </c>
      <c r="P255" s="29">
        <v>11360</v>
      </c>
      <c r="Q255" s="28" t="s">
        <v>1164</v>
      </c>
      <c r="R255" s="21"/>
      <c r="S255" s="21"/>
      <c r="T255" s="21"/>
      <c r="U255" s="32">
        <v>2454</v>
      </c>
      <c r="V255" s="31">
        <v>4.6291768541150002</v>
      </c>
      <c r="W255" s="33">
        <v>46091</v>
      </c>
      <c r="X255" s="33">
        <v>46091</v>
      </c>
    </row>
    <row r="256" spans="1:24" ht="15.75" thickBot="1" x14ac:dyDescent="0.3">
      <c r="A256" t="str">
        <f t="shared" si="3"/>
        <v>RMSBR3D072SB3C</v>
      </c>
      <c r="B256" s="22" t="s">
        <v>2718</v>
      </c>
      <c r="C256" s="21"/>
      <c r="D256" s="22" t="s">
        <v>2719</v>
      </c>
      <c r="E256" s="22" t="s">
        <v>2720</v>
      </c>
      <c r="F256" s="22" t="s">
        <v>2721</v>
      </c>
      <c r="G256" s="28" t="s">
        <v>2012</v>
      </c>
      <c r="H256" s="22" t="s">
        <v>2013</v>
      </c>
      <c r="I256" s="21"/>
      <c r="J256" s="22" t="s">
        <v>261</v>
      </c>
      <c r="K256" s="22" t="s">
        <v>924</v>
      </c>
      <c r="L256" s="22" t="s">
        <v>2531</v>
      </c>
      <c r="M256" s="22" t="s">
        <v>2532</v>
      </c>
      <c r="N256" s="28" t="s">
        <v>2494</v>
      </c>
      <c r="O256" s="28" t="s">
        <v>2016</v>
      </c>
      <c r="P256" s="29">
        <v>2220</v>
      </c>
      <c r="Q256" s="28" t="s">
        <v>1164</v>
      </c>
      <c r="R256" s="31">
        <v>4.5955273512529997</v>
      </c>
      <c r="S256" s="34">
        <v>31055.040000000001</v>
      </c>
      <c r="T256" s="32">
        <v>483.07839999999999</v>
      </c>
      <c r="U256" s="32">
        <v>0</v>
      </c>
      <c r="V256" s="31">
        <v>4.5955273512529997</v>
      </c>
      <c r="W256" s="33">
        <v>46091</v>
      </c>
      <c r="X256" s="33">
        <v>46091</v>
      </c>
    </row>
    <row r="257" spans="1:24" ht="15.75" thickBot="1" x14ac:dyDescent="0.3">
      <c r="A257" t="str">
        <f t="shared" si="3"/>
        <v>68618404AA</v>
      </c>
      <c r="B257" s="22" t="s">
        <v>888</v>
      </c>
      <c r="C257" s="22" t="s">
        <v>2722</v>
      </c>
      <c r="D257" s="22" t="s">
        <v>2723</v>
      </c>
      <c r="E257" s="22" t="s">
        <v>2020</v>
      </c>
      <c r="F257" s="22" t="s">
        <v>2030</v>
      </c>
      <c r="G257" s="28" t="s">
        <v>2012</v>
      </c>
      <c r="H257" s="22" t="s">
        <v>2022</v>
      </c>
      <c r="I257" s="21"/>
      <c r="J257" s="22" t="s">
        <v>698</v>
      </c>
      <c r="K257" s="22" t="s">
        <v>262</v>
      </c>
      <c r="L257" s="21"/>
      <c r="M257" s="22" t="s">
        <v>2014</v>
      </c>
      <c r="N257" s="28" t="s">
        <v>2015</v>
      </c>
      <c r="O257" s="28" t="s">
        <v>2016</v>
      </c>
      <c r="P257" s="29">
        <v>510</v>
      </c>
      <c r="Q257" s="28" t="s">
        <v>2017</v>
      </c>
      <c r="R257" s="31">
        <v>5.5194805194800001</v>
      </c>
      <c r="S257" s="29">
        <v>5940</v>
      </c>
      <c r="T257" s="32">
        <v>92.4</v>
      </c>
      <c r="U257" s="32">
        <v>0</v>
      </c>
      <c r="V257" s="31">
        <v>5.5194805194800001</v>
      </c>
      <c r="W257" s="35">
        <v>46092</v>
      </c>
      <c r="X257" s="35">
        <v>46092</v>
      </c>
    </row>
    <row r="258" spans="1:24" ht="15.75" thickBot="1" x14ac:dyDescent="0.3">
      <c r="A258" t="str">
        <f t="shared" si="3"/>
        <v>ASYHS31212W9</v>
      </c>
      <c r="B258" s="22" t="s">
        <v>1679</v>
      </c>
      <c r="C258" s="22" t="s">
        <v>2724</v>
      </c>
      <c r="D258" s="22" t="s">
        <v>2725</v>
      </c>
      <c r="E258" s="22" t="s">
        <v>2726</v>
      </c>
      <c r="F258" s="22" t="s">
        <v>2727</v>
      </c>
      <c r="G258" s="28" t="s">
        <v>2012</v>
      </c>
      <c r="H258" s="22" t="s">
        <v>2080</v>
      </c>
      <c r="I258" s="21"/>
      <c r="J258" s="22" t="s">
        <v>261</v>
      </c>
      <c r="K258" s="22" t="s">
        <v>924</v>
      </c>
      <c r="L258" s="21"/>
      <c r="M258" s="22" t="s">
        <v>2034</v>
      </c>
      <c r="N258" s="28" t="s">
        <v>2015</v>
      </c>
      <c r="O258" s="28" t="s">
        <v>2016</v>
      </c>
      <c r="P258" s="29">
        <v>1605</v>
      </c>
      <c r="Q258" s="28" t="s">
        <v>2017</v>
      </c>
      <c r="R258" s="31">
        <v>5.929802955665</v>
      </c>
      <c r="S258" s="29">
        <v>17400</v>
      </c>
      <c r="T258" s="32">
        <v>270.66666666666703</v>
      </c>
      <c r="U258" s="32">
        <v>0</v>
      </c>
      <c r="V258" s="31">
        <v>5.929802955665</v>
      </c>
      <c r="W258" s="35">
        <v>46092</v>
      </c>
      <c r="X258" s="35">
        <v>46092</v>
      </c>
    </row>
    <row r="259" spans="1:24" ht="15.75" thickBot="1" x14ac:dyDescent="0.3">
      <c r="A259" t="str">
        <f t="shared" si="3"/>
        <v>ASYHS31213W8</v>
      </c>
      <c r="B259" s="22" t="s">
        <v>1681</v>
      </c>
      <c r="C259" s="22" t="s">
        <v>2728</v>
      </c>
      <c r="D259" s="22" t="s">
        <v>2729</v>
      </c>
      <c r="E259" s="22" t="s">
        <v>2730</v>
      </c>
      <c r="F259" s="22" t="s">
        <v>2731</v>
      </c>
      <c r="G259" s="28" t="s">
        <v>2012</v>
      </c>
      <c r="H259" s="22" t="s">
        <v>2080</v>
      </c>
      <c r="I259" s="21"/>
      <c r="J259" s="22" t="s">
        <v>261</v>
      </c>
      <c r="K259" s="22" t="s">
        <v>924</v>
      </c>
      <c r="L259" s="21"/>
      <c r="M259" s="22" t="s">
        <v>2034</v>
      </c>
      <c r="N259" s="28" t="s">
        <v>2015</v>
      </c>
      <c r="O259" s="28" t="s">
        <v>2016</v>
      </c>
      <c r="P259" s="29">
        <v>1573</v>
      </c>
      <c r="Q259" s="28" t="s">
        <v>2017</v>
      </c>
      <c r="R259" s="31">
        <v>5.8384196634769996</v>
      </c>
      <c r="S259" s="29">
        <v>17320</v>
      </c>
      <c r="T259" s="32">
        <v>269.42222222222199</v>
      </c>
      <c r="U259" s="32">
        <v>0</v>
      </c>
      <c r="V259" s="31">
        <v>5.8384196634769996</v>
      </c>
      <c r="W259" s="35">
        <v>46092</v>
      </c>
      <c r="X259" s="35">
        <v>46092</v>
      </c>
    </row>
    <row r="260" spans="1:24" ht="15.75" thickBot="1" x14ac:dyDescent="0.3">
      <c r="A260" t="str">
        <f t="shared" si="3"/>
        <v>ASYHS61022W22</v>
      </c>
      <c r="B260" s="22" t="s">
        <v>1721</v>
      </c>
      <c r="C260" s="22" t="s">
        <v>2579</v>
      </c>
      <c r="D260" s="22" t="s">
        <v>2732</v>
      </c>
      <c r="E260" s="22" t="s">
        <v>2733</v>
      </c>
      <c r="F260" s="22" t="s">
        <v>2734</v>
      </c>
      <c r="G260" s="28" t="s">
        <v>2012</v>
      </c>
      <c r="H260" s="22" t="s">
        <v>2055</v>
      </c>
      <c r="I260" s="21"/>
      <c r="J260" s="22" t="s">
        <v>261</v>
      </c>
      <c r="K260" s="22" t="s">
        <v>924</v>
      </c>
      <c r="L260" s="21"/>
      <c r="M260" s="22" t="s">
        <v>2034</v>
      </c>
      <c r="N260" s="28" t="s">
        <v>2015</v>
      </c>
      <c r="O260" s="28" t="s">
        <v>2016</v>
      </c>
      <c r="P260" s="29">
        <v>1582</v>
      </c>
      <c r="Q260" s="28" t="s">
        <v>2017</v>
      </c>
      <c r="R260" s="31">
        <v>5.3636411581659997</v>
      </c>
      <c r="S260" s="29">
        <v>18961</v>
      </c>
      <c r="T260" s="32">
        <v>294.94888888888897</v>
      </c>
      <c r="U260" s="32">
        <v>0</v>
      </c>
      <c r="V260" s="31">
        <v>5.3636411581659997</v>
      </c>
      <c r="W260" s="35">
        <v>46092</v>
      </c>
      <c r="X260" s="35">
        <v>46092</v>
      </c>
    </row>
    <row r="261" spans="1:24" ht="15.75" thickBot="1" x14ac:dyDescent="0.3">
      <c r="A261" t="str">
        <f t="shared" ref="A261:A324" si="4">TRIM(B261)</f>
        <v>ASYHS61023W21</v>
      </c>
      <c r="B261" s="22" t="s">
        <v>1723</v>
      </c>
      <c r="C261" s="22" t="s">
        <v>2735</v>
      </c>
      <c r="D261" s="22" t="s">
        <v>2736</v>
      </c>
      <c r="E261" s="22" t="s">
        <v>2737</v>
      </c>
      <c r="F261" s="22" t="s">
        <v>2738</v>
      </c>
      <c r="G261" s="28" t="s">
        <v>2012</v>
      </c>
      <c r="H261" s="22" t="s">
        <v>2055</v>
      </c>
      <c r="I261" s="21"/>
      <c r="J261" s="22" t="s">
        <v>261</v>
      </c>
      <c r="K261" s="22" t="s">
        <v>924</v>
      </c>
      <c r="L261" s="21"/>
      <c r="M261" s="22" t="s">
        <v>2034</v>
      </c>
      <c r="N261" s="28" t="s">
        <v>2015</v>
      </c>
      <c r="O261" s="28" t="s">
        <v>2016</v>
      </c>
      <c r="P261" s="29">
        <v>1518</v>
      </c>
      <c r="Q261" s="28" t="s">
        <v>2017</v>
      </c>
      <c r="R261" s="31">
        <v>5.1352793919749997</v>
      </c>
      <c r="S261" s="29">
        <v>19003</v>
      </c>
      <c r="T261" s="32">
        <v>295.602222222222</v>
      </c>
      <c r="U261" s="32">
        <v>0</v>
      </c>
      <c r="V261" s="31">
        <v>5.1352793919749997</v>
      </c>
      <c r="W261" s="35">
        <v>46092</v>
      </c>
      <c r="X261" s="35">
        <v>46092</v>
      </c>
    </row>
    <row r="262" spans="1:24" ht="15.75" thickBot="1" x14ac:dyDescent="0.3">
      <c r="A262" t="str">
        <f t="shared" si="4"/>
        <v>ASYPW20117W13HV</v>
      </c>
      <c r="B262" s="22" t="s">
        <v>1812</v>
      </c>
      <c r="C262" s="22" t="s">
        <v>2152</v>
      </c>
      <c r="D262" s="22" t="s">
        <v>1813</v>
      </c>
      <c r="E262" s="22" t="s">
        <v>2739</v>
      </c>
      <c r="F262" s="22" t="s">
        <v>2740</v>
      </c>
      <c r="G262" s="28" t="s">
        <v>2012</v>
      </c>
      <c r="H262" s="22" t="s">
        <v>2080</v>
      </c>
      <c r="I262" s="21"/>
      <c r="J262" s="22" t="s">
        <v>494</v>
      </c>
      <c r="K262" s="22" t="s">
        <v>924</v>
      </c>
      <c r="L262" s="21"/>
      <c r="M262" s="22" t="s">
        <v>2034</v>
      </c>
      <c r="N262" s="28" t="s">
        <v>2015</v>
      </c>
      <c r="O262" s="28" t="s">
        <v>2016</v>
      </c>
      <c r="P262" s="29">
        <v>1364</v>
      </c>
      <c r="Q262" s="28" t="s">
        <v>2017</v>
      </c>
      <c r="R262" s="31">
        <v>5.0580130529360003</v>
      </c>
      <c r="S262" s="29">
        <v>17336</v>
      </c>
      <c r="T262" s="32">
        <v>269.67111111111097</v>
      </c>
      <c r="U262" s="32">
        <v>0</v>
      </c>
      <c r="V262" s="31">
        <v>5.0580130529360003</v>
      </c>
      <c r="W262" s="35">
        <v>46092</v>
      </c>
      <c r="X262" s="35">
        <v>46092</v>
      </c>
    </row>
    <row r="263" spans="1:24" ht="15.75" thickBot="1" x14ac:dyDescent="0.3">
      <c r="A263" t="str">
        <f t="shared" si="4"/>
        <v>ASYS200B38</v>
      </c>
      <c r="B263" s="22" t="s">
        <v>2741</v>
      </c>
      <c r="C263" s="22" t="s">
        <v>2742</v>
      </c>
      <c r="D263" s="22" t="s">
        <v>2743</v>
      </c>
      <c r="E263" s="21"/>
      <c r="F263" s="22" t="s">
        <v>2030</v>
      </c>
      <c r="G263" s="28" t="s">
        <v>2012</v>
      </c>
      <c r="H263" s="22" t="s">
        <v>2013</v>
      </c>
      <c r="I263" s="21"/>
      <c r="J263" s="22" t="s">
        <v>364</v>
      </c>
      <c r="K263" s="22" t="s">
        <v>924</v>
      </c>
      <c r="L263" s="21"/>
      <c r="M263" s="22" t="s">
        <v>2034</v>
      </c>
      <c r="N263" s="28" t="s">
        <v>2015</v>
      </c>
      <c r="O263" s="28" t="s">
        <v>2016</v>
      </c>
      <c r="P263" s="29">
        <v>2458</v>
      </c>
      <c r="Q263" s="28" t="s">
        <v>2017</v>
      </c>
      <c r="R263" s="31">
        <v>5.9352546938459998</v>
      </c>
      <c r="S263" s="29">
        <v>26623</v>
      </c>
      <c r="T263" s="32">
        <v>414.13555555555598</v>
      </c>
      <c r="U263" s="32">
        <v>0</v>
      </c>
      <c r="V263" s="31">
        <v>5.9352546938459998</v>
      </c>
      <c r="W263" s="35">
        <v>46092</v>
      </c>
      <c r="X263" s="35">
        <v>46092</v>
      </c>
    </row>
    <row r="264" spans="1:24" ht="15.75" thickBot="1" x14ac:dyDescent="0.3">
      <c r="A264" t="str">
        <f t="shared" si="4"/>
        <v>BLK2611218A</v>
      </c>
      <c r="B264" s="22" t="s">
        <v>2744</v>
      </c>
      <c r="C264" s="21"/>
      <c r="D264" s="22" t="s">
        <v>2745</v>
      </c>
      <c r="E264" s="22" t="s">
        <v>2746</v>
      </c>
      <c r="F264" s="22" t="s">
        <v>2747</v>
      </c>
      <c r="G264" s="28" t="s">
        <v>2012</v>
      </c>
      <c r="H264" s="22" t="s">
        <v>2013</v>
      </c>
      <c r="I264" s="21"/>
      <c r="J264" s="22" t="s">
        <v>261</v>
      </c>
      <c r="K264" s="22" t="s">
        <v>924</v>
      </c>
      <c r="L264" s="21"/>
      <c r="M264" s="22" t="s">
        <v>2130</v>
      </c>
      <c r="N264" s="28" t="s">
        <v>2015</v>
      </c>
      <c r="O264" s="28" t="s">
        <v>2016</v>
      </c>
      <c r="P264" s="29">
        <v>1436</v>
      </c>
      <c r="Q264" s="28" t="s">
        <v>2017</v>
      </c>
      <c r="R264" s="31">
        <v>5.9126552049110002</v>
      </c>
      <c r="S264" s="29">
        <v>15613</v>
      </c>
      <c r="T264" s="32">
        <v>242.86888888888899</v>
      </c>
      <c r="U264" s="32">
        <v>0</v>
      </c>
      <c r="V264" s="31">
        <v>5.9126552049110002</v>
      </c>
      <c r="W264" s="35">
        <v>46092</v>
      </c>
      <c r="X264" s="35">
        <v>46092</v>
      </c>
    </row>
    <row r="265" spans="1:24" ht="15.75" thickBot="1" x14ac:dyDescent="0.3">
      <c r="A265" t="str">
        <f t="shared" si="4"/>
        <v>CON68566221AA</v>
      </c>
      <c r="B265" s="22" t="s">
        <v>1191</v>
      </c>
      <c r="C265" s="22" t="s">
        <v>2748</v>
      </c>
      <c r="D265" s="22" t="s">
        <v>2749</v>
      </c>
      <c r="E265" s="22" t="s">
        <v>2750</v>
      </c>
      <c r="F265" s="22" t="s">
        <v>2255</v>
      </c>
      <c r="G265" s="28" t="s">
        <v>2012</v>
      </c>
      <c r="H265" s="22" t="s">
        <v>2751</v>
      </c>
      <c r="I265" s="21"/>
      <c r="J265" s="22" t="s">
        <v>394</v>
      </c>
      <c r="K265" s="22" t="s">
        <v>924</v>
      </c>
      <c r="L265" s="21"/>
      <c r="M265" s="22" t="s">
        <v>2014</v>
      </c>
      <c r="N265" s="28" t="s">
        <v>2015</v>
      </c>
      <c r="O265" s="28" t="s">
        <v>2016</v>
      </c>
      <c r="P265" s="29">
        <v>9462</v>
      </c>
      <c r="Q265" s="28" t="s">
        <v>2017</v>
      </c>
      <c r="R265" s="31">
        <v>5.9634453781510004</v>
      </c>
      <c r="S265" s="29">
        <v>102000</v>
      </c>
      <c r="T265" s="32">
        <v>1586.6666666666699</v>
      </c>
      <c r="U265" s="32">
        <v>0</v>
      </c>
      <c r="V265" s="31">
        <v>5.9634453781510004</v>
      </c>
      <c r="W265" s="35">
        <v>46092</v>
      </c>
      <c r="X265" s="35">
        <v>46092</v>
      </c>
    </row>
    <row r="266" spans="1:24" ht="15.75" thickBot="1" x14ac:dyDescent="0.3">
      <c r="A266" t="str">
        <f t="shared" si="4"/>
        <v>DET2640342A</v>
      </c>
      <c r="B266" s="22" t="s">
        <v>1532</v>
      </c>
      <c r="C266" s="22" t="s">
        <v>2752</v>
      </c>
      <c r="D266" s="22" t="s">
        <v>2753</v>
      </c>
      <c r="E266" s="22" t="s">
        <v>2754</v>
      </c>
      <c r="F266" s="22" t="s">
        <v>2755</v>
      </c>
      <c r="G266" s="28" t="s">
        <v>2012</v>
      </c>
      <c r="H266" s="22" t="s">
        <v>2080</v>
      </c>
      <c r="I266" s="21"/>
      <c r="J266" s="22" t="s">
        <v>494</v>
      </c>
      <c r="K266" s="22" t="s">
        <v>924</v>
      </c>
      <c r="L266" s="21"/>
      <c r="M266" s="22" t="s">
        <v>2034</v>
      </c>
      <c r="N266" s="28" t="s">
        <v>2015</v>
      </c>
      <c r="O266" s="28" t="s">
        <v>2016</v>
      </c>
      <c r="P266" s="29">
        <v>1637</v>
      </c>
      <c r="Q266" s="28" t="s">
        <v>2017</v>
      </c>
      <c r="R266" s="31">
        <v>5.5804281623560001</v>
      </c>
      <c r="S266" s="29">
        <v>18858</v>
      </c>
      <c r="T266" s="32">
        <v>293.34666666666698</v>
      </c>
      <c r="U266" s="32">
        <v>0</v>
      </c>
      <c r="V266" s="31">
        <v>5.5804281623560001</v>
      </c>
      <c r="W266" s="35">
        <v>46092</v>
      </c>
      <c r="X266" s="35">
        <v>46092</v>
      </c>
    </row>
    <row r="267" spans="1:24" ht="15.75" thickBot="1" x14ac:dyDescent="0.3">
      <c r="A267" t="str">
        <f t="shared" si="4"/>
        <v>DET26605A40A</v>
      </c>
      <c r="B267" s="22" t="s">
        <v>1430</v>
      </c>
      <c r="C267" s="22" t="s">
        <v>2161</v>
      </c>
      <c r="D267" s="22" t="s">
        <v>2756</v>
      </c>
      <c r="E267" s="22" t="s">
        <v>2757</v>
      </c>
      <c r="F267" s="22" t="s">
        <v>2758</v>
      </c>
      <c r="G267" s="28" t="s">
        <v>2012</v>
      </c>
      <c r="H267" s="22" t="s">
        <v>2080</v>
      </c>
      <c r="I267" s="21"/>
      <c r="J267" s="22" t="s">
        <v>494</v>
      </c>
      <c r="K267" s="22" t="s">
        <v>924</v>
      </c>
      <c r="L267" s="21"/>
      <c r="M267" s="22" t="s">
        <v>2034</v>
      </c>
      <c r="N267" s="28" t="s">
        <v>2015</v>
      </c>
      <c r="O267" s="28" t="s">
        <v>2016</v>
      </c>
      <c r="P267" s="29">
        <v>1517</v>
      </c>
      <c r="Q267" s="28" t="s">
        <v>2017</v>
      </c>
      <c r="R267" s="31">
        <v>5.7776780953499998</v>
      </c>
      <c r="S267" s="29">
        <v>16879</v>
      </c>
      <c r="T267" s="32">
        <v>262.56222222222198</v>
      </c>
      <c r="U267" s="32">
        <v>0</v>
      </c>
      <c r="V267" s="31">
        <v>5.7776780953499998</v>
      </c>
      <c r="W267" s="35">
        <v>46092</v>
      </c>
      <c r="X267" s="35">
        <v>46092</v>
      </c>
    </row>
    <row r="268" spans="1:24" ht="15.75" thickBot="1" x14ac:dyDescent="0.3">
      <c r="A268" t="str">
        <f t="shared" si="4"/>
        <v>DET26613E43A</v>
      </c>
      <c r="B268" s="22" t="s">
        <v>1363</v>
      </c>
      <c r="C268" s="21"/>
      <c r="D268" s="22" t="s">
        <v>1362</v>
      </c>
      <c r="E268" s="22" t="s">
        <v>2759</v>
      </c>
      <c r="F268" s="22" t="s">
        <v>2760</v>
      </c>
      <c r="G268" s="28" t="s">
        <v>2012</v>
      </c>
      <c r="H268" s="22" t="s">
        <v>2080</v>
      </c>
      <c r="I268" s="21"/>
      <c r="J268" s="22" t="s">
        <v>494</v>
      </c>
      <c r="K268" s="22" t="s">
        <v>924</v>
      </c>
      <c r="L268" s="21"/>
      <c r="M268" s="22" t="s">
        <v>2034</v>
      </c>
      <c r="N268" s="28" t="s">
        <v>2015</v>
      </c>
      <c r="O268" s="28" t="s">
        <v>2016</v>
      </c>
      <c r="P268" s="29">
        <v>1476</v>
      </c>
      <c r="Q268" s="28" t="s">
        <v>2017</v>
      </c>
      <c r="R268" s="31">
        <v>5.4115269924550002</v>
      </c>
      <c r="S268" s="29">
        <v>17534</v>
      </c>
      <c r="T268" s="32">
        <v>272.75111111111102</v>
      </c>
      <c r="U268" s="32">
        <v>0</v>
      </c>
      <c r="V268" s="31">
        <v>5.4115269924550002</v>
      </c>
      <c r="W268" s="35">
        <v>46092</v>
      </c>
      <c r="X268" s="35">
        <v>46092</v>
      </c>
    </row>
    <row r="269" spans="1:24" ht="15.75" thickBot="1" x14ac:dyDescent="0.3">
      <c r="A269" t="str">
        <f t="shared" si="4"/>
        <v>DET2K005OS</v>
      </c>
      <c r="B269" s="22" t="s">
        <v>1585</v>
      </c>
      <c r="C269" s="21"/>
      <c r="D269" s="22" t="s">
        <v>2219</v>
      </c>
      <c r="E269" s="21"/>
      <c r="F269" s="22" t="s">
        <v>2165</v>
      </c>
      <c r="G269" s="28" t="s">
        <v>2012</v>
      </c>
      <c r="H269" s="22" t="s">
        <v>2013</v>
      </c>
      <c r="I269" s="21"/>
      <c r="J269" s="22" t="s">
        <v>494</v>
      </c>
      <c r="K269" s="22" t="s">
        <v>924</v>
      </c>
      <c r="L269" s="21"/>
      <c r="M269" s="22" t="s">
        <v>2034</v>
      </c>
      <c r="N269" s="28" t="s">
        <v>2015</v>
      </c>
      <c r="O269" s="28" t="s">
        <v>2016</v>
      </c>
      <c r="P269" s="29">
        <v>4467</v>
      </c>
      <c r="Q269" s="28" t="s">
        <v>2017</v>
      </c>
      <c r="R269" s="31">
        <v>5.2525888627289996</v>
      </c>
      <c r="S269" s="29">
        <v>54671</v>
      </c>
      <c r="T269" s="32">
        <v>850.43777777777802</v>
      </c>
      <c r="U269" s="32">
        <v>0</v>
      </c>
      <c r="V269" s="31">
        <v>5.2525888627289996</v>
      </c>
      <c r="W269" s="35">
        <v>46092</v>
      </c>
      <c r="X269" s="35">
        <v>46092</v>
      </c>
    </row>
    <row r="270" spans="1:24" ht="15.75" thickBot="1" x14ac:dyDescent="0.3">
      <c r="A270" t="str">
        <f t="shared" si="4"/>
        <v>DET3D072OS</v>
      </c>
      <c r="B270" s="22" t="s">
        <v>1439</v>
      </c>
      <c r="C270" s="22" t="s">
        <v>2761</v>
      </c>
      <c r="D270" s="22" t="s">
        <v>1440</v>
      </c>
      <c r="E270" s="21"/>
      <c r="F270" s="22" t="s">
        <v>2762</v>
      </c>
      <c r="G270" s="28" t="s">
        <v>2012</v>
      </c>
      <c r="H270" s="22" t="s">
        <v>2055</v>
      </c>
      <c r="I270" s="21"/>
      <c r="J270" s="22" t="s">
        <v>364</v>
      </c>
      <c r="K270" s="22" t="s">
        <v>924</v>
      </c>
      <c r="L270" s="21"/>
      <c r="M270" s="22" t="s">
        <v>2034</v>
      </c>
      <c r="N270" s="28" t="s">
        <v>2015</v>
      </c>
      <c r="O270" s="28" t="s">
        <v>2016</v>
      </c>
      <c r="P270" s="29">
        <v>795</v>
      </c>
      <c r="Q270" s="28" t="s">
        <v>2017</v>
      </c>
      <c r="R270" s="31">
        <v>5.9544614770060003</v>
      </c>
      <c r="S270" s="29">
        <v>8583</v>
      </c>
      <c r="T270" s="32">
        <v>133.51333333333301</v>
      </c>
      <c r="U270" s="32">
        <v>0</v>
      </c>
      <c r="V270" s="31">
        <v>5.9544614770060003</v>
      </c>
      <c r="W270" s="35">
        <v>46092</v>
      </c>
      <c r="X270" s="35">
        <v>46092</v>
      </c>
    </row>
    <row r="271" spans="1:24" ht="15.75" thickBot="1" x14ac:dyDescent="0.3">
      <c r="A271" t="str">
        <f t="shared" si="4"/>
        <v>DET58111K34</v>
      </c>
      <c r="B271" s="22" t="s">
        <v>1586</v>
      </c>
      <c r="C271" s="22" t="s">
        <v>2622</v>
      </c>
      <c r="D271" s="22" t="s">
        <v>2623</v>
      </c>
      <c r="E271" s="21"/>
      <c r="F271" s="22" t="s">
        <v>2763</v>
      </c>
      <c r="G271" s="28" t="s">
        <v>2012</v>
      </c>
      <c r="H271" s="22" t="s">
        <v>2055</v>
      </c>
      <c r="I271" s="21"/>
      <c r="J271" s="22" t="s">
        <v>364</v>
      </c>
      <c r="K271" s="22" t="s">
        <v>924</v>
      </c>
      <c r="L271" s="21"/>
      <c r="M271" s="22" t="s">
        <v>2034</v>
      </c>
      <c r="N271" s="28" t="s">
        <v>2015</v>
      </c>
      <c r="O271" s="28" t="s">
        <v>2016</v>
      </c>
      <c r="P271" s="29">
        <v>5100</v>
      </c>
      <c r="Q271" s="28" t="s">
        <v>2017</v>
      </c>
      <c r="R271" s="31">
        <v>5.5195734415919997</v>
      </c>
      <c r="S271" s="29">
        <v>59399</v>
      </c>
      <c r="T271" s="32">
        <v>923.98444444444397</v>
      </c>
      <c r="U271" s="32">
        <v>0</v>
      </c>
      <c r="V271" s="31">
        <v>5.5195734415919997</v>
      </c>
      <c r="W271" s="35">
        <v>46092</v>
      </c>
      <c r="X271" s="35">
        <v>46092</v>
      </c>
    </row>
    <row r="272" spans="1:24" ht="15.75" thickBot="1" x14ac:dyDescent="0.3">
      <c r="A272" t="str">
        <f t="shared" si="4"/>
        <v>DET850109BU0A07N00R</v>
      </c>
      <c r="B272" s="22" t="s">
        <v>1084</v>
      </c>
      <c r="C272" s="22" t="s">
        <v>2764</v>
      </c>
      <c r="D272" s="22" t="s">
        <v>2765</v>
      </c>
      <c r="E272" s="21"/>
      <c r="F272" s="22" t="s">
        <v>2766</v>
      </c>
      <c r="G272" s="28" t="s">
        <v>2012</v>
      </c>
      <c r="H272" s="22" t="s">
        <v>2632</v>
      </c>
      <c r="I272" s="21"/>
      <c r="J272" s="22" t="s">
        <v>1086</v>
      </c>
      <c r="K272" s="22" t="s">
        <v>924</v>
      </c>
      <c r="L272" s="21"/>
      <c r="M272" s="22" t="s">
        <v>2014</v>
      </c>
      <c r="N272" s="28" t="s">
        <v>2015</v>
      </c>
      <c r="O272" s="28" t="s">
        <v>2016</v>
      </c>
      <c r="P272" s="29">
        <v>3169</v>
      </c>
      <c r="Q272" s="28" t="s">
        <v>2017</v>
      </c>
      <c r="R272" s="31">
        <v>5.9918067226889997</v>
      </c>
      <c r="S272" s="29">
        <v>34000</v>
      </c>
      <c r="T272" s="32">
        <v>528.88888888888903</v>
      </c>
      <c r="U272" s="32">
        <v>0</v>
      </c>
      <c r="V272" s="31">
        <v>5.9918067226889997</v>
      </c>
      <c r="W272" s="35">
        <v>46092</v>
      </c>
      <c r="X272" s="35">
        <v>46092</v>
      </c>
    </row>
    <row r="273" spans="1:24" ht="15.75" thickBot="1" x14ac:dyDescent="0.3">
      <c r="A273" t="str">
        <f t="shared" si="4"/>
        <v>DETE200B63A</v>
      </c>
      <c r="B273" s="22" t="s">
        <v>1135</v>
      </c>
      <c r="C273" s="22" t="s">
        <v>2073</v>
      </c>
      <c r="D273" s="22" t="s">
        <v>2767</v>
      </c>
      <c r="E273" s="21"/>
      <c r="F273" s="22" t="s">
        <v>2768</v>
      </c>
      <c r="G273" s="28" t="s">
        <v>2012</v>
      </c>
      <c r="H273" s="22" t="s">
        <v>2080</v>
      </c>
      <c r="I273" s="21"/>
      <c r="J273" s="22" t="s">
        <v>261</v>
      </c>
      <c r="K273" s="22" t="s">
        <v>924</v>
      </c>
      <c r="L273" s="21"/>
      <c r="M273" s="22" t="s">
        <v>2034</v>
      </c>
      <c r="N273" s="28" t="s">
        <v>2015</v>
      </c>
      <c r="O273" s="28" t="s">
        <v>2016</v>
      </c>
      <c r="P273" s="29">
        <v>1473</v>
      </c>
      <c r="Q273" s="28" t="s">
        <v>2017</v>
      </c>
      <c r="R273" s="31">
        <v>5.621422210914</v>
      </c>
      <c r="S273" s="29">
        <v>16845</v>
      </c>
      <c r="T273" s="32">
        <v>262.03333333333302</v>
      </c>
      <c r="U273" s="32">
        <v>0</v>
      </c>
      <c r="V273" s="31">
        <v>5.621422210914</v>
      </c>
      <c r="W273" s="35">
        <v>46092</v>
      </c>
      <c r="X273" s="35">
        <v>46092</v>
      </c>
    </row>
    <row r="274" spans="1:24" ht="15.75" thickBot="1" x14ac:dyDescent="0.3">
      <c r="A274" t="str">
        <f t="shared" si="4"/>
        <v>DETE513D21A</v>
      </c>
      <c r="B274" s="22" t="s">
        <v>1373</v>
      </c>
      <c r="C274" s="22" t="s">
        <v>2769</v>
      </c>
      <c r="D274" s="22" t="s">
        <v>2770</v>
      </c>
      <c r="E274" s="21"/>
      <c r="F274" s="22" t="s">
        <v>2771</v>
      </c>
      <c r="G274" s="28" t="s">
        <v>2012</v>
      </c>
      <c r="H274" s="22" t="s">
        <v>2013</v>
      </c>
      <c r="I274" s="21"/>
      <c r="J274" s="22" t="s">
        <v>261</v>
      </c>
      <c r="K274" s="22" t="s">
        <v>924</v>
      </c>
      <c r="L274" s="21"/>
      <c r="M274" s="22" t="s">
        <v>2034</v>
      </c>
      <c r="N274" s="28" t="s">
        <v>2015</v>
      </c>
      <c r="O274" s="28" t="s">
        <v>2016</v>
      </c>
      <c r="P274" s="29">
        <v>1279</v>
      </c>
      <c r="Q274" s="28" t="s">
        <v>2017</v>
      </c>
      <c r="R274" s="31">
        <v>5.3241875653320001</v>
      </c>
      <c r="S274" s="29">
        <v>15443</v>
      </c>
      <c r="T274" s="32">
        <v>240.224444444444</v>
      </c>
      <c r="U274" s="32">
        <v>0</v>
      </c>
      <c r="V274" s="31">
        <v>5.3241875653320001</v>
      </c>
      <c r="W274" s="35">
        <v>46092</v>
      </c>
      <c r="X274" s="35">
        <v>46092</v>
      </c>
    </row>
    <row r="275" spans="1:24" ht="15.75" thickBot="1" x14ac:dyDescent="0.3">
      <c r="A275" t="str">
        <f t="shared" si="4"/>
        <v>KB3B 26403E88 AA</v>
      </c>
      <c r="B275" s="22" t="s">
        <v>1845</v>
      </c>
      <c r="C275" s="22" t="s">
        <v>2772</v>
      </c>
      <c r="D275" s="22" t="s">
        <v>2773</v>
      </c>
      <c r="E275" s="21"/>
      <c r="F275" s="22" t="s">
        <v>2030</v>
      </c>
      <c r="G275" s="28" t="s">
        <v>2012</v>
      </c>
      <c r="H275" s="22" t="s">
        <v>2080</v>
      </c>
      <c r="I275" s="21"/>
      <c r="J275" s="22" t="s">
        <v>494</v>
      </c>
      <c r="K275" s="22" t="s">
        <v>924</v>
      </c>
      <c r="L275" s="21"/>
      <c r="M275" s="22" t="s">
        <v>2014</v>
      </c>
      <c r="N275" s="28" t="s">
        <v>2015</v>
      </c>
      <c r="O275" s="28" t="s">
        <v>2016</v>
      </c>
      <c r="P275" s="29">
        <v>1487</v>
      </c>
      <c r="Q275" s="28" t="s">
        <v>2017</v>
      </c>
      <c r="R275" s="31">
        <v>5.0546138506159997</v>
      </c>
      <c r="S275" s="29">
        <v>18912</v>
      </c>
      <c r="T275" s="32">
        <v>294.18666666666701</v>
      </c>
      <c r="U275" s="32">
        <v>0</v>
      </c>
      <c r="V275" s="31">
        <v>5.0546138506159997</v>
      </c>
      <c r="W275" s="35">
        <v>46092</v>
      </c>
      <c r="X275" s="35">
        <v>46092</v>
      </c>
    </row>
    <row r="276" spans="1:24" ht="15.75" thickBot="1" x14ac:dyDescent="0.3">
      <c r="A276" t="str">
        <f t="shared" si="4"/>
        <v>M2DB 17A793 AD</v>
      </c>
      <c r="B276" s="22" t="s">
        <v>738</v>
      </c>
      <c r="C276" s="22" t="s">
        <v>2774</v>
      </c>
      <c r="D276" s="22" t="s">
        <v>2775</v>
      </c>
      <c r="E276" s="21"/>
      <c r="F276" s="22" t="s">
        <v>2776</v>
      </c>
      <c r="G276" s="28" t="s">
        <v>2012</v>
      </c>
      <c r="H276" s="22" t="s">
        <v>2080</v>
      </c>
      <c r="I276" s="21"/>
      <c r="J276" s="22" t="s">
        <v>364</v>
      </c>
      <c r="K276" s="22" t="s">
        <v>262</v>
      </c>
      <c r="L276" s="21"/>
      <c r="M276" s="22" t="s">
        <v>2014</v>
      </c>
      <c r="N276" s="28" t="s">
        <v>2015</v>
      </c>
      <c r="O276" s="28" t="s">
        <v>2016</v>
      </c>
      <c r="P276" s="29">
        <v>3264</v>
      </c>
      <c r="Q276" s="28" t="s">
        <v>2017</v>
      </c>
      <c r="R276" s="31">
        <v>5.1750745185360003</v>
      </c>
      <c r="S276" s="29">
        <v>40546</v>
      </c>
      <c r="T276" s="32">
        <v>630.71555555555597</v>
      </c>
      <c r="U276" s="32">
        <v>0</v>
      </c>
      <c r="V276" s="31">
        <v>5.1750745185360003</v>
      </c>
      <c r="W276" s="35">
        <v>46092</v>
      </c>
      <c r="X276" s="35">
        <v>46092</v>
      </c>
    </row>
    <row r="277" spans="1:24" ht="15.75" thickBot="1" x14ac:dyDescent="0.3">
      <c r="A277" t="str">
        <f t="shared" si="4"/>
        <v>M2DB S502A74 AD</v>
      </c>
      <c r="B277" s="22" t="s">
        <v>1610</v>
      </c>
      <c r="C277" s="22" t="s">
        <v>2777</v>
      </c>
      <c r="D277" s="22" t="s">
        <v>1611</v>
      </c>
      <c r="E277" s="21"/>
      <c r="F277" s="22" t="s">
        <v>2139</v>
      </c>
      <c r="G277" s="28" t="s">
        <v>2012</v>
      </c>
      <c r="H277" s="22" t="s">
        <v>2080</v>
      </c>
      <c r="I277" s="21"/>
      <c r="J277" s="22" t="s">
        <v>364</v>
      </c>
      <c r="K277" s="22" t="s">
        <v>924</v>
      </c>
      <c r="L277" s="21"/>
      <c r="M277" s="22" t="s">
        <v>2014</v>
      </c>
      <c r="N277" s="28" t="s">
        <v>2015</v>
      </c>
      <c r="O277" s="28" t="s">
        <v>2016</v>
      </c>
      <c r="P277" s="29">
        <v>3500</v>
      </c>
      <c r="Q277" s="28" t="s">
        <v>2017</v>
      </c>
      <c r="R277" s="31">
        <v>5.4479418886189999</v>
      </c>
      <c r="S277" s="29">
        <v>41300</v>
      </c>
      <c r="T277" s="32">
        <v>642.444444444444</v>
      </c>
      <c r="U277" s="32">
        <v>0</v>
      </c>
      <c r="V277" s="31">
        <v>5.4479418886189999</v>
      </c>
      <c r="W277" s="35">
        <v>46092</v>
      </c>
      <c r="X277" s="35">
        <v>46092</v>
      </c>
    </row>
    <row r="278" spans="1:24" ht="15.75" thickBot="1" x14ac:dyDescent="0.3">
      <c r="A278" t="str">
        <f t="shared" si="4"/>
        <v>M2DB S517C86 AB</v>
      </c>
      <c r="B278" s="22" t="s">
        <v>1806</v>
      </c>
      <c r="C278" s="22" t="s">
        <v>2778</v>
      </c>
      <c r="D278" s="22" t="s">
        <v>2779</v>
      </c>
      <c r="E278" s="21"/>
      <c r="F278" s="22" t="s">
        <v>2780</v>
      </c>
      <c r="G278" s="28" t="s">
        <v>2012</v>
      </c>
      <c r="H278" s="22" t="s">
        <v>2781</v>
      </c>
      <c r="I278" s="21"/>
      <c r="J278" s="22" t="s">
        <v>364</v>
      </c>
      <c r="K278" s="22" t="s">
        <v>924</v>
      </c>
      <c r="L278" s="21"/>
      <c r="M278" s="22" t="s">
        <v>2014</v>
      </c>
      <c r="N278" s="28" t="s">
        <v>2015</v>
      </c>
      <c r="O278" s="28" t="s">
        <v>2016</v>
      </c>
      <c r="P278" s="29">
        <v>6443</v>
      </c>
      <c r="Q278" s="28" t="s">
        <v>2017</v>
      </c>
      <c r="R278" s="31">
        <v>5.1888911359229999</v>
      </c>
      <c r="S278" s="29">
        <v>79823</v>
      </c>
      <c r="T278" s="32">
        <v>1241.6911111111101</v>
      </c>
      <c r="U278" s="32">
        <v>0</v>
      </c>
      <c r="V278" s="31">
        <v>5.1888911359229999</v>
      </c>
      <c r="W278" s="35">
        <v>46092</v>
      </c>
      <c r="X278" s="35">
        <v>46092</v>
      </c>
    </row>
    <row r="279" spans="1:24" ht="15.75" thickBot="1" x14ac:dyDescent="0.3">
      <c r="A279" t="str">
        <f t="shared" si="4"/>
        <v>M2DB X200B39 AC</v>
      </c>
      <c r="B279" s="22" t="s">
        <v>1653</v>
      </c>
      <c r="C279" s="22" t="s">
        <v>2782</v>
      </c>
      <c r="D279" s="22" t="s">
        <v>2651</v>
      </c>
      <c r="E279" s="21"/>
      <c r="F279" s="22" t="s">
        <v>2235</v>
      </c>
      <c r="G279" s="28" t="s">
        <v>2012</v>
      </c>
      <c r="H279" s="22" t="s">
        <v>2080</v>
      </c>
      <c r="I279" s="21"/>
      <c r="J279" s="22" t="s">
        <v>364</v>
      </c>
      <c r="K279" s="22" t="s">
        <v>924</v>
      </c>
      <c r="L279" s="21"/>
      <c r="M279" s="22" t="s">
        <v>2014</v>
      </c>
      <c r="N279" s="28" t="s">
        <v>2015</v>
      </c>
      <c r="O279" s="28" t="s">
        <v>2016</v>
      </c>
      <c r="P279" s="29">
        <v>1081</v>
      </c>
      <c r="Q279" s="28" t="s">
        <v>2017</v>
      </c>
      <c r="R279" s="31">
        <v>5.0932906143979997</v>
      </c>
      <c r="S279" s="29">
        <v>13644</v>
      </c>
      <c r="T279" s="32">
        <v>212.24</v>
      </c>
      <c r="U279" s="32">
        <v>0</v>
      </c>
      <c r="V279" s="31">
        <v>5.0932906143979997</v>
      </c>
      <c r="W279" s="35">
        <v>46092</v>
      </c>
      <c r="X279" s="35">
        <v>46092</v>
      </c>
    </row>
    <row r="280" spans="1:24" ht="15.75" thickBot="1" x14ac:dyDescent="0.3">
      <c r="A280" t="str">
        <f t="shared" si="4"/>
        <v>MB3B 10718 CC</v>
      </c>
      <c r="B280" s="22" t="s">
        <v>935</v>
      </c>
      <c r="C280" s="22" t="s">
        <v>2783</v>
      </c>
      <c r="D280" s="22" t="s">
        <v>936</v>
      </c>
      <c r="E280" s="21"/>
      <c r="F280" s="22" t="s">
        <v>2030</v>
      </c>
      <c r="G280" s="28" t="s">
        <v>2012</v>
      </c>
      <c r="H280" s="22" t="s">
        <v>2055</v>
      </c>
      <c r="I280" s="21"/>
      <c r="J280" s="22" t="s">
        <v>261</v>
      </c>
      <c r="K280" s="22" t="s">
        <v>924</v>
      </c>
      <c r="L280" s="21"/>
      <c r="M280" s="22" t="s">
        <v>2014</v>
      </c>
      <c r="N280" s="28" t="s">
        <v>2015</v>
      </c>
      <c r="O280" s="28" t="s">
        <v>2016</v>
      </c>
      <c r="P280" s="29">
        <v>1395</v>
      </c>
      <c r="Q280" s="28" t="s">
        <v>2017</v>
      </c>
      <c r="R280" s="31">
        <v>5.1303530565540001</v>
      </c>
      <c r="S280" s="29">
        <v>17480</v>
      </c>
      <c r="T280" s="32">
        <v>271.91111111111098</v>
      </c>
      <c r="U280" s="32">
        <v>0</v>
      </c>
      <c r="V280" s="31">
        <v>5.1303530565540001</v>
      </c>
      <c r="W280" s="35">
        <v>46092</v>
      </c>
      <c r="X280" s="35">
        <v>46092</v>
      </c>
    </row>
    <row r="281" spans="1:24" ht="15.75" thickBot="1" x14ac:dyDescent="0.3">
      <c r="A281" t="str">
        <f t="shared" si="4"/>
        <v>MB3B 5801710 AA</v>
      </c>
      <c r="B281" s="22" t="s">
        <v>1807</v>
      </c>
      <c r="C281" s="22" t="s">
        <v>2784</v>
      </c>
      <c r="D281" s="22" t="s">
        <v>2785</v>
      </c>
      <c r="E281" s="21"/>
      <c r="F281" s="22" t="s">
        <v>2786</v>
      </c>
      <c r="G281" s="28" t="s">
        <v>2012</v>
      </c>
      <c r="H281" s="22" t="s">
        <v>2080</v>
      </c>
      <c r="I281" s="21"/>
      <c r="J281" s="22" t="s">
        <v>364</v>
      </c>
      <c r="K281" s="22" t="s">
        <v>924</v>
      </c>
      <c r="L281" s="21"/>
      <c r="M281" s="22" t="s">
        <v>2014</v>
      </c>
      <c r="N281" s="28" t="s">
        <v>2015</v>
      </c>
      <c r="O281" s="28" t="s">
        <v>2016</v>
      </c>
      <c r="P281" s="29">
        <v>3712</v>
      </c>
      <c r="Q281" s="28" t="s">
        <v>2017</v>
      </c>
      <c r="R281" s="31">
        <v>5.8230495712190002</v>
      </c>
      <c r="S281" s="29">
        <v>40980</v>
      </c>
      <c r="T281" s="32">
        <v>637.46666666666704</v>
      </c>
      <c r="U281" s="32">
        <v>0</v>
      </c>
      <c r="V281" s="31">
        <v>5.8230495712190002</v>
      </c>
      <c r="W281" s="35">
        <v>46092</v>
      </c>
      <c r="X281" s="35">
        <v>46092</v>
      </c>
    </row>
    <row r="282" spans="1:24" ht="15.75" thickBot="1" x14ac:dyDescent="0.3">
      <c r="A282" t="str">
        <f t="shared" si="4"/>
        <v>MB3C 5F147 RB</v>
      </c>
      <c r="B282" s="22" t="s">
        <v>943</v>
      </c>
      <c r="C282" s="22" t="s">
        <v>2787</v>
      </c>
      <c r="D282" s="22" t="s">
        <v>2788</v>
      </c>
      <c r="E282" s="21"/>
      <c r="F282" s="22" t="s">
        <v>2789</v>
      </c>
      <c r="G282" s="28" t="s">
        <v>2012</v>
      </c>
      <c r="H282" s="22" t="s">
        <v>2080</v>
      </c>
      <c r="I282" s="21"/>
      <c r="J282" s="22" t="s">
        <v>364</v>
      </c>
      <c r="K282" s="22" t="s">
        <v>924</v>
      </c>
      <c r="L282" s="21"/>
      <c r="M282" s="22" t="s">
        <v>2014</v>
      </c>
      <c r="N282" s="28" t="s">
        <v>2015</v>
      </c>
      <c r="O282" s="28" t="s">
        <v>2016</v>
      </c>
      <c r="P282" s="29">
        <v>3600</v>
      </c>
      <c r="Q282" s="28" t="s">
        <v>2017</v>
      </c>
      <c r="R282" s="31">
        <v>5.4479418886189999</v>
      </c>
      <c r="S282" s="29">
        <v>42480</v>
      </c>
      <c r="T282" s="32">
        <v>660.8</v>
      </c>
      <c r="U282" s="32">
        <v>0</v>
      </c>
      <c r="V282" s="31">
        <v>5.4479418886189999</v>
      </c>
      <c r="W282" s="35">
        <v>46092</v>
      </c>
      <c r="X282" s="35">
        <v>46092</v>
      </c>
    </row>
    <row r="283" spans="1:24" ht="15.75" thickBot="1" x14ac:dyDescent="0.3">
      <c r="A283" t="str">
        <f t="shared" si="4"/>
        <v>MLD17130017AB</v>
      </c>
      <c r="B283" s="22" t="s">
        <v>814</v>
      </c>
      <c r="C283" s="22" t="s">
        <v>2790</v>
      </c>
      <c r="D283" s="22" t="s">
        <v>2791</v>
      </c>
      <c r="E283" s="22" t="s">
        <v>2792</v>
      </c>
      <c r="F283" s="22" t="s">
        <v>2793</v>
      </c>
      <c r="G283" s="28" t="s">
        <v>2012</v>
      </c>
      <c r="H283" s="22" t="s">
        <v>2794</v>
      </c>
      <c r="I283" s="21"/>
      <c r="J283" s="22" t="s">
        <v>494</v>
      </c>
      <c r="K283" s="22" t="s">
        <v>262</v>
      </c>
      <c r="L283" s="21"/>
      <c r="M283" s="22" t="s">
        <v>2014</v>
      </c>
      <c r="N283" s="28" t="s">
        <v>2015</v>
      </c>
      <c r="O283" s="28" t="s">
        <v>2016</v>
      </c>
      <c r="P283" s="29">
        <v>46</v>
      </c>
      <c r="Q283" s="28" t="s">
        <v>2017</v>
      </c>
      <c r="R283" s="31">
        <v>5.6541928434850002</v>
      </c>
      <c r="S283" s="29">
        <v>523</v>
      </c>
      <c r="T283" s="32">
        <v>8.1355555555549994</v>
      </c>
      <c r="U283" s="32">
        <v>0</v>
      </c>
      <c r="V283" s="31">
        <v>5.6541928434850002</v>
      </c>
      <c r="W283" s="35">
        <v>46092</v>
      </c>
      <c r="X283" s="35">
        <v>46092</v>
      </c>
    </row>
    <row r="284" spans="1:24" ht="15.75" thickBot="1" x14ac:dyDescent="0.3">
      <c r="A284" t="str">
        <f t="shared" si="4"/>
        <v>MLDBEI36353</v>
      </c>
      <c r="B284" s="22" t="s">
        <v>818</v>
      </c>
      <c r="C284" s="21"/>
      <c r="D284" s="22" t="s">
        <v>2795</v>
      </c>
      <c r="E284" s="21"/>
      <c r="F284" s="22" t="s">
        <v>2330</v>
      </c>
      <c r="G284" s="28" t="s">
        <v>2012</v>
      </c>
      <c r="H284" s="22" t="s">
        <v>2013</v>
      </c>
      <c r="I284" s="21"/>
      <c r="J284" s="22" t="s">
        <v>404</v>
      </c>
      <c r="K284" s="22" t="s">
        <v>262</v>
      </c>
      <c r="L284" s="21"/>
      <c r="M284" s="22" t="s">
        <v>2034</v>
      </c>
      <c r="N284" s="28" t="s">
        <v>2015</v>
      </c>
      <c r="O284" s="28" t="s">
        <v>2016</v>
      </c>
      <c r="P284" s="29">
        <v>65</v>
      </c>
      <c r="Q284" s="28" t="s">
        <v>2017</v>
      </c>
      <c r="R284" s="31">
        <v>5.3434417245150003</v>
      </c>
      <c r="S284" s="29">
        <v>782</v>
      </c>
      <c r="T284" s="32">
        <v>12.164444444443999</v>
      </c>
      <c r="U284" s="32">
        <v>0</v>
      </c>
      <c r="V284" s="31">
        <v>5.3434417245150003</v>
      </c>
      <c r="W284" s="35">
        <v>46092</v>
      </c>
      <c r="X284" s="35">
        <v>46092</v>
      </c>
    </row>
    <row r="285" spans="1:24" ht="15.75" thickBot="1" x14ac:dyDescent="0.3">
      <c r="A285" t="str">
        <f t="shared" si="4"/>
        <v>MLDE060B00</v>
      </c>
      <c r="B285" s="22" t="s">
        <v>829</v>
      </c>
      <c r="C285" s="22" t="s">
        <v>2796</v>
      </c>
      <c r="D285" s="22" t="s">
        <v>2797</v>
      </c>
      <c r="E285" s="22" t="s">
        <v>2798</v>
      </c>
      <c r="F285" s="22" t="s">
        <v>2799</v>
      </c>
      <c r="G285" s="28" t="s">
        <v>2012</v>
      </c>
      <c r="H285" s="22" t="s">
        <v>2037</v>
      </c>
      <c r="I285" s="21"/>
      <c r="J285" s="22" t="s">
        <v>261</v>
      </c>
      <c r="K285" s="22" t="s">
        <v>262</v>
      </c>
      <c r="L285" s="21"/>
      <c r="M285" s="22" t="s">
        <v>2034</v>
      </c>
      <c r="N285" s="28" t="s">
        <v>2015</v>
      </c>
      <c r="O285" s="28" t="s">
        <v>2016</v>
      </c>
      <c r="P285" s="29">
        <v>1590</v>
      </c>
      <c r="Q285" s="28" t="s">
        <v>2017</v>
      </c>
      <c r="R285" s="31">
        <v>5.720201786014</v>
      </c>
      <c r="S285" s="29">
        <v>17869</v>
      </c>
      <c r="T285" s="32">
        <v>277.96222222222201</v>
      </c>
      <c r="U285" s="32">
        <v>0</v>
      </c>
      <c r="V285" s="31">
        <v>5.720201786014</v>
      </c>
      <c r="W285" s="35">
        <v>46092</v>
      </c>
      <c r="X285" s="35">
        <v>46092</v>
      </c>
    </row>
    <row r="286" spans="1:24" ht="15.75" thickBot="1" x14ac:dyDescent="0.3">
      <c r="A286" t="str">
        <f t="shared" si="4"/>
        <v>MLDE23943-B</v>
      </c>
      <c r="B286" s="22" t="s">
        <v>683</v>
      </c>
      <c r="C286" s="22" t="s">
        <v>2800</v>
      </c>
      <c r="D286" s="22" t="s">
        <v>2801</v>
      </c>
      <c r="E286" s="21"/>
      <c r="F286" s="22" t="s">
        <v>2423</v>
      </c>
      <c r="G286" s="28" t="s">
        <v>2012</v>
      </c>
      <c r="H286" s="22" t="s">
        <v>2013</v>
      </c>
      <c r="I286" s="21"/>
      <c r="J286" s="22" t="s">
        <v>261</v>
      </c>
      <c r="K286" s="22" t="s">
        <v>262</v>
      </c>
      <c r="L286" s="21"/>
      <c r="M286" s="22" t="s">
        <v>2034</v>
      </c>
      <c r="N286" s="28" t="s">
        <v>2015</v>
      </c>
      <c r="O286" s="28" t="s">
        <v>2016</v>
      </c>
      <c r="P286" s="29">
        <v>1128</v>
      </c>
      <c r="Q286" s="28" t="s">
        <v>2017</v>
      </c>
      <c r="R286" s="31">
        <v>5.7988233278110002</v>
      </c>
      <c r="S286" s="29">
        <v>12505</v>
      </c>
      <c r="T286" s="32">
        <v>194.52222222222201</v>
      </c>
      <c r="U286" s="32">
        <v>0</v>
      </c>
      <c r="V286" s="31">
        <v>5.7988233278110002</v>
      </c>
      <c r="W286" s="35">
        <v>46092</v>
      </c>
      <c r="X286" s="35">
        <v>46092</v>
      </c>
    </row>
    <row r="287" spans="1:24" ht="15.75" thickBot="1" x14ac:dyDescent="0.3">
      <c r="A287" t="str">
        <f t="shared" si="4"/>
        <v>MLDE266A64APIA01</v>
      </c>
      <c r="B287" s="22" t="s">
        <v>781</v>
      </c>
      <c r="C287" s="22" t="s">
        <v>2802</v>
      </c>
      <c r="D287" s="22" t="s">
        <v>2803</v>
      </c>
      <c r="E287" s="22" t="s">
        <v>2667</v>
      </c>
      <c r="F287" s="22" t="s">
        <v>2668</v>
      </c>
      <c r="G287" s="28" t="s">
        <v>2012</v>
      </c>
      <c r="H287" s="22" t="s">
        <v>2013</v>
      </c>
      <c r="I287" s="21"/>
      <c r="J287" s="22" t="s">
        <v>261</v>
      </c>
      <c r="K287" s="22" t="s">
        <v>262</v>
      </c>
      <c r="L287" s="21"/>
      <c r="M287" s="22" t="s">
        <v>2034</v>
      </c>
      <c r="N287" s="28" t="s">
        <v>2015</v>
      </c>
      <c r="O287" s="28" t="s">
        <v>2016</v>
      </c>
      <c r="P287" s="29">
        <v>1448</v>
      </c>
      <c r="Q287" s="28" t="s">
        <v>2017</v>
      </c>
      <c r="R287" s="31">
        <v>5.2058449910910003</v>
      </c>
      <c r="S287" s="29">
        <v>17881</v>
      </c>
      <c r="T287" s="32">
        <v>278.14888888888902</v>
      </c>
      <c r="U287" s="32">
        <v>0</v>
      </c>
      <c r="V287" s="31">
        <v>5.2058449910910003</v>
      </c>
      <c r="W287" s="35">
        <v>46092</v>
      </c>
      <c r="X287" s="35">
        <v>46092</v>
      </c>
    </row>
    <row r="288" spans="1:24" ht="15.75" thickBot="1" x14ac:dyDescent="0.3">
      <c r="A288" t="str">
        <f t="shared" si="4"/>
        <v>MLDE27406GPIA05</v>
      </c>
      <c r="B288" s="22" t="s">
        <v>586</v>
      </c>
      <c r="C288" s="22" t="s">
        <v>2804</v>
      </c>
      <c r="D288" s="22" t="s">
        <v>2805</v>
      </c>
      <c r="E288" s="22" t="s">
        <v>2290</v>
      </c>
      <c r="F288" s="22" t="s">
        <v>2806</v>
      </c>
      <c r="G288" s="28" t="s">
        <v>2012</v>
      </c>
      <c r="H288" s="22" t="s">
        <v>2013</v>
      </c>
      <c r="I288" s="21"/>
      <c r="J288" s="22" t="s">
        <v>261</v>
      </c>
      <c r="K288" s="22" t="s">
        <v>262</v>
      </c>
      <c r="L288" s="21"/>
      <c r="M288" s="22" t="s">
        <v>2034</v>
      </c>
      <c r="N288" s="28" t="s">
        <v>2015</v>
      </c>
      <c r="O288" s="28" t="s">
        <v>2016</v>
      </c>
      <c r="P288" s="29">
        <v>1254</v>
      </c>
      <c r="Q288" s="28" t="s">
        <v>2017</v>
      </c>
      <c r="R288" s="31">
        <v>5.2640907479610002</v>
      </c>
      <c r="S288" s="29">
        <v>15314</v>
      </c>
      <c r="T288" s="32">
        <v>238.217777777778</v>
      </c>
      <c r="U288" s="32">
        <v>0</v>
      </c>
      <c r="V288" s="31">
        <v>5.2640907479610002</v>
      </c>
      <c r="W288" s="35">
        <v>46092</v>
      </c>
      <c r="X288" s="35">
        <v>46092</v>
      </c>
    </row>
    <row r="289" spans="1:24" ht="15.75" thickBot="1" x14ac:dyDescent="0.3">
      <c r="A289" t="str">
        <f t="shared" si="4"/>
        <v>MLDE27407GPIA05</v>
      </c>
      <c r="B289" s="22" t="s">
        <v>588</v>
      </c>
      <c r="C289" s="22" t="s">
        <v>2807</v>
      </c>
      <c r="D289" s="22" t="s">
        <v>2808</v>
      </c>
      <c r="E289" s="22" t="s">
        <v>2290</v>
      </c>
      <c r="F289" s="22" t="s">
        <v>2806</v>
      </c>
      <c r="G289" s="28" t="s">
        <v>2012</v>
      </c>
      <c r="H289" s="22" t="s">
        <v>2013</v>
      </c>
      <c r="I289" s="21"/>
      <c r="J289" s="22" t="s">
        <v>261</v>
      </c>
      <c r="K289" s="22" t="s">
        <v>262</v>
      </c>
      <c r="L289" s="21"/>
      <c r="M289" s="22" t="s">
        <v>2034</v>
      </c>
      <c r="N289" s="28" t="s">
        <v>2015</v>
      </c>
      <c r="O289" s="28" t="s">
        <v>2016</v>
      </c>
      <c r="P289" s="29">
        <v>1343</v>
      </c>
      <c r="Q289" s="28" t="s">
        <v>2017</v>
      </c>
      <c r="R289" s="31">
        <v>5.7274588221910001</v>
      </c>
      <c r="S289" s="29">
        <v>15074</v>
      </c>
      <c r="T289" s="32">
        <v>234.48444444444399</v>
      </c>
      <c r="U289" s="32">
        <v>0</v>
      </c>
      <c r="V289" s="31">
        <v>5.7274588221910001</v>
      </c>
      <c r="W289" s="35">
        <v>46092</v>
      </c>
      <c r="X289" s="35">
        <v>46092</v>
      </c>
    </row>
    <row r="290" spans="1:24" ht="15.75" thickBot="1" x14ac:dyDescent="0.3">
      <c r="A290" t="str">
        <f t="shared" si="4"/>
        <v>N1WB E03512 DE31NB</v>
      </c>
      <c r="B290" s="22" t="s">
        <v>259</v>
      </c>
      <c r="C290" s="22" t="s">
        <v>2809</v>
      </c>
      <c r="D290" s="22" t="s">
        <v>2810</v>
      </c>
      <c r="E290" s="21"/>
      <c r="F290" s="22" t="s">
        <v>2398</v>
      </c>
      <c r="G290" s="28" t="s">
        <v>2012</v>
      </c>
      <c r="H290" s="22" t="s">
        <v>2055</v>
      </c>
      <c r="I290" s="21"/>
      <c r="J290" s="22" t="s">
        <v>261</v>
      </c>
      <c r="K290" s="22" t="s">
        <v>262</v>
      </c>
      <c r="L290" s="21"/>
      <c r="M290" s="22" t="s">
        <v>2014</v>
      </c>
      <c r="N290" s="28" t="s">
        <v>2015</v>
      </c>
      <c r="O290" s="28" t="s">
        <v>2016</v>
      </c>
      <c r="P290" s="29">
        <v>992</v>
      </c>
      <c r="Q290" s="28" t="s">
        <v>2017</v>
      </c>
      <c r="R290" s="31">
        <v>5.3094187470999996</v>
      </c>
      <c r="S290" s="29">
        <v>12011</v>
      </c>
      <c r="T290" s="32">
        <v>186.837777777778</v>
      </c>
      <c r="U290" s="32">
        <v>0</v>
      </c>
      <c r="V290" s="31">
        <v>5.3094187470999996</v>
      </c>
      <c r="W290" s="35">
        <v>46092</v>
      </c>
      <c r="X290" s="35">
        <v>46092</v>
      </c>
    </row>
    <row r="291" spans="1:24" ht="15.75" thickBot="1" x14ac:dyDescent="0.3">
      <c r="A291" t="str">
        <f t="shared" si="4"/>
        <v>N1WB E03512 EE31NB</v>
      </c>
      <c r="B291" s="22" t="s">
        <v>263</v>
      </c>
      <c r="C291" s="22" t="s">
        <v>2811</v>
      </c>
      <c r="D291" s="22" t="s">
        <v>2812</v>
      </c>
      <c r="E291" s="21"/>
      <c r="F291" s="22" t="s">
        <v>2398</v>
      </c>
      <c r="G291" s="28" t="s">
        <v>2012</v>
      </c>
      <c r="H291" s="22" t="s">
        <v>2055</v>
      </c>
      <c r="I291" s="21"/>
      <c r="J291" s="22" t="s">
        <v>261</v>
      </c>
      <c r="K291" s="22" t="s">
        <v>262</v>
      </c>
      <c r="L291" s="21"/>
      <c r="M291" s="22" t="s">
        <v>2014</v>
      </c>
      <c r="N291" s="28" t="s">
        <v>2015</v>
      </c>
      <c r="O291" s="28" t="s">
        <v>2016</v>
      </c>
      <c r="P291" s="29">
        <v>207</v>
      </c>
      <c r="Q291" s="28" t="s">
        <v>2017</v>
      </c>
      <c r="R291" s="31">
        <v>5.16983016983</v>
      </c>
      <c r="S291" s="29">
        <v>2574</v>
      </c>
      <c r="T291" s="32">
        <v>40.04</v>
      </c>
      <c r="U291" s="32">
        <v>0</v>
      </c>
      <c r="V291" s="31">
        <v>5.16983016983</v>
      </c>
      <c r="W291" s="35">
        <v>46092</v>
      </c>
      <c r="X291" s="35">
        <v>46092</v>
      </c>
    </row>
    <row r="292" spans="1:24" ht="15.75" thickBot="1" x14ac:dyDescent="0.3">
      <c r="A292" t="str">
        <f t="shared" si="4"/>
        <v>N1WB E23943 UF3ZHE</v>
      </c>
      <c r="B292" s="22" t="s">
        <v>987</v>
      </c>
      <c r="C292" s="22" t="s">
        <v>2813</v>
      </c>
      <c r="D292" s="22" t="s">
        <v>72</v>
      </c>
      <c r="E292" s="21"/>
      <c r="F292" s="22" t="s">
        <v>2423</v>
      </c>
      <c r="G292" s="28" t="s">
        <v>2012</v>
      </c>
      <c r="H292" s="22" t="s">
        <v>2055</v>
      </c>
      <c r="I292" s="21"/>
      <c r="J292" s="22" t="s">
        <v>261</v>
      </c>
      <c r="K292" s="22" t="s">
        <v>262</v>
      </c>
      <c r="L292" s="21"/>
      <c r="M292" s="22" t="s">
        <v>2014</v>
      </c>
      <c r="N292" s="28" t="s">
        <v>2015</v>
      </c>
      <c r="O292" s="28" t="s">
        <v>2016</v>
      </c>
      <c r="P292" s="29">
        <v>407</v>
      </c>
      <c r="Q292" s="28" t="s">
        <v>2017</v>
      </c>
      <c r="R292" s="31">
        <v>5.3703377902879996</v>
      </c>
      <c r="S292" s="29">
        <v>4872</v>
      </c>
      <c r="T292" s="32">
        <v>75.786666666665994</v>
      </c>
      <c r="U292" s="32">
        <v>0</v>
      </c>
      <c r="V292" s="31">
        <v>5.3703377902879996</v>
      </c>
      <c r="W292" s="35">
        <v>46092</v>
      </c>
      <c r="X292" s="35">
        <v>46092</v>
      </c>
    </row>
    <row r="293" spans="1:24" ht="15.75" thickBot="1" x14ac:dyDescent="0.3">
      <c r="A293" t="str">
        <f t="shared" si="4"/>
        <v>N1WB E27407 CL3ZHE</v>
      </c>
      <c r="B293" s="22" t="s">
        <v>993</v>
      </c>
      <c r="C293" s="22" t="s">
        <v>2814</v>
      </c>
      <c r="D293" s="22" t="s">
        <v>176</v>
      </c>
      <c r="E293" s="21"/>
      <c r="F293" s="22" t="s">
        <v>2375</v>
      </c>
      <c r="G293" s="28" t="s">
        <v>2012</v>
      </c>
      <c r="H293" s="22" t="s">
        <v>2055</v>
      </c>
      <c r="I293" s="21"/>
      <c r="J293" s="22" t="s">
        <v>261</v>
      </c>
      <c r="K293" s="22" t="s">
        <v>262</v>
      </c>
      <c r="L293" s="21"/>
      <c r="M293" s="22" t="s">
        <v>2014</v>
      </c>
      <c r="N293" s="28" t="s">
        <v>2015</v>
      </c>
      <c r="O293" s="28" t="s">
        <v>2016</v>
      </c>
      <c r="P293" s="29">
        <v>406</v>
      </c>
      <c r="Q293" s="28" t="s">
        <v>2017</v>
      </c>
      <c r="R293" s="31">
        <v>5.3571428571419997</v>
      </c>
      <c r="S293" s="29">
        <v>4872</v>
      </c>
      <c r="T293" s="32">
        <v>75.786666666665994</v>
      </c>
      <c r="U293" s="32">
        <v>0</v>
      </c>
      <c r="V293" s="31">
        <v>5.3571428571419997</v>
      </c>
      <c r="W293" s="35">
        <v>46092</v>
      </c>
      <c r="X293" s="35">
        <v>46092</v>
      </c>
    </row>
    <row r="294" spans="1:24" ht="15.75" thickBot="1" x14ac:dyDescent="0.3">
      <c r="A294" t="str">
        <f t="shared" si="4"/>
        <v>N1WB E31002 CD3ZHE</v>
      </c>
      <c r="B294" s="22" t="s">
        <v>337</v>
      </c>
      <c r="C294" s="22" t="s">
        <v>2815</v>
      </c>
      <c r="D294" s="22" t="s">
        <v>2816</v>
      </c>
      <c r="E294" s="21"/>
      <c r="F294" s="22" t="s">
        <v>2691</v>
      </c>
      <c r="G294" s="28" t="s">
        <v>2012</v>
      </c>
      <c r="H294" s="22" t="s">
        <v>2055</v>
      </c>
      <c r="I294" s="21"/>
      <c r="J294" s="22" t="s">
        <v>261</v>
      </c>
      <c r="K294" s="22" t="s">
        <v>262</v>
      </c>
      <c r="L294" s="21"/>
      <c r="M294" s="22" t="s">
        <v>2014</v>
      </c>
      <c r="N294" s="28" t="s">
        <v>2015</v>
      </c>
      <c r="O294" s="28" t="s">
        <v>2016</v>
      </c>
      <c r="P294" s="29">
        <v>1528</v>
      </c>
      <c r="Q294" s="28" t="s">
        <v>2017</v>
      </c>
      <c r="R294" s="31">
        <v>5.6858399761839999</v>
      </c>
      <c r="S294" s="29">
        <v>17276</v>
      </c>
      <c r="T294" s="32">
        <v>268.73777777777798</v>
      </c>
      <c r="U294" s="32">
        <v>0</v>
      </c>
      <c r="V294" s="31">
        <v>5.6858399761839999</v>
      </c>
      <c r="W294" s="35">
        <v>46092</v>
      </c>
      <c r="X294" s="35">
        <v>46092</v>
      </c>
    </row>
    <row r="295" spans="1:24" ht="15.75" thickBot="1" x14ac:dyDescent="0.3">
      <c r="A295" t="str">
        <f t="shared" si="4"/>
        <v>N1WB E312A48 BB</v>
      </c>
      <c r="B295" s="22" t="s">
        <v>1840</v>
      </c>
      <c r="C295" s="22" t="s">
        <v>2817</v>
      </c>
      <c r="D295" s="22" t="s">
        <v>2693</v>
      </c>
      <c r="E295" s="21"/>
      <c r="F295" s="22" t="s">
        <v>2030</v>
      </c>
      <c r="G295" s="28" t="s">
        <v>2012</v>
      </c>
      <c r="H295" s="22" t="s">
        <v>2080</v>
      </c>
      <c r="I295" s="21"/>
      <c r="J295" s="22" t="s">
        <v>261</v>
      </c>
      <c r="K295" s="22" t="s">
        <v>924</v>
      </c>
      <c r="L295" s="21"/>
      <c r="M295" s="22" t="s">
        <v>2014</v>
      </c>
      <c r="N295" s="28" t="s">
        <v>2015</v>
      </c>
      <c r="O295" s="28" t="s">
        <v>2016</v>
      </c>
      <c r="P295" s="29">
        <v>1395</v>
      </c>
      <c r="Q295" s="28" t="s">
        <v>2017</v>
      </c>
      <c r="R295" s="31">
        <v>5.1548296504320001</v>
      </c>
      <c r="S295" s="29">
        <v>17397</v>
      </c>
      <c r="T295" s="32">
        <v>270.62</v>
      </c>
      <c r="U295" s="32">
        <v>0</v>
      </c>
      <c r="V295" s="31">
        <v>5.1548296504320001</v>
      </c>
      <c r="W295" s="35">
        <v>46092</v>
      </c>
      <c r="X295" s="35">
        <v>46092</v>
      </c>
    </row>
    <row r="296" spans="1:24" ht="15.75" thickBot="1" x14ac:dyDescent="0.3">
      <c r="A296" t="str">
        <f t="shared" si="4"/>
        <v>PC PP802 AC</v>
      </c>
      <c r="B296" s="22" t="s">
        <v>1921</v>
      </c>
      <c r="C296" s="22" t="s">
        <v>2818</v>
      </c>
      <c r="D296" s="22" t="s">
        <v>1922</v>
      </c>
      <c r="E296" s="21"/>
      <c r="F296" s="22" t="s">
        <v>2819</v>
      </c>
      <c r="G296" s="28" t="s">
        <v>2012</v>
      </c>
      <c r="H296" s="22" t="s">
        <v>2477</v>
      </c>
      <c r="I296" s="21"/>
      <c r="J296" s="22" t="s">
        <v>1164</v>
      </c>
      <c r="K296" s="22" t="s">
        <v>924</v>
      </c>
      <c r="L296" s="21"/>
      <c r="M296" s="22" t="s">
        <v>2014</v>
      </c>
      <c r="N296" s="28" t="s">
        <v>2015</v>
      </c>
      <c r="O296" s="28" t="s">
        <v>2016</v>
      </c>
      <c r="P296" s="29">
        <v>1051</v>
      </c>
      <c r="Q296" s="28" t="s">
        <v>2017</v>
      </c>
      <c r="R296" s="31">
        <v>5.779665159476</v>
      </c>
      <c r="S296" s="29">
        <v>11690</v>
      </c>
      <c r="T296" s="32">
        <v>181.84444444444401</v>
      </c>
      <c r="U296" s="32">
        <v>0</v>
      </c>
      <c r="V296" s="31">
        <v>5.779665159476</v>
      </c>
      <c r="W296" s="35">
        <v>46092</v>
      </c>
      <c r="X296" s="35">
        <v>46092</v>
      </c>
    </row>
    <row r="297" spans="1:24" ht="15.75" thickBot="1" x14ac:dyDescent="0.3">
      <c r="A297" t="str">
        <f t="shared" si="4"/>
        <v>PC.WL68425109B</v>
      </c>
      <c r="B297" s="22" t="s">
        <v>1758</v>
      </c>
      <c r="C297" s="22" t="s">
        <v>2820</v>
      </c>
      <c r="D297" s="22" t="s">
        <v>2821</v>
      </c>
      <c r="E297" s="22" t="s">
        <v>2822</v>
      </c>
      <c r="F297" s="22" t="s">
        <v>2823</v>
      </c>
      <c r="G297" s="28" t="s">
        <v>2012</v>
      </c>
      <c r="H297" s="22" t="s">
        <v>2022</v>
      </c>
      <c r="I297" s="21"/>
      <c r="J297" s="22" t="s">
        <v>1117</v>
      </c>
      <c r="K297" s="22" t="s">
        <v>924</v>
      </c>
      <c r="L297" s="21"/>
      <c r="M297" s="22" t="s">
        <v>2014</v>
      </c>
      <c r="N297" s="28" t="s">
        <v>2015</v>
      </c>
      <c r="O297" s="28" t="s">
        <v>2016</v>
      </c>
      <c r="P297" s="29">
        <v>3005</v>
      </c>
      <c r="Q297" s="28" t="s">
        <v>2017</v>
      </c>
      <c r="R297" s="31">
        <v>5.6817226890750003</v>
      </c>
      <c r="S297" s="29">
        <v>34000</v>
      </c>
      <c r="T297" s="32">
        <v>528.88888888888903</v>
      </c>
      <c r="U297" s="32">
        <v>0</v>
      </c>
      <c r="V297" s="31">
        <v>5.6817226890750003</v>
      </c>
      <c r="W297" s="35">
        <v>46092</v>
      </c>
      <c r="X297" s="35">
        <v>46092</v>
      </c>
    </row>
    <row r="298" spans="1:24" ht="15.75" thickBot="1" x14ac:dyDescent="0.3">
      <c r="A298" t="str">
        <f t="shared" si="4"/>
        <v>PCP8312AB</v>
      </c>
      <c r="B298" s="22" t="s">
        <v>2824</v>
      </c>
      <c r="C298" s="21"/>
      <c r="D298" s="22" t="s">
        <v>2825</v>
      </c>
      <c r="E298" s="21"/>
      <c r="F298" s="22" t="s">
        <v>2826</v>
      </c>
      <c r="G298" s="28" t="s">
        <v>2012</v>
      </c>
      <c r="H298" s="22" t="s">
        <v>2827</v>
      </c>
      <c r="I298" s="22" t="s">
        <v>2828</v>
      </c>
      <c r="J298" s="22" t="s">
        <v>364</v>
      </c>
      <c r="K298" s="22" t="s">
        <v>262</v>
      </c>
      <c r="L298" s="22" t="s">
        <v>2829</v>
      </c>
      <c r="M298" s="22" t="s">
        <v>2830</v>
      </c>
      <c r="N298" s="28" t="s">
        <v>2494</v>
      </c>
      <c r="O298" s="28" t="s">
        <v>2016</v>
      </c>
      <c r="P298" s="29">
        <v>2681</v>
      </c>
      <c r="Q298" s="28" t="s">
        <v>2017</v>
      </c>
      <c r="R298" s="31">
        <v>5.4714285714280004</v>
      </c>
      <c r="S298" s="29">
        <v>31500</v>
      </c>
      <c r="T298" s="32">
        <v>490</v>
      </c>
      <c r="U298" s="32">
        <v>0</v>
      </c>
      <c r="V298" s="31">
        <v>5.4714285714280004</v>
      </c>
      <c r="W298" s="35">
        <v>46092</v>
      </c>
      <c r="X298" s="35">
        <v>46092</v>
      </c>
    </row>
    <row r="299" spans="1:24" ht="15.75" thickBot="1" x14ac:dyDescent="0.3">
      <c r="A299" t="str">
        <f t="shared" si="4"/>
        <v>PCPT2DJ8312AA</v>
      </c>
      <c r="B299" s="22" t="s">
        <v>2831</v>
      </c>
      <c r="C299" s="21"/>
      <c r="D299" s="22" t="s">
        <v>2832</v>
      </c>
      <c r="E299" s="22" t="s">
        <v>2833</v>
      </c>
      <c r="F299" s="22" t="s">
        <v>2030</v>
      </c>
      <c r="G299" s="28" t="s">
        <v>2012</v>
      </c>
      <c r="H299" s="22" t="s">
        <v>2827</v>
      </c>
      <c r="I299" s="22" t="s">
        <v>2828</v>
      </c>
      <c r="J299" s="22" t="s">
        <v>364</v>
      </c>
      <c r="K299" s="22" t="s">
        <v>262</v>
      </c>
      <c r="L299" s="22" t="s">
        <v>2829</v>
      </c>
      <c r="M299" s="22" t="s">
        <v>2830</v>
      </c>
      <c r="N299" s="28" t="s">
        <v>2494</v>
      </c>
      <c r="O299" s="28" t="s">
        <v>2016</v>
      </c>
      <c r="P299" s="29">
        <v>124</v>
      </c>
      <c r="Q299" s="28" t="s">
        <v>2017</v>
      </c>
      <c r="R299" s="31">
        <v>5.8185610010420001</v>
      </c>
      <c r="S299" s="29">
        <v>1370</v>
      </c>
      <c r="T299" s="32">
        <v>21.311111111111</v>
      </c>
      <c r="U299" s="32">
        <v>0</v>
      </c>
      <c r="V299" s="31">
        <v>5.8185610010420001</v>
      </c>
      <c r="W299" s="35">
        <v>46092</v>
      </c>
      <c r="X299" s="35">
        <v>46092</v>
      </c>
    </row>
    <row r="300" spans="1:24" ht="15.75" thickBot="1" x14ac:dyDescent="0.3">
      <c r="A300" t="str">
        <f t="shared" si="4"/>
        <v>REPACK10718</v>
      </c>
      <c r="B300" s="22" t="s">
        <v>2834</v>
      </c>
      <c r="C300" s="22" t="s">
        <v>2835</v>
      </c>
      <c r="D300" s="22" t="s">
        <v>2836</v>
      </c>
      <c r="E300" s="21"/>
      <c r="F300" s="22" t="s">
        <v>2837</v>
      </c>
      <c r="G300" s="28" t="s">
        <v>2012</v>
      </c>
      <c r="H300" s="22" t="s">
        <v>2013</v>
      </c>
      <c r="I300" s="21"/>
      <c r="J300" s="22" t="s">
        <v>261</v>
      </c>
      <c r="K300" s="22" t="s">
        <v>924</v>
      </c>
      <c r="L300" s="21"/>
      <c r="M300" s="22" t="s">
        <v>2034</v>
      </c>
      <c r="N300" s="28" t="s">
        <v>2015</v>
      </c>
      <c r="O300" s="28" t="s">
        <v>2016</v>
      </c>
      <c r="P300" s="29">
        <v>1446</v>
      </c>
      <c r="Q300" s="28" t="s">
        <v>2017</v>
      </c>
      <c r="R300" s="31">
        <v>5.1235817040810003</v>
      </c>
      <c r="S300" s="29">
        <v>18143</v>
      </c>
      <c r="T300" s="32">
        <v>282.22444444444398</v>
      </c>
      <c r="U300" s="32">
        <v>0</v>
      </c>
      <c r="V300" s="31">
        <v>5.1235817040810003</v>
      </c>
      <c r="W300" s="35">
        <v>46092</v>
      </c>
      <c r="X300" s="35">
        <v>46092</v>
      </c>
    </row>
    <row r="301" spans="1:24" ht="15.75" thickBot="1" x14ac:dyDescent="0.3">
      <c r="A301" t="str">
        <f t="shared" si="4"/>
        <v>RMPG75A520 205/09</v>
      </c>
      <c r="B301" s="22" t="s">
        <v>2838</v>
      </c>
      <c r="C301" s="22" t="s">
        <v>2839</v>
      </c>
      <c r="D301" s="22" t="s">
        <v>2839</v>
      </c>
      <c r="E301" s="21"/>
      <c r="F301" s="22" t="s">
        <v>2030</v>
      </c>
      <c r="G301" s="28" t="s">
        <v>2012</v>
      </c>
      <c r="H301" s="22" t="s">
        <v>2840</v>
      </c>
      <c r="I301" s="22" t="s">
        <v>2841</v>
      </c>
      <c r="J301" s="22" t="s">
        <v>494</v>
      </c>
      <c r="K301" s="22" t="s">
        <v>262</v>
      </c>
      <c r="L301" s="22" t="s">
        <v>2842</v>
      </c>
      <c r="M301" s="22" t="s">
        <v>2523</v>
      </c>
      <c r="N301" s="28" t="s">
        <v>2494</v>
      </c>
      <c r="O301" s="28" t="s">
        <v>2016</v>
      </c>
      <c r="P301" s="29">
        <v>1886.1759999999999</v>
      </c>
      <c r="Q301" s="28" t="s">
        <v>1164</v>
      </c>
      <c r="R301" s="31">
        <v>5.20232994704</v>
      </c>
      <c r="S301" s="34">
        <v>23307.666499999999</v>
      </c>
      <c r="T301" s="32">
        <v>362.56370111111102</v>
      </c>
      <c r="U301" s="32">
        <v>0</v>
      </c>
      <c r="V301" s="31">
        <v>5.20232994704</v>
      </c>
      <c r="W301" s="35">
        <v>46092</v>
      </c>
      <c r="X301" s="35">
        <v>46092</v>
      </c>
    </row>
    <row r="302" spans="1:24" ht="15.75" thickBot="1" x14ac:dyDescent="0.3">
      <c r="A302" t="str">
        <f t="shared" si="4"/>
        <v>RMS2641726A</v>
      </c>
      <c r="B302" s="22" t="s">
        <v>2843</v>
      </c>
      <c r="C302" s="22" t="s">
        <v>2844</v>
      </c>
      <c r="D302" s="22" t="s">
        <v>2845</v>
      </c>
      <c r="E302" s="22" t="s">
        <v>2527</v>
      </c>
      <c r="F302" s="22" t="s">
        <v>2846</v>
      </c>
      <c r="G302" s="28" t="s">
        <v>2012</v>
      </c>
      <c r="H302" s="22" t="s">
        <v>2847</v>
      </c>
      <c r="I302" s="22" t="s">
        <v>2848</v>
      </c>
      <c r="J302" s="22" t="s">
        <v>261</v>
      </c>
      <c r="K302" s="22" t="s">
        <v>924</v>
      </c>
      <c r="L302" s="22" t="s">
        <v>2531</v>
      </c>
      <c r="M302" s="22" t="s">
        <v>2532</v>
      </c>
      <c r="N302" s="28" t="s">
        <v>2494</v>
      </c>
      <c r="O302" s="28" t="s">
        <v>2016</v>
      </c>
      <c r="P302" s="29">
        <v>457.75799999999998</v>
      </c>
      <c r="Q302" s="28" t="s">
        <v>1164</v>
      </c>
      <c r="R302" s="31">
        <v>5.6661221453059998</v>
      </c>
      <c r="S302" s="34">
        <v>5193.5519999999997</v>
      </c>
      <c r="T302" s="32">
        <v>80.788586666666006</v>
      </c>
      <c r="U302" s="32">
        <v>0</v>
      </c>
      <c r="V302" s="31">
        <v>5.6661221453059998</v>
      </c>
      <c r="W302" s="35">
        <v>46092</v>
      </c>
      <c r="X302" s="35">
        <v>46092</v>
      </c>
    </row>
    <row r="303" spans="1:24" ht="15.75" thickBot="1" x14ac:dyDescent="0.3">
      <c r="A303" t="str">
        <f t="shared" si="4"/>
        <v>RMSE10766B</v>
      </c>
      <c r="B303" s="22" t="s">
        <v>2849</v>
      </c>
      <c r="C303" s="22" t="s">
        <v>2850</v>
      </c>
      <c r="D303" s="22" t="s">
        <v>2851</v>
      </c>
      <c r="E303" s="22" t="s">
        <v>2720</v>
      </c>
      <c r="F303" s="22" t="s">
        <v>2570</v>
      </c>
      <c r="G303" s="28" t="s">
        <v>2012</v>
      </c>
      <c r="H303" s="22" t="s">
        <v>2852</v>
      </c>
      <c r="I303" s="22" t="s">
        <v>2853</v>
      </c>
      <c r="J303" s="22" t="s">
        <v>261</v>
      </c>
      <c r="K303" s="22" t="s">
        <v>924</v>
      </c>
      <c r="L303" s="22" t="s">
        <v>2531</v>
      </c>
      <c r="M303" s="22" t="s">
        <v>2532</v>
      </c>
      <c r="N303" s="28" t="s">
        <v>2494</v>
      </c>
      <c r="O303" s="28" t="s">
        <v>2016</v>
      </c>
      <c r="P303" s="29">
        <v>9204.0249999999996</v>
      </c>
      <c r="Q303" s="28" t="s">
        <v>1164</v>
      </c>
      <c r="R303" s="31">
        <v>5.0358065812269999</v>
      </c>
      <c r="S303" s="34">
        <v>117496.038</v>
      </c>
      <c r="T303" s="32">
        <v>1827.7161466666701</v>
      </c>
      <c r="U303" s="32">
        <v>0</v>
      </c>
      <c r="V303" s="31">
        <v>5.0358065812269999</v>
      </c>
      <c r="W303" s="35">
        <v>46092</v>
      </c>
      <c r="X303" s="35">
        <v>46092</v>
      </c>
    </row>
    <row r="304" spans="1:24" ht="15.75" thickBot="1" x14ac:dyDescent="0.3">
      <c r="A304" t="str">
        <f t="shared" si="4"/>
        <v>RMSE41040RL</v>
      </c>
      <c r="B304" s="22" t="s">
        <v>2854</v>
      </c>
      <c r="C304" s="22" t="s">
        <v>2855</v>
      </c>
      <c r="D304" s="22" t="s">
        <v>2856</v>
      </c>
      <c r="E304" s="22" t="s">
        <v>2527</v>
      </c>
      <c r="F304" s="22" t="s">
        <v>2857</v>
      </c>
      <c r="G304" s="28" t="s">
        <v>2012</v>
      </c>
      <c r="H304" s="22" t="s">
        <v>2858</v>
      </c>
      <c r="I304" s="22" t="s">
        <v>2859</v>
      </c>
      <c r="J304" s="22" t="s">
        <v>261</v>
      </c>
      <c r="K304" s="22" t="s">
        <v>924</v>
      </c>
      <c r="L304" s="22" t="s">
        <v>2531</v>
      </c>
      <c r="M304" s="22" t="s">
        <v>2532</v>
      </c>
      <c r="N304" s="28" t="s">
        <v>2494</v>
      </c>
      <c r="O304" s="28" t="s">
        <v>2016</v>
      </c>
      <c r="P304" s="29">
        <v>18536.903999999999</v>
      </c>
      <c r="Q304" s="28" t="s">
        <v>1164</v>
      </c>
      <c r="R304" s="31">
        <v>5.3896232319930002</v>
      </c>
      <c r="S304" s="34">
        <v>221102.304</v>
      </c>
      <c r="T304" s="32">
        <v>3439.3691733333299</v>
      </c>
      <c r="U304" s="32">
        <v>0</v>
      </c>
      <c r="V304" s="31">
        <v>5.3896232319930002</v>
      </c>
      <c r="W304" s="35">
        <v>46092</v>
      </c>
      <c r="X304" s="35">
        <v>46092</v>
      </c>
    </row>
    <row r="305" spans="1:24" ht="15.75" thickBot="1" x14ac:dyDescent="0.3">
      <c r="A305" t="str">
        <f t="shared" si="4"/>
        <v>T2DJ 16E166 AA</v>
      </c>
      <c r="B305" s="22" t="s">
        <v>367</v>
      </c>
      <c r="C305" s="22" t="s">
        <v>2860</v>
      </c>
      <c r="D305" s="22" t="s">
        <v>2861</v>
      </c>
      <c r="E305" s="21"/>
      <c r="F305" s="22" t="s">
        <v>2862</v>
      </c>
      <c r="G305" s="28" t="s">
        <v>2012</v>
      </c>
      <c r="H305" s="22" t="s">
        <v>2080</v>
      </c>
      <c r="I305" s="21"/>
      <c r="J305" s="22" t="s">
        <v>364</v>
      </c>
      <c r="K305" s="22" t="s">
        <v>262</v>
      </c>
      <c r="L305" s="21"/>
      <c r="M305" s="22" t="s">
        <v>2014</v>
      </c>
      <c r="N305" s="28" t="s">
        <v>2015</v>
      </c>
      <c r="O305" s="28" t="s">
        <v>2016</v>
      </c>
      <c r="P305" s="29">
        <v>124</v>
      </c>
      <c r="Q305" s="28" t="s">
        <v>2017</v>
      </c>
      <c r="R305" s="31">
        <v>5.4080248110089997</v>
      </c>
      <c r="S305" s="29">
        <v>1474</v>
      </c>
      <c r="T305" s="32">
        <v>22.928888888888</v>
      </c>
      <c r="U305" s="32">
        <v>0</v>
      </c>
      <c r="V305" s="31">
        <v>5.4080248110089997</v>
      </c>
      <c r="W305" s="35">
        <v>46092</v>
      </c>
      <c r="X305" s="35">
        <v>46092</v>
      </c>
    </row>
    <row r="306" spans="1:24" ht="15.75" thickBot="1" x14ac:dyDescent="0.3">
      <c r="A306" t="str">
        <f t="shared" si="4"/>
        <v>84643220</v>
      </c>
      <c r="B306" s="22" t="s">
        <v>1253</v>
      </c>
      <c r="C306" s="22" t="s">
        <v>2863</v>
      </c>
      <c r="D306" s="22" t="s">
        <v>2864</v>
      </c>
      <c r="E306" s="21"/>
      <c r="F306" s="22" t="s">
        <v>2030</v>
      </c>
      <c r="G306" s="28" t="s">
        <v>2012</v>
      </c>
      <c r="H306" s="22" t="s">
        <v>2013</v>
      </c>
      <c r="I306" s="21"/>
      <c r="J306" s="22" t="s">
        <v>404</v>
      </c>
      <c r="K306" s="22" t="s">
        <v>924</v>
      </c>
      <c r="L306" s="21"/>
      <c r="M306" s="22" t="s">
        <v>2014</v>
      </c>
      <c r="N306" s="28" t="s">
        <v>2015</v>
      </c>
      <c r="O306" s="28" t="s">
        <v>2016</v>
      </c>
      <c r="P306" s="29">
        <v>4376</v>
      </c>
      <c r="Q306" s="28" t="s">
        <v>2017</v>
      </c>
      <c r="R306" s="31">
        <v>6.0918228137090003</v>
      </c>
      <c r="S306" s="29">
        <v>46179</v>
      </c>
      <c r="T306" s="32">
        <v>718.34</v>
      </c>
      <c r="U306" s="32">
        <v>0</v>
      </c>
      <c r="V306" s="31">
        <v>6.0918228137090003</v>
      </c>
      <c r="W306" s="35">
        <v>46093</v>
      </c>
      <c r="X306" s="35">
        <v>46093</v>
      </c>
    </row>
    <row r="307" spans="1:24" ht="15.75" thickBot="1" x14ac:dyDescent="0.3">
      <c r="A307" t="str">
        <f t="shared" si="4"/>
        <v>85132158</v>
      </c>
      <c r="B307" s="22" t="s">
        <v>438</v>
      </c>
      <c r="C307" s="22" t="s">
        <v>2299</v>
      </c>
      <c r="D307" s="22" t="s">
        <v>2865</v>
      </c>
      <c r="E307" s="22" t="s">
        <v>2866</v>
      </c>
      <c r="F307" s="22" t="s">
        <v>2302</v>
      </c>
      <c r="G307" s="28" t="s">
        <v>2012</v>
      </c>
      <c r="H307" s="22" t="s">
        <v>2027</v>
      </c>
      <c r="I307" s="21"/>
      <c r="J307" s="22" t="s">
        <v>404</v>
      </c>
      <c r="K307" s="22" t="s">
        <v>262</v>
      </c>
      <c r="L307" s="21"/>
      <c r="M307" s="22" t="s">
        <v>2014</v>
      </c>
      <c r="N307" s="28" t="s">
        <v>2015</v>
      </c>
      <c r="O307" s="28" t="s">
        <v>2016</v>
      </c>
      <c r="P307" s="29">
        <v>217</v>
      </c>
      <c r="Q307" s="28" t="s">
        <v>2017</v>
      </c>
      <c r="R307" s="31">
        <v>6.7587209302320002</v>
      </c>
      <c r="S307" s="29">
        <v>2064</v>
      </c>
      <c r="T307" s="32">
        <v>32.106666666666001</v>
      </c>
      <c r="U307" s="32">
        <v>0</v>
      </c>
      <c r="V307" s="31">
        <v>6.7587209302320002</v>
      </c>
      <c r="W307" s="35">
        <v>46093</v>
      </c>
      <c r="X307" s="35">
        <v>46093</v>
      </c>
    </row>
    <row r="308" spans="1:24" ht="15.75" thickBot="1" x14ac:dyDescent="0.3">
      <c r="A308" t="str">
        <f t="shared" si="4"/>
        <v>ASYHS52C04W16P703</v>
      </c>
      <c r="B308" s="22" t="s">
        <v>1709</v>
      </c>
      <c r="C308" s="22" t="s">
        <v>2081</v>
      </c>
      <c r="D308" s="22" t="s">
        <v>2867</v>
      </c>
      <c r="E308" s="22" t="s">
        <v>2868</v>
      </c>
      <c r="F308" s="22" t="s">
        <v>2869</v>
      </c>
      <c r="G308" s="28" t="s">
        <v>2012</v>
      </c>
      <c r="H308" s="22" t="s">
        <v>2080</v>
      </c>
      <c r="I308" s="21"/>
      <c r="J308" s="22" t="s">
        <v>261</v>
      </c>
      <c r="K308" s="22" t="s">
        <v>924</v>
      </c>
      <c r="L308" s="21"/>
      <c r="M308" s="22" t="s">
        <v>2034</v>
      </c>
      <c r="N308" s="28" t="s">
        <v>2015</v>
      </c>
      <c r="O308" s="28" t="s">
        <v>2016</v>
      </c>
      <c r="P308" s="29">
        <v>5877</v>
      </c>
      <c r="Q308" s="28" t="s">
        <v>2017</v>
      </c>
      <c r="R308" s="31">
        <v>6.1312421755450002</v>
      </c>
      <c r="S308" s="29">
        <v>61620</v>
      </c>
      <c r="T308" s="32">
        <v>958.53333333333296</v>
      </c>
      <c r="U308" s="32">
        <v>0</v>
      </c>
      <c r="V308" s="31">
        <v>6.1312421755450002</v>
      </c>
      <c r="W308" s="35">
        <v>46093</v>
      </c>
      <c r="X308" s="35">
        <v>46093</v>
      </c>
    </row>
    <row r="309" spans="1:24" ht="15.75" thickBot="1" x14ac:dyDescent="0.3">
      <c r="A309" t="str">
        <f t="shared" si="4"/>
        <v>ASYHS60B63W21</v>
      </c>
      <c r="B309" s="22" t="s">
        <v>1688</v>
      </c>
      <c r="C309" s="22" t="s">
        <v>2735</v>
      </c>
      <c r="D309" s="22" t="s">
        <v>2870</v>
      </c>
      <c r="E309" s="22" t="s">
        <v>2871</v>
      </c>
      <c r="F309" s="22" t="s">
        <v>2872</v>
      </c>
      <c r="G309" s="28" t="s">
        <v>2012</v>
      </c>
      <c r="H309" s="22" t="s">
        <v>2080</v>
      </c>
      <c r="I309" s="21"/>
      <c r="J309" s="22" t="s">
        <v>261</v>
      </c>
      <c r="K309" s="22" t="s">
        <v>924</v>
      </c>
      <c r="L309" s="21"/>
      <c r="M309" s="22" t="s">
        <v>2034</v>
      </c>
      <c r="N309" s="28" t="s">
        <v>2015</v>
      </c>
      <c r="O309" s="28" t="s">
        <v>2016</v>
      </c>
      <c r="P309" s="29">
        <v>2038</v>
      </c>
      <c r="Q309" s="28" t="s">
        <v>2017</v>
      </c>
      <c r="R309" s="31">
        <v>6.8944001323090003</v>
      </c>
      <c r="S309" s="29">
        <v>19003</v>
      </c>
      <c r="T309" s="32">
        <v>295.602222222222</v>
      </c>
      <c r="U309" s="32">
        <v>0</v>
      </c>
      <c r="V309" s="31">
        <v>6.8944001323090003</v>
      </c>
      <c r="W309" s="35">
        <v>46093</v>
      </c>
      <c r="X309" s="35">
        <v>46093</v>
      </c>
    </row>
    <row r="310" spans="1:24" ht="15.75" thickBot="1" x14ac:dyDescent="0.3">
      <c r="A310" t="str">
        <f t="shared" si="4"/>
        <v>ASYMS28A60W17</v>
      </c>
      <c r="B310" s="22" t="s">
        <v>1785</v>
      </c>
      <c r="C310" s="22" t="s">
        <v>2873</v>
      </c>
      <c r="D310" s="22" t="s">
        <v>1786</v>
      </c>
      <c r="E310" s="22" t="s">
        <v>2874</v>
      </c>
      <c r="F310" s="22" t="s">
        <v>2875</v>
      </c>
      <c r="G310" s="28" t="s">
        <v>2012</v>
      </c>
      <c r="H310" s="22" t="s">
        <v>2013</v>
      </c>
      <c r="I310" s="21"/>
      <c r="J310" s="22" t="s">
        <v>494</v>
      </c>
      <c r="K310" s="22" t="s">
        <v>924</v>
      </c>
      <c r="L310" s="21"/>
      <c r="M310" s="22" t="s">
        <v>2034</v>
      </c>
      <c r="N310" s="28" t="s">
        <v>2015</v>
      </c>
      <c r="O310" s="28" t="s">
        <v>2016</v>
      </c>
      <c r="P310" s="29">
        <v>3714</v>
      </c>
      <c r="Q310" s="28" t="s">
        <v>2017</v>
      </c>
      <c r="R310" s="31">
        <v>6.9563878228869997</v>
      </c>
      <c r="S310" s="29">
        <v>34322</v>
      </c>
      <c r="T310" s="32">
        <v>533.89777777777795</v>
      </c>
      <c r="U310" s="32">
        <v>0</v>
      </c>
      <c r="V310" s="31">
        <v>6.9563878228869997</v>
      </c>
      <c r="W310" s="35">
        <v>46093</v>
      </c>
      <c r="X310" s="35">
        <v>46093</v>
      </c>
    </row>
    <row r="311" spans="1:24" ht="15.75" thickBot="1" x14ac:dyDescent="0.3">
      <c r="A311" t="str">
        <f t="shared" si="4"/>
        <v>ASYPW62570W8W9</v>
      </c>
      <c r="B311" s="22" t="s">
        <v>1835</v>
      </c>
      <c r="C311" s="22" t="s">
        <v>2876</v>
      </c>
      <c r="D311" s="22" t="s">
        <v>1836</v>
      </c>
      <c r="E311" s="22" t="s">
        <v>2877</v>
      </c>
      <c r="F311" s="22" t="s">
        <v>2878</v>
      </c>
      <c r="G311" s="28" t="s">
        <v>2012</v>
      </c>
      <c r="H311" s="22" t="s">
        <v>2080</v>
      </c>
      <c r="I311" s="21"/>
      <c r="J311" s="22" t="s">
        <v>494</v>
      </c>
      <c r="K311" s="22" t="s">
        <v>924</v>
      </c>
      <c r="L311" s="21"/>
      <c r="M311" s="22" t="s">
        <v>2034</v>
      </c>
      <c r="N311" s="28" t="s">
        <v>2015</v>
      </c>
      <c r="O311" s="28" t="s">
        <v>2016</v>
      </c>
      <c r="P311" s="29">
        <v>3650</v>
      </c>
      <c r="Q311" s="28" t="s">
        <v>2017</v>
      </c>
      <c r="R311" s="31">
        <v>6.7155940796460003</v>
      </c>
      <c r="S311" s="29">
        <v>34940</v>
      </c>
      <c r="T311" s="32">
        <v>543.51111111111095</v>
      </c>
      <c r="U311" s="32">
        <v>0</v>
      </c>
      <c r="V311" s="31">
        <v>6.7155940796460003</v>
      </c>
      <c r="W311" s="35">
        <v>46093</v>
      </c>
      <c r="X311" s="35">
        <v>46093</v>
      </c>
    </row>
    <row r="312" spans="1:24" ht="15.75" thickBot="1" x14ac:dyDescent="0.3">
      <c r="A312" t="str">
        <f t="shared" si="4"/>
        <v>ASYTB20A76W15</v>
      </c>
      <c r="B312" s="22" t="s">
        <v>1871</v>
      </c>
      <c r="C312" s="22" t="s">
        <v>2879</v>
      </c>
      <c r="D312" s="22" t="s">
        <v>1872</v>
      </c>
      <c r="E312" s="22" t="s">
        <v>2880</v>
      </c>
      <c r="F312" s="22" t="s">
        <v>2881</v>
      </c>
      <c r="G312" s="28" t="s">
        <v>2012</v>
      </c>
      <c r="H312" s="22" t="s">
        <v>2080</v>
      </c>
      <c r="I312" s="21"/>
      <c r="J312" s="22" t="s">
        <v>261</v>
      </c>
      <c r="K312" s="22" t="s">
        <v>924</v>
      </c>
      <c r="L312" s="21"/>
      <c r="M312" s="22" t="s">
        <v>2034</v>
      </c>
      <c r="N312" s="28" t="s">
        <v>2015</v>
      </c>
      <c r="O312" s="28" t="s">
        <v>2016</v>
      </c>
      <c r="P312" s="29">
        <v>1906</v>
      </c>
      <c r="Q312" s="28" t="s">
        <v>2017</v>
      </c>
      <c r="R312" s="31">
        <v>6.8685784757309998</v>
      </c>
      <c r="S312" s="29">
        <v>17839</v>
      </c>
      <c r="T312" s="32">
        <v>277.495555555556</v>
      </c>
      <c r="U312" s="32">
        <v>0</v>
      </c>
      <c r="V312" s="31">
        <v>6.8685784757309998</v>
      </c>
      <c r="W312" s="35">
        <v>46093</v>
      </c>
      <c r="X312" s="35">
        <v>46093</v>
      </c>
    </row>
    <row r="313" spans="1:24" ht="15.75" thickBot="1" x14ac:dyDescent="0.3">
      <c r="A313" t="str">
        <f t="shared" si="4"/>
        <v>ASYX200B39</v>
      </c>
      <c r="B313" s="22" t="s">
        <v>2882</v>
      </c>
      <c r="C313" s="22" t="s">
        <v>2883</v>
      </c>
      <c r="D313" s="22" t="s">
        <v>2884</v>
      </c>
      <c r="E313" s="21"/>
      <c r="F313" s="22" t="s">
        <v>2030</v>
      </c>
      <c r="G313" s="28" t="s">
        <v>2012</v>
      </c>
      <c r="H313" s="22" t="s">
        <v>2013</v>
      </c>
      <c r="I313" s="21"/>
      <c r="J313" s="22" t="s">
        <v>364</v>
      </c>
      <c r="K313" s="22" t="s">
        <v>262</v>
      </c>
      <c r="L313" s="21"/>
      <c r="M313" s="22" t="s">
        <v>2034</v>
      </c>
      <c r="N313" s="28" t="s">
        <v>2015</v>
      </c>
      <c r="O313" s="28" t="s">
        <v>2016</v>
      </c>
      <c r="P313" s="29">
        <v>1378</v>
      </c>
      <c r="Q313" s="28" t="s">
        <v>2017</v>
      </c>
      <c r="R313" s="31">
        <v>6.3420471281289998</v>
      </c>
      <c r="S313" s="29">
        <v>13968</v>
      </c>
      <c r="T313" s="32">
        <v>217.28</v>
      </c>
      <c r="U313" s="32">
        <v>0</v>
      </c>
      <c r="V313" s="31">
        <v>6.3420471281289998</v>
      </c>
      <c r="W313" s="35">
        <v>46093</v>
      </c>
      <c r="X313" s="35">
        <v>46093</v>
      </c>
    </row>
    <row r="314" spans="1:24" ht="15.75" thickBot="1" x14ac:dyDescent="0.3">
      <c r="A314" t="str">
        <f t="shared" si="4"/>
        <v>DET21023A41A</v>
      </c>
      <c r="B314" s="22" t="s">
        <v>1405</v>
      </c>
      <c r="C314" s="22" t="s">
        <v>2104</v>
      </c>
      <c r="D314" s="22" t="s">
        <v>2885</v>
      </c>
      <c r="E314" s="22" t="s">
        <v>2886</v>
      </c>
      <c r="F314" s="22" t="s">
        <v>2887</v>
      </c>
      <c r="G314" s="28" t="s">
        <v>2012</v>
      </c>
      <c r="H314" s="22" t="s">
        <v>2080</v>
      </c>
      <c r="I314" s="21"/>
      <c r="J314" s="22" t="s">
        <v>494</v>
      </c>
      <c r="K314" s="22" t="s">
        <v>924</v>
      </c>
      <c r="L314" s="21"/>
      <c r="M314" s="22" t="s">
        <v>2034</v>
      </c>
      <c r="N314" s="28" t="s">
        <v>2015</v>
      </c>
      <c r="O314" s="28" t="s">
        <v>2016</v>
      </c>
      <c r="P314" s="29">
        <v>3645</v>
      </c>
      <c r="Q314" s="28" t="s">
        <v>2017</v>
      </c>
      <c r="R314" s="31">
        <v>6.6851567308039996</v>
      </c>
      <c r="S314" s="29">
        <v>35051</v>
      </c>
      <c r="T314" s="32">
        <v>545.23777777777798</v>
      </c>
      <c r="U314" s="32">
        <v>0</v>
      </c>
      <c r="V314" s="31">
        <v>6.6851567308039996</v>
      </c>
      <c r="W314" s="35">
        <v>46093</v>
      </c>
      <c r="X314" s="35">
        <v>46093</v>
      </c>
    </row>
    <row r="315" spans="1:24" ht="15.75" thickBot="1" x14ac:dyDescent="0.3">
      <c r="A315" t="str">
        <f t="shared" si="4"/>
        <v>DET21025A62CB</v>
      </c>
      <c r="B315" s="22" t="s">
        <v>1261</v>
      </c>
      <c r="C315" s="22" t="s">
        <v>2253</v>
      </c>
      <c r="D315" s="22" t="s">
        <v>2888</v>
      </c>
      <c r="E315" s="21"/>
      <c r="F315" s="22" t="s">
        <v>2889</v>
      </c>
      <c r="G315" s="28" t="s">
        <v>2012</v>
      </c>
      <c r="H315" s="22" t="s">
        <v>2080</v>
      </c>
      <c r="I315" s="21"/>
      <c r="J315" s="22" t="s">
        <v>261</v>
      </c>
      <c r="K315" s="22" t="s">
        <v>924</v>
      </c>
      <c r="L315" s="21"/>
      <c r="M315" s="22" t="s">
        <v>2034</v>
      </c>
      <c r="N315" s="28" t="s">
        <v>2015</v>
      </c>
      <c r="O315" s="28" t="s">
        <v>2016</v>
      </c>
      <c r="P315" s="29">
        <v>2052</v>
      </c>
      <c r="Q315" s="28" t="s">
        <v>2017</v>
      </c>
      <c r="R315" s="31">
        <v>6.9289991445680004</v>
      </c>
      <c r="S315" s="29">
        <v>19038</v>
      </c>
      <c r="T315" s="32">
        <v>296.14666666666699</v>
      </c>
      <c r="U315" s="32">
        <v>0</v>
      </c>
      <c r="V315" s="31">
        <v>6.9289991445680004</v>
      </c>
      <c r="W315" s="35">
        <v>46093</v>
      </c>
      <c r="X315" s="35">
        <v>46093</v>
      </c>
    </row>
    <row r="316" spans="1:24" ht="15.75" thickBot="1" x14ac:dyDescent="0.3">
      <c r="A316" t="str">
        <f t="shared" si="4"/>
        <v>DET21109A84A</v>
      </c>
      <c r="B316" s="22" t="s">
        <v>1094</v>
      </c>
      <c r="C316" s="22" t="s">
        <v>2890</v>
      </c>
      <c r="D316" s="22" t="s">
        <v>2891</v>
      </c>
      <c r="E316" s="22" t="s">
        <v>2892</v>
      </c>
      <c r="F316" s="22" t="s">
        <v>2893</v>
      </c>
      <c r="G316" s="28" t="s">
        <v>2012</v>
      </c>
      <c r="H316" s="22" t="s">
        <v>2080</v>
      </c>
      <c r="I316" s="21"/>
      <c r="J316" s="22" t="s">
        <v>494</v>
      </c>
      <c r="K316" s="22" t="s">
        <v>924</v>
      </c>
      <c r="L316" s="21"/>
      <c r="M316" s="22" t="s">
        <v>2034</v>
      </c>
      <c r="N316" s="28" t="s">
        <v>2015</v>
      </c>
      <c r="O316" s="28" t="s">
        <v>2016</v>
      </c>
      <c r="P316" s="29">
        <v>7142</v>
      </c>
      <c r="Q316" s="28" t="s">
        <v>2017</v>
      </c>
      <c r="R316" s="31">
        <v>6.6424851190469996</v>
      </c>
      <c r="S316" s="29">
        <v>69120</v>
      </c>
      <c r="T316" s="32">
        <v>1075.2</v>
      </c>
      <c r="U316" s="32">
        <v>0</v>
      </c>
      <c r="V316" s="31">
        <v>6.6424851190469996</v>
      </c>
      <c r="W316" s="35">
        <v>46093</v>
      </c>
      <c r="X316" s="35">
        <v>46093</v>
      </c>
    </row>
    <row r="317" spans="1:24" ht="15.75" thickBot="1" x14ac:dyDescent="0.3">
      <c r="A317" t="str">
        <f t="shared" si="4"/>
        <v>DET26104A98MB</v>
      </c>
      <c r="B317" s="22" t="s">
        <v>1356</v>
      </c>
      <c r="C317" s="22" t="s">
        <v>2894</v>
      </c>
      <c r="D317" s="22" t="s">
        <v>2895</v>
      </c>
      <c r="E317" s="22" t="s">
        <v>2896</v>
      </c>
      <c r="F317" s="22" t="s">
        <v>2897</v>
      </c>
      <c r="G317" s="28" t="s">
        <v>2012</v>
      </c>
      <c r="H317" s="22" t="s">
        <v>2080</v>
      </c>
      <c r="I317" s="21"/>
      <c r="J317" s="22" t="s">
        <v>494</v>
      </c>
      <c r="K317" s="22" t="s">
        <v>924</v>
      </c>
      <c r="L317" s="21"/>
      <c r="M317" s="22" t="s">
        <v>2034</v>
      </c>
      <c r="N317" s="28" t="s">
        <v>2015</v>
      </c>
      <c r="O317" s="28" t="s">
        <v>2016</v>
      </c>
      <c r="P317" s="29">
        <v>1768</v>
      </c>
      <c r="Q317" s="28" t="s">
        <v>2017</v>
      </c>
      <c r="R317" s="31">
        <v>6.524520255863</v>
      </c>
      <c r="S317" s="29">
        <v>17420</v>
      </c>
      <c r="T317" s="32">
        <v>270.97777777777799</v>
      </c>
      <c r="U317" s="32">
        <v>0</v>
      </c>
      <c r="V317" s="31">
        <v>6.524520255863</v>
      </c>
      <c r="W317" s="35">
        <v>46093</v>
      </c>
      <c r="X317" s="35">
        <v>46093</v>
      </c>
    </row>
    <row r="318" spans="1:24" ht="15.75" thickBot="1" x14ac:dyDescent="0.3">
      <c r="A318" t="str">
        <f t="shared" si="4"/>
        <v>DET5810776</v>
      </c>
      <c r="B318" s="22" t="s">
        <v>1215</v>
      </c>
      <c r="C318" s="22" t="s">
        <v>2265</v>
      </c>
      <c r="D318" s="22" t="s">
        <v>2898</v>
      </c>
      <c r="E318" s="22" t="s">
        <v>2899</v>
      </c>
      <c r="F318" s="22" t="s">
        <v>2900</v>
      </c>
      <c r="G318" s="28" t="s">
        <v>2012</v>
      </c>
      <c r="H318" s="22" t="s">
        <v>2080</v>
      </c>
      <c r="I318" s="21"/>
      <c r="J318" s="22" t="s">
        <v>261</v>
      </c>
      <c r="K318" s="22" t="s">
        <v>924</v>
      </c>
      <c r="L318" s="21"/>
      <c r="M318" s="22" t="s">
        <v>2034</v>
      </c>
      <c r="N318" s="28" t="s">
        <v>2015</v>
      </c>
      <c r="O318" s="28" t="s">
        <v>2016</v>
      </c>
      <c r="P318" s="29">
        <v>6133</v>
      </c>
      <c r="Q318" s="28" t="s">
        <v>2017</v>
      </c>
      <c r="R318" s="31">
        <v>6.616282693644</v>
      </c>
      <c r="S318" s="29">
        <v>59590</v>
      </c>
      <c r="T318" s="32">
        <v>926.95555555555597</v>
      </c>
      <c r="U318" s="32">
        <v>0</v>
      </c>
      <c r="V318" s="31">
        <v>6.616282693644</v>
      </c>
      <c r="W318" s="35">
        <v>46093</v>
      </c>
      <c r="X318" s="35">
        <v>46093</v>
      </c>
    </row>
    <row r="319" spans="1:24" ht="15.75" thickBot="1" x14ac:dyDescent="0.3">
      <c r="A319" t="str">
        <f t="shared" si="4"/>
        <v>DET9D823A</v>
      </c>
      <c r="B319" s="22" t="s">
        <v>1549</v>
      </c>
      <c r="C319" s="22" t="s">
        <v>2901</v>
      </c>
      <c r="D319" s="22" t="s">
        <v>2902</v>
      </c>
      <c r="E319" s="22" t="s">
        <v>2903</v>
      </c>
      <c r="F319" s="22" t="s">
        <v>2904</v>
      </c>
      <c r="G319" s="28" t="s">
        <v>2012</v>
      </c>
      <c r="H319" s="22" t="s">
        <v>2080</v>
      </c>
      <c r="I319" s="21"/>
      <c r="J319" s="22" t="s">
        <v>494</v>
      </c>
      <c r="K319" s="22" t="s">
        <v>924</v>
      </c>
      <c r="L319" s="21"/>
      <c r="M319" s="22" t="s">
        <v>2034</v>
      </c>
      <c r="N319" s="28" t="s">
        <v>2015</v>
      </c>
      <c r="O319" s="28" t="s">
        <v>2016</v>
      </c>
      <c r="P319" s="29">
        <v>5474</v>
      </c>
      <c r="Q319" s="28" t="s">
        <v>2017</v>
      </c>
      <c r="R319" s="31">
        <v>6.3320977435490002</v>
      </c>
      <c r="S319" s="29">
        <v>55574</v>
      </c>
      <c r="T319" s="32">
        <v>864.48444444444397</v>
      </c>
      <c r="U319" s="32">
        <v>0</v>
      </c>
      <c r="V319" s="31">
        <v>6.3320977435490002</v>
      </c>
      <c r="W319" s="35">
        <v>46093</v>
      </c>
      <c r="X319" s="35">
        <v>46093</v>
      </c>
    </row>
    <row r="320" spans="1:24" ht="15.75" thickBot="1" x14ac:dyDescent="0.3">
      <c r="A320" t="str">
        <f t="shared" si="4"/>
        <v>DETE106B52BA</v>
      </c>
      <c r="B320" s="22" t="s">
        <v>1597</v>
      </c>
      <c r="C320" s="22" t="s">
        <v>2905</v>
      </c>
      <c r="D320" s="22" t="s">
        <v>2906</v>
      </c>
      <c r="E320" s="21"/>
      <c r="F320" s="22" t="s">
        <v>2907</v>
      </c>
      <c r="G320" s="28" t="s">
        <v>2012</v>
      </c>
      <c r="H320" s="22" t="s">
        <v>2080</v>
      </c>
      <c r="I320" s="21"/>
      <c r="J320" s="22" t="s">
        <v>261</v>
      </c>
      <c r="K320" s="22" t="s">
        <v>924</v>
      </c>
      <c r="L320" s="21"/>
      <c r="M320" s="22" t="s">
        <v>2034</v>
      </c>
      <c r="N320" s="28" t="s">
        <v>2015</v>
      </c>
      <c r="O320" s="28" t="s">
        <v>2016</v>
      </c>
      <c r="P320" s="29">
        <v>1857</v>
      </c>
      <c r="Q320" s="28" t="s">
        <v>2017</v>
      </c>
      <c r="R320" s="31">
        <v>6.9563878228869997</v>
      </c>
      <c r="S320" s="29">
        <v>17161</v>
      </c>
      <c r="T320" s="32">
        <v>266.94888888888897</v>
      </c>
      <c r="U320" s="32">
        <v>0</v>
      </c>
      <c r="V320" s="31">
        <v>6.9563878228869997</v>
      </c>
      <c r="W320" s="35">
        <v>46093</v>
      </c>
      <c r="X320" s="35">
        <v>46093</v>
      </c>
    </row>
    <row r="321" spans="1:24" ht="15.75" thickBot="1" x14ac:dyDescent="0.3">
      <c r="A321" t="str">
        <f t="shared" si="4"/>
        <v>DETE200B62A</v>
      </c>
      <c r="B321" s="22" t="s">
        <v>1133</v>
      </c>
      <c r="C321" s="22" t="s">
        <v>2185</v>
      </c>
      <c r="D321" s="22" t="s">
        <v>2908</v>
      </c>
      <c r="E321" s="21"/>
      <c r="F321" s="22" t="s">
        <v>2909</v>
      </c>
      <c r="G321" s="28" t="s">
        <v>2012</v>
      </c>
      <c r="H321" s="22" t="s">
        <v>2080</v>
      </c>
      <c r="I321" s="21"/>
      <c r="J321" s="22" t="s">
        <v>261</v>
      </c>
      <c r="K321" s="22" t="s">
        <v>924</v>
      </c>
      <c r="L321" s="21"/>
      <c r="M321" s="22" t="s">
        <v>2034</v>
      </c>
      <c r="N321" s="28" t="s">
        <v>2015</v>
      </c>
      <c r="O321" s="28" t="s">
        <v>2016</v>
      </c>
      <c r="P321" s="29">
        <v>1891</v>
      </c>
      <c r="Q321" s="28" t="s">
        <v>2017</v>
      </c>
      <c r="R321" s="31">
        <v>6.9370169889450004</v>
      </c>
      <c r="S321" s="29">
        <v>17524</v>
      </c>
      <c r="T321" s="32">
        <v>272.59555555555602</v>
      </c>
      <c r="U321" s="32">
        <v>0</v>
      </c>
      <c r="V321" s="31">
        <v>6.9370169889450004</v>
      </c>
      <c r="W321" s="35">
        <v>46093</v>
      </c>
      <c r="X321" s="35">
        <v>46093</v>
      </c>
    </row>
    <row r="322" spans="1:24" ht="15.75" thickBot="1" x14ac:dyDescent="0.3">
      <c r="A322" t="str">
        <f t="shared" si="4"/>
        <v>DETE28563B</v>
      </c>
      <c r="B322" s="22" t="s">
        <v>1283</v>
      </c>
      <c r="C322" s="22" t="s">
        <v>2468</v>
      </c>
      <c r="D322" s="22" t="s">
        <v>2910</v>
      </c>
      <c r="E322" s="21"/>
      <c r="F322" s="22" t="s">
        <v>2911</v>
      </c>
      <c r="G322" s="28" t="s">
        <v>2012</v>
      </c>
      <c r="H322" s="22" t="s">
        <v>2080</v>
      </c>
      <c r="I322" s="21"/>
      <c r="J322" s="22" t="s">
        <v>261</v>
      </c>
      <c r="K322" s="22" t="s">
        <v>924</v>
      </c>
      <c r="L322" s="21"/>
      <c r="M322" s="22" t="s">
        <v>2034</v>
      </c>
      <c r="N322" s="28" t="s">
        <v>2015</v>
      </c>
      <c r="O322" s="28" t="s">
        <v>2016</v>
      </c>
      <c r="P322" s="29">
        <v>1906</v>
      </c>
      <c r="Q322" s="28" t="s">
        <v>2017</v>
      </c>
      <c r="R322" s="31">
        <v>6.4478540982250001</v>
      </c>
      <c r="S322" s="29">
        <v>19003</v>
      </c>
      <c r="T322" s="32">
        <v>295.602222222222</v>
      </c>
      <c r="U322" s="32">
        <v>0</v>
      </c>
      <c r="V322" s="31">
        <v>6.4478540982250001</v>
      </c>
      <c r="W322" s="35">
        <v>46093</v>
      </c>
      <c r="X322" s="35">
        <v>46093</v>
      </c>
    </row>
    <row r="323" spans="1:24" ht="15.75" thickBot="1" x14ac:dyDescent="0.3">
      <c r="A323" t="str">
        <f t="shared" si="4"/>
        <v>DETE41213A</v>
      </c>
      <c r="B323" s="22" t="s">
        <v>1369</v>
      </c>
      <c r="C323" s="22" t="s">
        <v>2728</v>
      </c>
      <c r="D323" s="22" t="s">
        <v>2912</v>
      </c>
      <c r="E323" s="22" t="s">
        <v>2730</v>
      </c>
      <c r="F323" s="22" t="s">
        <v>2913</v>
      </c>
      <c r="G323" s="28" t="s">
        <v>2012</v>
      </c>
      <c r="H323" s="22" t="s">
        <v>2080</v>
      </c>
      <c r="I323" s="21"/>
      <c r="J323" s="22" t="s">
        <v>261</v>
      </c>
      <c r="K323" s="22" t="s">
        <v>924</v>
      </c>
      <c r="L323" s="21"/>
      <c r="M323" s="22" t="s">
        <v>2034</v>
      </c>
      <c r="N323" s="28" t="s">
        <v>2015</v>
      </c>
      <c r="O323" s="28" t="s">
        <v>2016</v>
      </c>
      <c r="P323" s="29">
        <v>1650</v>
      </c>
      <c r="Q323" s="28" t="s">
        <v>2017</v>
      </c>
      <c r="R323" s="31">
        <v>6.518647281921</v>
      </c>
      <c r="S323" s="29">
        <v>16272</v>
      </c>
      <c r="T323" s="32">
        <v>253.12</v>
      </c>
      <c r="U323" s="32">
        <v>0</v>
      </c>
      <c r="V323" s="31">
        <v>6.518647281921</v>
      </c>
      <c r="W323" s="35">
        <v>46093</v>
      </c>
      <c r="X323" s="35">
        <v>46093</v>
      </c>
    </row>
    <row r="324" spans="1:24" ht="15.75" thickBot="1" x14ac:dyDescent="0.3">
      <c r="A324" t="str">
        <f t="shared" si="4"/>
        <v>DETS67111</v>
      </c>
      <c r="B324" s="22" t="s">
        <v>1304</v>
      </c>
      <c r="C324" s="22" t="s">
        <v>2236</v>
      </c>
      <c r="D324" s="22" t="s">
        <v>2914</v>
      </c>
      <c r="E324" s="21"/>
      <c r="F324" s="22" t="s">
        <v>2915</v>
      </c>
      <c r="G324" s="28" t="s">
        <v>2012</v>
      </c>
      <c r="H324" s="22" t="s">
        <v>2055</v>
      </c>
      <c r="I324" s="21"/>
      <c r="J324" s="22" t="s">
        <v>364</v>
      </c>
      <c r="K324" s="22" t="s">
        <v>924</v>
      </c>
      <c r="L324" s="21"/>
      <c r="M324" s="22" t="s">
        <v>2034</v>
      </c>
      <c r="N324" s="28" t="s">
        <v>2015</v>
      </c>
      <c r="O324" s="28" t="s">
        <v>2016</v>
      </c>
      <c r="P324" s="29">
        <v>4263</v>
      </c>
      <c r="Q324" s="28" t="s">
        <v>2017</v>
      </c>
      <c r="R324" s="31">
        <v>6.5405727923620001</v>
      </c>
      <c r="S324" s="29">
        <v>41900</v>
      </c>
      <c r="T324" s="32">
        <v>651.77777777777806</v>
      </c>
      <c r="U324" s="32">
        <v>0</v>
      </c>
      <c r="V324" s="31">
        <v>6.5405727923620001</v>
      </c>
      <c r="W324" s="35">
        <v>46093</v>
      </c>
      <c r="X324" s="35">
        <v>46093</v>
      </c>
    </row>
    <row r="325" spans="1:24" ht="15.75" thickBot="1" x14ac:dyDescent="0.3">
      <c r="A325" t="str">
        <f t="shared" ref="A325:A388" si="5">TRIM(B325)</f>
        <v>M2DB 17E810 GC5YZ9</v>
      </c>
      <c r="B325" s="22" t="s">
        <v>377</v>
      </c>
      <c r="C325" s="22" t="s">
        <v>2916</v>
      </c>
      <c r="D325" s="22" t="s">
        <v>2917</v>
      </c>
      <c r="E325" s="21"/>
      <c r="F325" s="22" t="s">
        <v>2918</v>
      </c>
      <c r="G325" s="28" t="s">
        <v>2012</v>
      </c>
      <c r="H325" s="22" t="s">
        <v>2080</v>
      </c>
      <c r="I325" s="21"/>
      <c r="J325" s="22" t="s">
        <v>364</v>
      </c>
      <c r="K325" s="22" t="s">
        <v>262</v>
      </c>
      <c r="L325" s="21"/>
      <c r="M325" s="22" t="s">
        <v>2014</v>
      </c>
      <c r="N325" s="28" t="s">
        <v>2015</v>
      </c>
      <c r="O325" s="28" t="s">
        <v>2016</v>
      </c>
      <c r="P325" s="29">
        <v>233</v>
      </c>
      <c r="Q325" s="28" t="s">
        <v>2017</v>
      </c>
      <c r="R325" s="31">
        <v>6.4646402367590001</v>
      </c>
      <c r="S325" s="29">
        <v>2317</v>
      </c>
      <c r="T325" s="32">
        <v>36.042222222222001</v>
      </c>
      <c r="U325" s="32">
        <v>0</v>
      </c>
      <c r="V325" s="31">
        <v>6.4646402367590001</v>
      </c>
      <c r="W325" s="35">
        <v>46093</v>
      </c>
      <c r="X325" s="35">
        <v>46093</v>
      </c>
    </row>
    <row r="326" spans="1:24" ht="15.75" thickBot="1" x14ac:dyDescent="0.3">
      <c r="A326" t="str">
        <f t="shared" si="5"/>
        <v>MB3C 5B018 AB</v>
      </c>
      <c r="B326" s="22" t="s">
        <v>939</v>
      </c>
      <c r="C326" s="22" t="s">
        <v>2514</v>
      </c>
      <c r="D326" s="22" t="s">
        <v>2515</v>
      </c>
      <c r="E326" s="21"/>
      <c r="F326" s="22" t="s">
        <v>2919</v>
      </c>
      <c r="G326" s="28" t="s">
        <v>2012</v>
      </c>
      <c r="H326" s="22" t="s">
        <v>2080</v>
      </c>
      <c r="I326" s="21"/>
      <c r="J326" s="22" t="s">
        <v>364</v>
      </c>
      <c r="K326" s="22" t="s">
        <v>924</v>
      </c>
      <c r="L326" s="21"/>
      <c r="M326" s="22" t="s">
        <v>2014</v>
      </c>
      <c r="N326" s="28" t="s">
        <v>2015</v>
      </c>
      <c r="O326" s="28" t="s">
        <v>2016</v>
      </c>
      <c r="P326" s="29">
        <v>2240</v>
      </c>
      <c r="Q326" s="28" t="s">
        <v>2017</v>
      </c>
      <c r="R326" s="31">
        <v>6.7838130682619999</v>
      </c>
      <c r="S326" s="29">
        <v>21227</v>
      </c>
      <c r="T326" s="32">
        <v>330.19777777777801</v>
      </c>
      <c r="U326" s="32">
        <v>0</v>
      </c>
      <c r="V326" s="31">
        <v>6.7838130682619999</v>
      </c>
      <c r="W326" s="35">
        <v>46093</v>
      </c>
      <c r="X326" s="35">
        <v>46093</v>
      </c>
    </row>
    <row r="327" spans="1:24" ht="15.75" thickBot="1" x14ac:dyDescent="0.3">
      <c r="A327" t="str">
        <f t="shared" si="5"/>
        <v>MLD17130016AB</v>
      </c>
      <c r="B327" s="22" t="s">
        <v>812</v>
      </c>
      <c r="C327" s="22" t="s">
        <v>2920</v>
      </c>
      <c r="D327" s="22" t="s">
        <v>2921</v>
      </c>
      <c r="E327" s="22" t="s">
        <v>2792</v>
      </c>
      <c r="F327" s="22" t="s">
        <v>2922</v>
      </c>
      <c r="G327" s="28" t="s">
        <v>2012</v>
      </c>
      <c r="H327" s="22" t="s">
        <v>2794</v>
      </c>
      <c r="I327" s="21"/>
      <c r="J327" s="22" t="s">
        <v>494</v>
      </c>
      <c r="K327" s="22" t="s">
        <v>262</v>
      </c>
      <c r="L327" s="21"/>
      <c r="M327" s="22" t="s">
        <v>2014</v>
      </c>
      <c r="N327" s="28" t="s">
        <v>2015</v>
      </c>
      <c r="O327" s="28" t="s">
        <v>2016</v>
      </c>
      <c r="P327" s="29">
        <v>46</v>
      </c>
      <c r="Q327" s="28" t="s">
        <v>2017</v>
      </c>
      <c r="R327" s="31">
        <v>6.2518876472359999</v>
      </c>
      <c r="S327" s="29">
        <v>473</v>
      </c>
      <c r="T327" s="32">
        <v>7.3577777777769997</v>
      </c>
      <c r="U327" s="32">
        <v>0</v>
      </c>
      <c r="V327" s="31">
        <v>6.2518876472359999</v>
      </c>
      <c r="W327" s="35">
        <v>46093</v>
      </c>
      <c r="X327" s="35">
        <v>46093</v>
      </c>
    </row>
    <row r="328" spans="1:24" ht="15.75" thickBot="1" x14ac:dyDescent="0.3">
      <c r="A328" t="str">
        <f t="shared" si="5"/>
        <v>MLD26243C03</v>
      </c>
      <c r="B328" s="22" t="s">
        <v>721</v>
      </c>
      <c r="C328" s="22" t="s">
        <v>2923</v>
      </c>
      <c r="D328" s="22" t="s">
        <v>2924</v>
      </c>
      <c r="E328" s="21"/>
      <c r="F328" s="22" t="s">
        <v>2215</v>
      </c>
      <c r="G328" s="28" t="s">
        <v>2012</v>
      </c>
      <c r="H328" s="22" t="s">
        <v>2013</v>
      </c>
      <c r="I328" s="21"/>
      <c r="J328" s="22" t="s">
        <v>494</v>
      </c>
      <c r="K328" s="22" t="s">
        <v>262</v>
      </c>
      <c r="L328" s="21"/>
      <c r="M328" s="22" t="s">
        <v>2034</v>
      </c>
      <c r="N328" s="28" t="s">
        <v>2015</v>
      </c>
      <c r="O328" s="28" t="s">
        <v>2016</v>
      </c>
      <c r="P328" s="29">
        <v>1890</v>
      </c>
      <c r="Q328" s="28" t="s">
        <v>2017</v>
      </c>
      <c r="R328" s="31">
        <v>6.9116559531249999</v>
      </c>
      <c r="S328" s="29">
        <v>17579</v>
      </c>
      <c r="T328" s="32">
        <v>273.451111111111</v>
      </c>
      <c r="U328" s="32">
        <v>0</v>
      </c>
      <c r="V328" s="31">
        <v>6.9116559531249999</v>
      </c>
      <c r="W328" s="35">
        <v>46093</v>
      </c>
      <c r="X328" s="35">
        <v>46093</v>
      </c>
    </row>
    <row r="329" spans="1:24" ht="15.75" thickBot="1" x14ac:dyDescent="0.3">
      <c r="A329" t="str">
        <f t="shared" si="5"/>
        <v>MLDE23942APIA30</v>
      </c>
      <c r="B329" s="22" t="s">
        <v>750</v>
      </c>
      <c r="C329" s="22" t="s">
        <v>2925</v>
      </c>
      <c r="D329" s="22" t="s">
        <v>2926</v>
      </c>
      <c r="E329" s="22" t="s">
        <v>2927</v>
      </c>
      <c r="F329" s="22" t="s">
        <v>2928</v>
      </c>
      <c r="G329" s="28" t="s">
        <v>2012</v>
      </c>
      <c r="H329" s="22" t="s">
        <v>2013</v>
      </c>
      <c r="I329" s="21"/>
      <c r="J329" s="22" t="s">
        <v>261</v>
      </c>
      <c r="K329" s="22" t="s">
        <v>262</v>
      </c>
      <c r="L329" s="21"/>
      <c r="M329" s="22" t="s">
        <v>2034</v>
      </c>
      <c r="N329" s="28" t="s">
        <v>2015</v>
      </c>
      <c r="O329" s="28" t="s">
        <v>2016</v>
      </c>
      <c r="P329" s="29">
        <v>1192</v>
      </c>
      <c r="Q329" s="28" t="s">
        <v>2017</v>
      </c>
      <c r="R329" s="31">
        <v>6.1283246503970004</v>
      </c>
      <c r="S329" s="29">
        <v>12504</v>
      </c>
      <c r="T329" s="32">
        <v>194.506666666667</v>
      </c>
      <c r="U329" s="32">
        <v>0</v>
      </c>
      <c r="V329" s="31">
        <v>6.1283246503970004</v>
      </c>
      <c r="W329" s="35">
        <v>46093</v>
      </c>
      <c r="X329" s="35">
        <v>46093</v>
      </c>
    </row>
    <row r="330" spans="1:24" ht="15.75" thickBot="1" x14ac:dyDescent="0.3">
      <c r="A330" t="str">
        <f t="shared" si="5"/>
        <v>N1WB 16D232 BB</v>
      </c>
      <c r="B330" s="22" t="s">
        <v>1814</v>
      </c>
      <c r="C330" s="22" t="s">
        <v>2929</v>
      </c>
      <c r="D330" s="22" t="s">
        <v>2930</v>
      </c>
      <c r="E330" s="22" t="s">
        <v>2929</v>
      </c>
      <c r="F330" s="22" t="s">
        <v>2931</v>
      </c>
      <c r="G330" s="28" t="s">
        <v>2012</v>
      </c>
      <c r="H330" s="22" t="s">
        <v>2080</v>
      </c>
      <c r="I330" s="21"/>
      <c r="J330" s="22" t="s">
        <v>261</v>
      </c>
      <c r="K330" s="22" t="s">
        <v>924</v>
      </c>
      <c r="L330" s="21"/>
      <c r="M330" s="22" t="s">
        <v>2014</v>
      </c>
      <c r="N330" s="28" t="s">
        <v>2015</v>
      </c>
      <c r="O330" s="28" t="s">
        <v>2016</v>
      </c>
      <c r="P330" s="29">
        <v>1692</v>
      </c>
      <c r="Q330" s="28" t="s">
        <v>2017</v>
      </c>
      <c r="R330" s="31">
        <v>6.5328185328180002</v>
      </c>
      <c r="S330" s="29">
        <v>16650</v>
      </c>
      <c r="T330" s="32">
        <v>259</v>
      </c>
      <c r="U330" s="32">
        <v>0</v>
      </c>
      <c r="V330" s="31">
        <v>6.5328185328180002</v>
      </c>
      <c r="W330" s="35">
        <v>46093</v>
      </c>
      <c r="X330" s="35">
        <v>46093</v>
      </c>
    </row>
    <row r="331" spans="1:24" ht="15.75" thickBot="1" x14ac:dyDescent="0.3">
      <c r="A331" t="str">
        <f t="shared" si="5"/>
        <v>N1WB 16D233 BB</v>
      </c>
      <c r="B331" s="22" t="s">
        <v>1816</v>
      </c>
      <c r="C331" s="22" t="s">
        <v>2932</v>
      </c>
      <c r="D331" s="22" t="s">
        <v>2930</v>
      </c>
      <c r="E331" s="22" t="s">
        <v>2932</v>
      </c>
      <c r="F331" s="22" t="s">
        <v>2933</v>
      </c>
      <c r="G331" s="28" t="s">
        <v>2012</v>
      </c>
      <c r="H331" s="22" t="s">
        <v>2080</v>
      </c>
      <c r="I331" s="21"/>
      <c r="J331" s="22" t="s">
        <v>261</v>
      </c>
      <c r="K331" s="22" t="s">
        <v>924</v>
      </c>
      <c r="L331" s="21"/>
      <c r="M331" s="22" t="s">
        <v>2014</v>
      </c>
      <c r="N331" s="28" t="s">
        <v>2015</v>
      </c>
      <c r="O331" s="28" t="s">
        <v>2016</v>
      </c>
      <c r="P331" s="29">
        <v>1753</v>
      </c>
      <c r="Q331" s="28" t="s">
        <v>2017</v>
      </c>
      <c r="R331" s="31">
        <v>6.5863738832759999</v>
      </c>
      <c r="S331" s="29">
        <v>17110</v>
      </c>
      <c r="T331" s="32">
        <v>266.15555555555602</v>
      </c>
      <c r="U331" s="32">
        <v>0</v>
      </c>
      <c r="V331" s="31">
        <v>6.5863738832759999</v>
      </c>
      <c r="W331" s="35">
        <v>46093</v>
      </c>
      <c r="X331" s="35">
        <v>46093</v>
      </c>
    </row>
    <row r="332" spans="1:24" ht="15.75" thickBot="1" x14ac:dyDescent="0.3">
      <c r="A332" t="str">
        <f t="shared" si="5"/>
        <v>N1WB E03513 EH31NB</v>
      </c>
      <c r="B332" s="22" t="s">
        <v>273</v>
      </c>
      <c r="C332" s="22" t="s">
        <v>2934</v>
      </c>
      <c r="D332" s="22" t="s">
        <v>2935</v>
      </c>
      <c r="E332" s="21"/>
      <c r="F332" s="22" t="s">
        <v>2398</v>
      </c>
      <c r="G332" s="28" t="s">
        <v>2012</v>
      </c>
      <c r="H332" s="22" t="s">
        <v>2055</v>
      </c>
      <c r="I332" s="21"/>
      <c r="J332" s="22" t="s">
        <v>261</v>
      </c>
      <c r="K332" s="22" t="s">
        <v>262</v>
      </c>
      <c r="L332" s="21"/>
      <c r="M332" s="22" t="s">
        <v>2014</v>
      </c>
      <c r="N332" s="28" t="s">
        <v>2015</v>
      </c>
      <c r="O332" s="28" t="s">
        <v>2016</v>
      </c>
      <c r="P332" s="29">
        <v>254</v>
      </c>
      <c r="Q332" s="28" t="s">
        <v>2017</v>
      </c>
      <c r="R332" s="31">
        <v>6.1524383679619996</v>
      </c>
      <c r="S332" s="29">
        <v>2654</v>
      </c>
      <c r="T332" s="32">
        <v>41.284444444443999</v>
      </c>
      <c r="U332" s="32">
        <v>0</v>
      </c>
      <c r="V332" s="31">
        <v>6.1524383679619996</v>
      </c>
      <c r="W332" s="35">
        <v>46093</v>
      </c>
      <c r="X332" s="35">
        <v>46093</v>
      </c>
    </row>
    <row r="333" spans="1:24" ht="15.75" thickBot="1" x14ac:dyDescent="0.3">
      <c r="A333" t="str">
        <f t="shared" si="5"/>
        <v>N1WB E268A05 CB</v>
      </c>
      <c r="B333" s="22" t="s">
        <v>1316</v>
      </c>
      <c r="C333" s="22" t="s">
        <v>2936</v>
      </c>
      <c r="D333" s="22" t="s">
        <v>2681</v>
      </c>
      <c r="E333" s="21"/>
      <c r="F333" s="22" t="s">
        <v>2030</v>
      </c>
      <c r="G333" s="28" t="s">
        <v>2012</v>
      </c>
      <c r="H333" s="22" t="s">
        <v>2682</v>
      </c>
      <c r="I333" s="21"/>
      <c r="J333" s="22" t="s">
        <v>261</v>
      </c>
      <c r="K333" s="22" t="s">
        <v>924</v>
      </c>
      <c r="L333" s="21"/>
      <c r="M333" s="22" t="s">
        <v>2014</v>
      </c>
      <c r="N333" s="28" t="s">
        <v>2015</v>
      </c>
      <c r="O333" s="28" t="s">
        <v>2016</v>
      </c>
      <c r="P333" s="29">
        <v>1760</v>
      </c>
      <c r="Q333" s="28" t="s">
        <v>2017</v>
      </c>
      <c r="R333" s="31">
        <v>6.5024630541870003</v>
      </c>
      <c r="S333" s="29">
        <v>17400</v>
      </c>
      <c r="T333" s="32">
        <v>270.66666666666703</v>
      </c>
      <c r="U333" s="32">
        <v>0</v>
      </c>
      <c r="V333" s="31">
        <v>6.5024630541870003</v>
      </c>
      <c r="W333" s="35">
        <v>46093</v>
      </c>
      <c r="X333" s="35">
        <v>46093</v>
      </c>
    </row>
    <row r="334" spans="1:24" ht="15.75" thickBot="1" x14ac:dyDescent="0.3">
      <c r="A334" t="str">
        <f t="shared" si="5"/>
        <v>N1WB E40781 AC</v>
      </c>
      <c r="B334" s="22" t="s">
        <v>1799</v>
      </c>
      <c r="C334" s="22" t="s">
        <v>2937</v>
      </c>
      <c r="D334" s="22" t="s">
        <v>2456</v>
      </c>
      <c r="E334" s="22" t="s">
        <v>2457</v>
      </c>
      <c r="F334" s="22" t="s">
        <v>2255</v>
      </c>
      <c r="G334" s="28" t="s">
        <v>2012</v>
      </c>
      <c r="H334" s="22" t="s">
        <v>2013</v>
      </c>
      <c r="I334" s="21"/>
      <c r="J334" s="22" t="s">
        <v>261</v>
      </c>
      <c r="K334" s="22" t="s">
        <v>924</v>
      </c>
      <c r="L334" s="21"/>
      <c r="M334" s="22" t="s">
        <v>2014</v>
      </c>
      <c r="N334" s="28" t="s">
        <v>2015</v>
      </c>
      <c r="O334" s="28" t="s">
        <v>2016</v>
      </c>
      <c r="P334" s="29">
        <v>1801</v>
      </c>
      <c r="Q334" s="28" t="s">
        <v>2017</v>
      </c>
      <c r="R334" s="31">
        <v>6.9914596273290002</v>
      </c>
      <c r="S334" s="29">
        <v>16560</v>
      </c>
      <c r="T334" s="32">
        <v>257.60000000000002</v>
      </c>
      <c r="U334" s="32">
        <v>0</v>
      </c>
      <c r="V334" s="31">
        <v>6.9914596273290002</v>
      </c>
      <c r="W334" s="35">
        <v>46093</v>
      </c>
      <c r="X334" s="35">
        <v>46093</v>
      </c>
    </row>
    <row r="335" spans="1:24" ht="15.75" thickBot="1" x14ac:dyDescent="0.3">
      <c r="A335" t="str">
        <f t="shared" si="5"/>
        <v>N1WB E51104 AA</v>
      </c>
      <c r="B335" s="22" t="s">
        <v>1968</v>
      </c>
      <c r="C335" s="22" t="s">
        <v>2938</v>
      </c>
      <c r="D335" s="22" t="s">
        <v>2939</v>
      </c>
      <c r="E335" s="21"/>
      <c r="F335" s="22" t="s">
        <v>2030</v>
      </c>
      <c r="G335" s="28" t="s">
        <v>2012</v>
      </c>
      <c r="H335" s="22" t="s">
        <v>2080</v>
      </c>
      <c r="I335" s="21"/>
      <c r="J335" s="22" t="s">
        <v>261</v>
      </c>
      <c r="K335" s="22" t="s">
        <v>924</v>
      </c>
      <c r="L335" s="21"/>
      <c r="M335" s="22" t="s">
        <v>2014</v>
      </c>
      <c r="N335" s="28" t="s">
        <v>2015</v>
      </c>
      <c r="O335" s="28" t="s">
        <v>2016</v>
      </c>
      <c r="P335" s="29">
        <v>1681</v>
      </c>
      <c r="Q335" s="28" t="s">
        <v>2017</v>
      </c>
      <c r="R335" s="31">
        <v>6.297452547452</v>
      </c>
      <c r="S335" s="29">
        <v>17160</v>
      </c>
      <c r="T335" s="32">
        <v>266.933333333333</v>
      </c>
      <c r="U335" s="32">
        <v>0</v>
      </c>
      <c r="V335" s="31">
        <v>6.297452547452</v>
      </c>
      <c r="W335" s="35">
        <v>46093</v>
      </c>
      <c r="X335" s="35">
        <v>46093</v>
      </c>
    </row>
    <row r="336" spans="1:24" ht="15.75" thickBot="1" x14ac:dyDescent="0.3">
      <c r="A336" t="str">
        <f t="shared" si="5"/>
        <v>N1WB E51105 AA</v>
      </c>
      <c r="B336" s="22" t="s">
        <v>1970</v>
      </c>
      <c r="C336" s="22" t="s">
        <v>2769</v>
      </c>
      <c r="D336" s="22" t="s">
        <v>2939</v>
      </c>
      <c r="E336" s="21"/>
      <c r="F336" s="22" t="s">
        <v>2030</v>
      </c>
      <c r="G336" s="28" t="s">
        <v>2012</v>
      </c>
      <c r="H336" s="22" t="s">
        <v>2080</v>
      </c>
      <c r="I336" s="21"/>
      <c r="J336" s="22" t="s">
        <v>261</v>
      </c>
      <c r="K336" s="22" t="s">
        <v>924</v>
      </c>
      <c r="L336" s="21"/>
      <c r="M336" s="22" t="s">
        <v>2014</v>
      </c>
      <c r="N336" s="28" t="s">
        <v>2015</v>
      </c>
      <c r="O336" s="28" t="s">
        <v>2016</v>
      </c>
      <c r="P336" s="29">
        <v>1757</v>
      </c>
      <c r="Q336" s="28" t="s">
        <v>2017</v>
      </c>
      <c r="R336" s="31">
        <v>6.4322323462410003</v>
      </c>
      <c r="S336" s="29">
        <v>17560</v>
      </c>
      <c r="T336" s="32">
        <v>273.15555555555602</v>
      </c>
      <c r="U336" s="32">
        <v>0</v>
      </c>
      <c r="V336" s="31">
        <v>6.4322323462410003</v>
      </c>
      <c r="W336" s="35">
        <v>46093</v>
      </c>
      <c r="X336" s="35">
        <v>46093</v>
      </c>
    </row>
    <row r="337" spans="1:24" ht="15.75" thickBot="1" x14ac:dyDescent="0.3">
      <c r="A337" t="str">
        <f t="shared" si="5"/>
        <v>PC.WL68436048</v>
      </c>
      <c r="B337" s="22" t="s">
        <v>1822</v>
      </c>
      <c r="C337" s="22" t="s">
        <v>2940</v>
      </c>
      <c r="D337" s="22" t="s">
        <v>2941</v>
      </c>
      <c r="E337" s="22" t="s">
        <v>2942</v>
      </c>
      <c r="F337" s="22" t="s">
        <v>2943</v>
      </c>
      <c r="G337" s="28" t="s">
        <v>2012</v>
      </c>
      <c r="H337" s="22" t="s">
        <v>2022</v>
      </c>
      <c r="I337" s="21"/>
      <c r="J337" s="22" t="s">
        <v>1117</v>
      </c>
      <c r="K337" s="22" t="s">
        <v>924</v>
      </c>
      <c r="L337" s="21"/>
      <c r="M337" s="22" t="s">
        <v>2014</v>
      </c>
      <c r="N337" s="28" t="s">
        <v>2015</v>
      </c>
      <c r="O337" s="28" t="s">
        <v>2016</v>
      </c>
      <c r="P337" s="29">
        <v>3638</v>
      </c>
      <c r="Q337" s="28" t="s">
        <v>2017</v>
      </c>
      <c r="R337" s="31">
        <v>6.8184089962509997</v>
      </c>
      <c r="S337" s="29">
        <v>34300</v>
      </c>
      <c r="T337" s="32">
        <v>533.555555555556</v>
      </c>
      <c r="U337" s="32">
        <v>0</v>
      </c>
      <c r="V337" s="31">
        <v>6.8184089962509997</v>
      </c>
      <c r="W337" s="35">
        <v>46093</v>
      </c>
      <c r="X337" s="35">
        <v>46093</v>
      </c>
    </row>
    <row r="338" spans="1:24" ht="15.75" thickBot="1" x14ac:dyDescent="0.3">
      <c r="A338" t="str">
        <f t="shared" si="5"/>
        <v>PC02221</v>
      </c>
      <c r="B338" s="22" t="s">
        <v>1377</v>
      </c>
      <c r="C338" s="22" t="s">
        <v>2944</v>
      </c>
      <c r="D338" s="22" t="s">
        <v>1378</v>
      </c>
      <c r="E338" s="22" t="s">
        <v>2945</v>
      </c>
      <c r="F338" s="22" t="s">
        <v>2946</v>
      </c>
      <c r="G338" s="28" t="s">
        <v>2012</v>
      </c>
      <c r="H338" s="22" t="s">
        <v>2487</v>
      </c>
      <c r="I338" s="21"/>
      <c r="J338" s="22" t="s">
        <v>364</v>
      </c>
      <c r="K338" s="22" t="s">
        <v>924</v>
      </c>
      <c r="L338" s="21"/>
      <c r="M338" s="22" t="s">
        <v>2014</v>
      </c>
      <c r="N338" s="28" t="s">
        <v>2015</v>
      </c>
      <c r="O338" s="28" t="s">
        <v>2016</v>
      </c>
      <c r="P338" s="29">
        <v>4479</v>
      </c>
      <c r="Q338" s="28" t="s">
        <v>2017</v>
      </c>
      <c r="R338" s="31">
        <v>6.5143826761470001</v>
      </c>
      <c r="S338" s="29">
        <v>44200</v>
      </c>
      <c r="T338" s="32">
        <v>687.555555555556</v>
      </c>
      <c r="U338" s="32">
        <v>0</v>
      </c>
      <c r="V338" s="31">
        <v>6.5143826761470001</v>
      </c>
      <c r="W338" s="35">
        <v>46093</v>
      </c>
      <c r="X338" s="35">
        <v>46093</v>
      </c>
    </row>
    <row r="339" spans="1:24" ht="15.75" thickBot="1" x14ac:dyDescent="0.3">
      <c r="A339" t="str">
        <f t="shared" si="5"/>
        <v>PC31593A</v>
      </c>
      <c r="B339" s="22" t="s">
        <v>1186</v>
      </c>
      <c r="C339" s="22" t="s">
        <v>2947</v>
      </c>
      <c r="D339" s="22" t="s">
        <v>2948</v>
      </c>
      <c r="E339" s="22" t="s">
        <v>2949</v>
      </c>
      <c r="F339" s="22" t="s">
        <v>2950</v>
      </c>
      <c r="G339" s="28" t="s">
        <v>2012</v>
      </c>
      <c r="H339" s="22" t="s">
        <v>2022</v>
      </c>
      <c r="I339" s="21"/>
      <c r="J339" s="22" t="s">
        <v>1117</v>
      </c>
      <c r="K339" s="22" t="s">
        <v>924</v>
      </c>
      <c r="L339" s="21"/>
      <c r="M339" s="22" t="s">
        <v>2014</v>
      </c>
      <c r="N339" s="28" t="s">
        <v>2015</v>
      </c>
      <c r="O339" s="28" t="s">
        <v>2016</v>
      </c>
      <c r="P339" s="29">
        <v>3602</v>
      </c>
      <c r="Q339" s="28" t="s">
        <v>2017</v>
      </c>
      <c r="R339" s="31">
        <v>6.653940886699</v>
      </c>
      <c r="S339" s="29">
        <v>34800</v>
      </c>
      <c r="T339" s="32">
        <v>541.33333333333303</v>
      </c>
      <c r="U339" s="32">
        <v>0</v>
      </c>
      <c r="V339" s="31">
        <v>6.653940886699</v>
      </c>
      <c r="W339" s="35">
        <v>46093</v>
      </c>
      <c r="X339" s="35">
        <v>46093</v>
      </c>
    </row>
    <row r="340" spans="1:24" ht="15.75" thickBot="1" x14ac:dyDescent="0.3">
      <c r="A340" t="str">
        <f t="shared" si="5"/>
        <v>PCPGMBEW18200</v>
      </c>
      <c r="B340" s="22" t="s">
        <v>2951</v>
      </c>
      <c r="C340" s="22" t="s">
        <v>2952</v>
      </c>
      <c r="D340" s="22" t="s">
        <v>2953</v>
      </c>
      <c r="E340" s="21"/>
      <c r="F340" s="22" t="s">
        <v>2030</v>
      </c>
      <c r="G340" s="28" t="s">
        <v>2012</v>
      </c>
      <c r="H340" s="22" t="s">
        <v>2491</v>
      </c>
      <c r="I340" s="22" t="s">
        <v>2492</v>
      </c>
      <c r="J340" s="22" t="s">
        <v>404</v>
      </c>
      <c r="K340" s="22" t="s">
        <v>262</v>
      </c>
      <c r="L340" s="22" t="s">
        <v>2493</v>
      </c>
      <c r="M340" s="22" t="s">
        <v>2130</v>
      </c>
      <c r="N340" s="28" t="s">
        <v>2494</v>
      </c>
      <c r="O340" s="28" t="s">
        <v>2016</v>
      </c>
      <c r="P340" s="29">
        <v>78</v>
      </c>
      <c r="Q340" s="28" t="s">
        <v>2017</v>
      </c>
      <c r="R340" s="31">
        <v>6.3633067440169997</v>
      </c>
      <c r="S340" s="29">
        <v>788</v>
      </c>
      <c r="T340" s="32">
        <v>12.257777777776999</v>
      </c>
      <c r="U340" s="32">
        <v>0</v>
      </c>
      <c r="V340" s="31">
        <v>6.3633067440169997</v>
      </c>
      <c r="W340" s="35">
        <v>46093</v>
      </c>
      <c r="X340" s="35">
        <v>46093</v>
      </c>
    </row>
    <row r="341" spans="1:24" ht="15.75" thickBot="1" x14ac:dyDescent="0.3">
      <c r="A341" t="str">
        <f t="shared" si="5"/>
        <v>PCS2610142AB</v>
      </c>
      <c r="B341" s="22" t="s">
        <v>2954</v>
      </c>
      <c r="C341" s="21"/>
      <c r="D341" s="22" t="s">
        <v>2955</v>
      </c>
      <c r="E341" s="21"/>
      <c r="F341" s="22" t="s">
        <v>2956</v>
      </c>
      <c r="G341" s="28" t="s">
        <v>2012</v>
      </c>
      <c r="H341" s="22" t="s">
        <v>2499</v>
      </c>
      <c r="I341" s="22" t="s">
        <v>2500</v>
      </c>
      <c r="J341" s="22" t="s">
        <v>494</v>
      </c>
      <c r="K341" s="22" t="s">
        <v>924</v>
      </c>
      <c r="L341" s="22" t="s">
        <v>2501</v>
      </c>
      <c r="M341" s="22" t="s">
        <v>2130</v>
      </c>
      <c r="N341" s="28" t="s">
        <v>2494</v>
      </c>
      <c r="O341" s="28" t="s">
        <v>2016</v>
      </c>
      <c r="P341" s="29">
        <v>1835</v>
      </c>
      <c r="Q341" s="28" t="s">
        <v>2017</v>
      </c>
      <c r="R341" s="31">
        <v>6.826636904761</v>
      </c>
      <c r="S341" s="29">
        <v>17280</v>
      </c>
      <c r="T341" s="32">
        <v>268.8</v>
      </c>
      <c r="U341" s="32">
        <v>0</v>
      </c>
      <c r="V341" s="31">
        <v>6.826636904761</v>
      </c>
      <c r="W341" s="35">
        <v>46093</v>
      </c>
      <c r="X341" s="35">
        <v>46093</v>
      </c>
    </row>
    <row r="342" spans="1:24" ht="15.75" thickBot="1" x14ac:dyDescent="0.3">
      <c r="A342" t="str">
        <f t="shared" si="5"/>
        <v>PCSW520774S300</v>
      </c>
      <c r="B342" s="22" t="s">
        <v>2957</v>
      </c>
      <c r="C342" s="22" t="s">
        <v>2958</v>
      </c>
      <c r="D342" s="22" t="s">
        <v>2959</v>
      </c>
      <c r="E342" s="22" t="s">
        <v>2960</v>
      </c>
      <c r="F342" s="22" t="s">
        <v>2961</v>
      </c>
      <c r="G342" s="28" t="s">
        <v>2012</v>
      </c>
      <c r="H342" s="22" t="s">
        <v>2962</v>
      </c>
      <c r="I342" s="22" t="s">
        <v>2963</v>
      </c>
      <c r="J342" s="22" t="s">
        <v>261</v>
      </c>
      <c r="K342" s="22" t="s">
        <v>924</v>
      </c>
      <c r="L342" s="22" t="s">
        <v>2964</v>
      </c>
      <c r="M342" s="22" t="s">
        <v>2130</v>
      </c>
      <c r="N342" s="28" t="s">
        <v>2494</v>
      </c>
      <c r="O342" s="28" t="s">
        <v>2016</v>
      </c>
      <c r="P342" s="29">
        <v>6162</v>
      </c>
      <c r="Q342" s="28" t="s">
        <v>2017</v>
      </c>
      <c r="R342" s="31">
        <v>6.3839192185230003</v>
      </c>
      <c r="S342" s="29">
        <v>62051</v>
      </c>
      <c r="T342" s="32">
        <v>965.23777777777798</v>
      </c>
      <c r="U342" s="32">
        <v>0</v>
      </c>
      <c r="V342" s="31">
        <v>6.3839192185230003</v>
      </c>
      <c r="W342" s="35">
        <v>46093</v>
      </c>
      <c r="X342" s="35">
        <v>46093</v>
      </c>
    </row>
    <row r="343" spans="1:24" ht="15.75" thickBot="1" x14ac:dyDescent="0.3">
      <c r="A343" t="str">
        <f t="shared" si="5"/>
        <v>PUR21000K50 A</v>
      </c>
      <c r="B343" s="22" t="s">
        <v>1561</v>
      </c>
      <c r="C343" s="22" t="s">
        <v>2965</v>
      </c>
      <c r="D343" s="22" t="s">
        <v>1562</v>
      </c>
      <c r="E343" s="22" t="s">
        <v>2966</v>
      </c>
      <c r="F343" s="22" t="s">
        <v>2967</v>
      </c>
      <c r="G343" s="28" t="s">
        <v>2012</v>
      </c>
      <c r="H343" s="22" t="s">
        <v>2968</v>
      </c>
      <c r="I343" s="21"/>
      <c r="J343" s="22" t="s">
        <v>364</v>
      </c>
      <c r="K343" s="22" t="s">
        <v>924</v>
      </c>
      <c r="L343" s="21"/>
      <c r="M343" s="22" t="s">
        <v>2014</v>
      </c>
      <c r="N343" s="28" t="s">
        <v>2015</v>
      </c>
      <c r="O343" s="28" t="s">
        <v>2016</v>
      </c>
      <c r="P343" s="29">
        <v>67909</v>
      </c>
      <c r="Q343" s="28" t="s">
        <v>2017</v>
      </c>
      <c r="R343" s="31">
        <v>6.5710247504819996</v>
      </c>
      <c r="S343" s="29">
        <v>664368</v>
      </c>
      <c r="T343" s="32">
        <v>10334.6133333333</v>
      </c>
      <c r="U343" s="32">
        <v>0</v>
      </c>
      <c r="V343" s="31">
        <v>6.5710247504819996</v>
      </c>
      <c r="W343" s="35">
        <v>46093</v>
      </c>
      <c r="X343" s="35">
        <v>46093</v>
      </c>
    </row>
    <row r="344" spans="1:24" ht="15.75" thickBot="1" x14ac:dyDescent="0.3">
      <c r="A344" t="str">
        <f t="shared" si="5"/>
        <v>R1WB E41018 CA</v>
      </c>
      <c r="B344" s="22" t="s">
        <v>294</v>
      </c>
      <c r="C344" s="22" t="s">
        <v>2969</v>
      </c>
      <c r="D344" s="22" t="s">
        <v>2970</v>
      </c>
      <c r="E344" s="21"/>
      <c r="F344" s="22" t="s">
        <v>2971</v>
      </c>
      <c r="G344" s="28" t="s">
        <v>2012</v>
      </c>
      <c r="H344" s="22" t="s">
        <v>2055</v>
      </c>
      <c r="I344" s="21"/>
      <c r="J344" s="22" t="s">
        <v>261</v>
      </c>
      <c r="K344" s="22" t="s">
        <v>262</v>
      </c>
      <c r="L344" s="21"/>
      <c r="M344" s="22" t="s">
        <v>2014</v>
      </c>
      <c r="N344" s="28" t="s">
        <v>2015</v>
      </c>
      <c r="O344" s="28" t="s">
        <v>2016</v>
      </c>
      <c r="P344" s="29">
        <v>1674</v>
      </c>
      <c r="Q344" s="28" t="s">
        <v>2017</v>
      </c>
      <c r="R344" s="31">
        <v>6.2179630042339999</v>
      </c>
      <c r="S344" s="29">
        <v>17307</v>
      </c>
      <c r="T344" s="32">
        <v>269.22000000000003</v>
      </c>
      <c r="U344" s="32">
        <v>0</v>
      </c>
      <c r="V344" s="31">
        <v>6.2179630042339999</v>
      </c>
      <c r="W344" s="35">
        <v>46093</v>
      </c>
      <c r="X344" s="35">
        <v>46093</v>
      </c>
    </row>
    <row r="345" spans="1:24" ht="15.75" thickBot="1" x14ac:dyDescent="0.3">
      <c r="A345" t="str">
        <f t="shared" si="5"/>
        <v>RMPPP8285E1</v>
      </c>
      <c r="B345" s="22" t="s">
        <v>2972</v>
      </c>
      <c r="C345" s="22" t="s">
        <v>2973</v>
      </c>
      <c r="D345" s="22" t="s">
        <v>2974</v>
      </c>
      <c r="E345" s="22" t="s">
        <v>2975</v>
      </c>
      <c r="F345" s="22" t="s">
        <v>2030</v>
      </c>
      <c r="G345" s="28" t="s">
        <v>2012</v>
      </c>
      <c r="H345" s="22" t="s">
        <v>2976</v>
      </c>
      <c r="I345" s="22" t="s">
        <v>2977</v>
      </c>
      <c r="J345" s="22" t="s">
        <v>261</v>
      </c>
      <c r="K345" s="22" t="s">
        <v>262</v>
      </c>
      <c r="L345" s="22" t="s">
        <v>2711</v>
      </c>
      <c r="M345" s="22" t="s">
        <v>2523</v>
      </c>
      <c r="N345" s="28" t="s">
        <v>2494</v>
      </c>
      <c r="O345" s="28" t="s">
        <v>2016</v>
      </c>
      <c r="P345" s="29">
        <v>40441.239000000001</v>
      </c>
      <c r="Q345" s="28" t="s">
        <v>1164</v>
      </c>
      <c r="R345" s="31">
        <v>6.844082342259</v>
      </c>
      <c r="S345" s="34">
        <v>379860.11940000003</v>
      </c>
      <c r="T345" s="32">
        <v>5908.9351906666698</v>
      </c>
      <c r="U345" s="32">
        <v>0</v>
      </c>
      <c r="V345" s="31">
        <v>6.844082342259</v>
      </c>
      <c r="W345" s="35">
        <v>46093</v>
      </c>
      <c r="X345" s="35">
        <v>46093</v>
      </c>
    </row>
    <row r="346" spans="1:24" ht="15.75" thickBot="1" x14ac:dyDescent="0.3">
      <c r="A346" t="str">
        <f t="shared" si="5"/>
        <v>RMS26111B94A</v>
      </c>
      <c r="B346" s="22" t="s">
        <v>2978</v>
      </c>
      <c r="C346" s="22" t="s">
        <v>2979</v>
      </c>
      <c r="D346" s="22" t="s">
        <v>2980</v>
      </c>
      <c r="E346" s="22" t="s">
        <v>2527</v>
      </c>
      <c r="F346" s="22" t="s">
        <v>2981</v>
      </c>
      <c r="G346" s="28" t="s">
        <v>2012</v>
      </c>
      <c r="H346" s="22" t="s">
        <v>2982</v>
      </c>
      <c r="I346" s="22" t="s">
        <v>2983</v>
      </c>
      <c r="J346" s="22" t="s">
        <v>261</v>
      </c>
      <c r="K346" s="22" t="s">
        <v>924</v>
      </c>
      <c r="L346" s="22" t="s">
        <v>2531</v>
      </c>
      <c r="M346" s="22" t="s">
        <v>2532</v>
      </c>
      <c r="N346" s="28" t="s">
        <v>2494</v>
      </c>
      <c r="O346" s="28" t="s">
        <v>2016</v>
      </c>
      <c r="P346" s="29">
        <v>17992.968000000001</v>
      </c>
      <c r="Q346" s="28" t="s">
        <v>1164</v>
      </c>
      <c r="R346" s="31">
        <v>6.979704424575</v>
      </c>
      <c r="S346" s="34">
        <v>165722.03200000001</v>
      </c>
      <c r="T346" s="32">
        <v>2577.8982755555598</v>
      </c>
      <c r="U346" s="32">
        <v>0</v>
      </c>
      <c r="V346" s="31">
        <v>6.979704424575</v>
      </c>
      <c r="W346" s="35">
        <v>46093</v>
      </c>
      <c r="X346" s="35">
        <v>46093</v>
      </c>
    </row>
    <row r="347" spans="1:24" ht="15.75" thickBot="1" x14ac:dyDescent="0.3">
      <c r="A347" t="str">
        <f t="shared" si="5"/>
        <v>86584061</v>
      </c>
      <c r="B347" s="22" t="s">
        <v>429</v>
      </c>
      <c r="C347" s="22" t="s">
        <v>2984</v>
      </c>
      <c r="D347" s="22" t="s">
        <v>2985</v>
      </c>
      <c r="E347" s="22" t="s">
        <v>2986</v>
      </c>
      <c r="F347" s="22" t="s">
        <v>2987</v>
      </c>
      <c r="G347" s="28" t="s">
        <v>2012</v>
      </c>
      <c r="H347" s="22" t="s">
        <v>2027</v>
      </c>
      <c r="I347" s="21"/>
      <c r="J347" s="22" t="s">
        <v>404</v>
      </c>
      <c r="K347" s="22" t="s">
        <v>262</v>
      </c>
      <c r="L347" s="21"/>
      <c r="M347" s="22" t="s">
        <v>2014</v>
      </c>
      <c r="N347" s="28" t="s">
        <v>2015</v>
      </c>
      <c r="O347" s="28" t="s">
        <v>2016</v>
      </c>
      <c r="P347" s="29">
        <v>153</v>
      </c>
      <c r="Q347" s="28" t="s">
        <v>2017</v>
      </c>
      <c r="R347" s="31">
        <v>7.3841698841690002</v>
      </c>
      <c r="S347" s="29">
        <v>1332</v>
      </c>
      <c r="T347" s="32">
        <v>20.72</v>
      </c>
      <c r="U347" s="32">
        <v>0</v>
      </c>
      <c r="V347" s="31">
        <v>7.3841698841690002</v>
      </c>
      <c r="W347" s="35">
        <v>46094</v>
      </c>
      <c r="X347" s="35">
        <v>46094</v>
      </c>
    </row>
    <row r="348" spans="1:24" ht="15.75" thickBot="1" x14ac:dyDescent="0.3">
      <c r="A348" t="str">
        <f t="shared" si="5"/>
        <v>ASY10723SNAP</v>
      </c>
      <c r="B348" s="22" t="s">
        <v>2988</v>
      </c>
      <c r="C348" s="22" t="s">
        <v>2989</v>
      </c>
      <c r="D348" s="22" t="s">
        <v>2990</v>
      </c>
      <c r="E348" s="22" t="s">
        <v>2991</v>
      </c>
      <c r="F348" s="22" t="s">
        <v>2992</v>
      </c>
      <c r="G348" s="28" t="s">
        <v>2012</v>
      </c>
      <c r="H348" s="22" t="s">
        <v>2751</v>
      </c>
      <c r="I348" s="21"/>
      <c r="J348" s="22" t="s">
        <v>261</v>
      </c>
      <c r="K348" s="22" t="s">
        <v>924</v>
      </c>
      <c r="L348" s="21"/>
      <c r="M348" s="22" t="s">
        <v>2034</v>
      </c>
      <c r="N348" s="28" t="s">
        <v>2015</v>
      </c>
      <c r="O348" s="28" t="s">
        <v>2016</v>
      </c>
      <c r="P348" s="29">
        <v>1984</v>
      </c>
      <c r="Q348" s="28" t="s">
        <v>2017</v>
      </c>
      <c r="R348" s="31">
        <v>7.0743167753530001</v>
      </c>
      <c r="S348" s="29">
        <v>18029</v>
      </c>
      <c r="T348" s="32">
        <v>280.451111111111</v>
      </c>
      <c r="U348" s="32">
        <v>0</v>
      </c>
      <c r="V348" s="31">
        <v>7.0743167753530001</v>
      </c>
      <c r="W348" s="35">
        <v>46094</v>
      </c>
      <c r="X348" s="35">
        <v>46094</v>
      </c>
    </row>
    <row r="349" spans="1:24" ht="15.75" thickBot="1" x14ac:dyDescent="0.3">
      <c r="A349" t="str">
        <f t="shared" si="5"/>
        <v>ASYHS40L77W21</v>
      </c>
      <c r="B349" s="22" t="s">
        <v>1699</v>
      </c>
      <c r="C349" s="22" t="s">
        <v>2993</v>
      </c>
      <c r="D349" s="22" t="s">
        <v>2994</v>
      </c>
      <c r="E349" s="22" t="s">
        <v>2995</v>
      </c>
      <c r="F349" s="22" t="s">
        <v>2996</v>
      </c>
      <c r="G349" s="28" t="s">
        <v>2012</v>
      </c>
      <c r="H349" s="22" t="s">
        <v>2055</v>
      </c>
      <c r="I349" s="21"/>
      <c r="J349" s="22" t="s">
        <v>261</v>
      </c>
      <c r="K349" s="22" t="s">
        <v>924</v>
      </c>
      <c r="L349" s="21"/>
      <c r="M349" s="22" t="s">
        <v>2034</v>
      </c>
      <c r="N349" s="28" t="s">
        <v>2015</v>
      </c>
      <c r="O349" s="28" t="s">
        <v>2016</v>
      </c>
      <c r="P349" s="29">
        <v>2072</v>
      </c>
      <c r="Q349" s="28" t="s">
        <v>2017</v>
      </c>
      <c r="R349" s="31">
        <v>7.0094195653310001</v>
      </c>
      <c r="S349" s="29">
        <v>19003</v>
      </c>
      <c r="T349" s="32">
        <v>295.602222222222</v>
      </c>
      <c r="U349" s="32">
        <v>0</v>
      </c>
      <c r="V349" s="31">
        <v>7.0094195653310001</v>
      </c>
      <c r="W349" s="35">
        <v>46094</v>
      </c>
      <c r="X349" s="35">
        <v>46094</v>
      </c>
    </row>
    <row r="350" spans="1:24" ht="15.75" thickBot="1" x14ac:dyDescent="0.3">
      <c r="A350" t="str">
        <f t="shared" si="5"/>
        <v>ASYHS54366W16</v>
      </c>
      <c r="B350" s="22" t="s">
        <v>1718</v>
      </c>
      <c r="C350" s="22" t="s">
        <v>2997</v>
      </c>
      <c r="D350" s="22" t="s">
        <v>2998</v>
      </c>
      <c r="E350" s="22" t="s">
        <v>2999</v>
      </c>
      <c r="F350" s="22" t="s">
        <v>3000</v>
      </c>
      <c r="G350" s="28" t="s">
        <v>2012</v>
      </c>
      <c r="H350" s="22" t="s">
        <v>2055</v>
      </c>
      <c r="I350" s="21"/>
      <c r="J350" s="22" t="s">
        <v>261</v>
      </c>
      <c r="K350" s="22" t="s">
        <v>924</v>
      </c>
      <c r="L350" s="21"/>
      <c r="M350" s="22" t="s">
        <v>2034</v>
      </c>
      <c r="N350" s="28" t="s">
        <v>2015</v>
      </c>
      <c r="O350" s="28" t="s">
        <v>2016</v>
      </c>
      <c r="P350" s="29">
        <v>2060</v>
      </c>
      <c r="Q350" s="28" t="s">
        <v>2017</v>
      </c>
      <c r="R350" s="31">
        <v>7.6345308099020004</v>
      </c>
      <c r="S350" s="29">
        <v>17346</v>
      </c>
      <c r="T350" s="32">
        <v>269.82666666666699</v>
      </c>
      <c r="U350" s="32">
        <v>0</v>
      </c>
      <c r="V350" s="31">
        <v>7.6345308099020004</v>
      </c>
      <c r="W350" s="35">
        <v>46094</v>
      </c>
      <c r="X350" s="35">
        <v>46094</v>
      </c>
    </row>
    <row r="351" spans="1:24" ht="15.75" thickBot="1" x14ac:dyDescent="0.3">
      <c r="A351" t="str">
        <f t="shared" si="5"/>
        <v>ASYHS61A30W9</v>
      </c>
      <c r="B351" s="22" t="s">
        <v>1725</v>
      </c>
      <c r="C351" s="22" t="s">
        <v>2876</v>
      </c>
      <c r="D351" s="22" t="s">
        <v>3001</v>
      </c>
      <c r="E351" s="22" t="s">
        <v>3002</v>
      </c>
      <c r="F351" s="22" t="s">
        <v>3003</v>
      </c>
      <c r="G351" s="28" t="s">
        <v>2012</v>
      </c>
      <c r="H351" s="22" t="s">
        <v>2080</v>
      </c>
      <c r="I351" s="21"/>
      <c r="J351" s="22" t="s">
        <v>494</v>
      </c>
      <c r="K351" s="22" t="s">
        <v>924</v>
      </c>
      <c r="L351" s="21"/>
      <c r="M351" s="22" t="s">
        <v>2034</v>
      </c>
      <c r="N351" s="28" t="s">
        <v>2015</v>
      </c>
      <c r="O351" s="28" t="s">
        <v>2016</v>
      </c>
      <c r="P351" s="29">
        <v>2091</v>
      </c>
      <c r="Q351" s="28" t="s">
        <v>2017</v>
      </c>
      <c r="R351" s="31">
        <v>7.7253694581280001</v>
      </c>
      <c r="S351" s="29">
        <v>17400</v>
      </c>
      <c r="T351" s="32">
        <v>270.66666666666703</v>
      </c>
      <c r="U351" s="32">
        <v>0</v>
      </c>
      <c r="V351" s="31">
        <v>7.7253694581280001</v>
      </c>
      <c r="W351" s="35">
        <v>46094</v>
      </c>
      <c r="X351" s="35">
        <v>46094</v>
      </c>
    </row>
    <row r="352" spans="1:24" ht="15.75" thickBot="1" x14ac:dyDescent="0.3">
      <c r="A352" t="str">
        <f t="shared" si="5"/>
        <v>ASYHS61A31W8</v>
      </c>
      <c r="B352" s="22" t="s">
        <v>1729</v>
      </c>
      <c r="C352" s="22" t="s">
        <v>3004</v>
      </c>
      <c r="D352" s="22" t="s">
        <v>3005</v>
      </c>
      <c r="E352" s="22" t="s">
        <v>3006</v>
      </c>
      <c r="F352" s="22" t="s">
        <v>3007</v>
      </c>
      <c r="G352" s="28" t="s">
        <v>2012</v>
      </c>
      <c r="H352" s="22" t="s">
        <v>2080</v>
      </c>
      <c r="I352" s="21"/>
      <c r="J352" s="22" t="s">
        <v>494</v>
      </c>
      <c r="K352" s="22" t="s">
        <v>924</v>
      </c>
      <c r="L352" s="21"/>
      <c r="M352" s="22" t="s">
        <v>2034</v>
      </c>
      <c r="N352" s="28" t="s">
        <v>2015</v>
      </c>
      <c r="O352" s="28" t="s">
        <v>2016</v>
      </c>
      <c r="P352" s="29">
        <v>2029</v>
      </c>
      <c r="Q352" s="28" t="s">
        <v>2017</v>
      </c>
      <c r="R352" s="31">
        <v>7.5309303860109997</v>
      </c>
      <c r="S352" s="29">
        <v>17320</v>
      </c>
      <c r="T352" s="32">
        <v>269.42222222222199</v>
      </c>
      <c r="U352" s="32">
        <v>0</v>
      </c>
      <c r="V352" s="31">
        <v>7.5309303860109997</v>
      </c>
      <c r="W352" s="35">
        <v>46094</v>
      </c>
      <c r="X352" s="35">
        <v>46094</v>
      </c>
    </row>
    <row r="353" spans="1:24" ht="15.75" thickBot="1" x14ac:dyDescent="0.3">
      <c r="A353" t="str">
        <f t="shared" si="5"/>
        <v>ASYMS13110W2</v>
      </c>
      <c r="B353" s="22" t="s">
        <v>1788</v>
      </c>
      <c r="C353" s="22" t="s">
        <v>2063</v>
      </c>
      <c r="D353" s="22" t="s">
        <v>3008</v>
      </c>
      <c r="E353" s="22" t="s">
        <v>3009</v>
      </c>
      <c r="F353" s="22" t="s">
        <v>3010</v>
      </c>
      <c r="G353" s="28" t="s">
        <v>2012</v>
      </c>
      <c r="H353" s="22" t="s">
        <v>2055</v>
      </c>
      <c r="I353" s="21"/>
      <c r="J353" s="22" t="s">
        <v>494</v>
      </c>
      <c r="K353" s="22" t="s">
        <v>924</v>
      </c>
      <c r="L353" s="21"/>
      <c r="M353" s="22" t="s">
        <v>2034</v>
      </c>
      <c r="N353" s="28" t="s">
        <v>2015</v>
      </c>
      <c r="O353" s="28" t="s">
        <v>2016</v>
      </c>
      <c r="P353" s="29">
        <v>2162</v>
      </c>
      <c r="Q353" s="28" t="s">
        <v>2017</v>
      </c>
      <c r="R353" s="31">
        <v>7.926640486238</v>
      </c>
      <c r="S353" s="29">
        <v>17534</v>
      </c>
      <c r="T353" s="32">
        <v>272.75111111111102</v>
      </c>
      <c r="U353" s="32">
        <v>0</v>
      </c>
      <c r="V353" s="31">
        <v>7.926640486238</v>
      </c>
      <c r="W353" s="35">
        <v>46094</v>
      </c>
      <c r="X353" s="35">
        <v>46094</v>
      </c>
    </row>
    <row r="354" spans="1:24" ht="15.75" thickBot="1" x14ac:dyDescent="0.3">
      <c r="A354" t="str">
        <f t="shared" si="5"/>
        <v>CON68566220AA</v>
      </c>
      <c r="B354" s="22" t="s">
        <v>1189</v>
      </c>
      <c r="C354" s="22" t="s">
        <v>3011</v>
      </c>
      <c r="D354" s="22" t="s">
        <v>3012</v>
      </c>
      <c r="E354" s="22" t="s">
        <v>3013</v>
      </c>
      <c r="F354" s="22" t="s">
        <v>2255</v>
      </c>
      <c r="G354" s="28" t="s">
        <v>2012</v>
      </c>
      <c r="H354" s="22" t="s">
        <v>2751</v>
      </c>
      <c r="I354" s="21"/>
      <c r="J354" s="22" t="s">
        <v>394</v>
      </c>
      <c r="K354" s="22" t="s">
        <v>924</v>
      </c>
      <c r="L354" s="21"/>
      <c r="M354" s="22" t="s">
        <v>2014</v>
      </c>
      <c r="N354" s="28" t="s">
        <v>2015</v>
      </c>
      <c r="O354" s="28" t="s">
        <v>2016</v>
      </c>
      <c r="P354" s="29">
        <v>12166</v>
      </c>
      <c r="Q354" s="28" t="s">
        <v>2017</v>
      </c>
      <c r="R354" s="31">
        <v>7.7435643564349999</v>
      </c>
      <c r="S354" s="29">
        <v>101000</v>
      </c>
      <c r="T354" s="32">
        <v>1571.1111111111099</v>
      </c>
      <c r="U354" s="32">
        <v>0</v>
      </c>
      <c r="V354" s="31">
        <v>7.7435643564349999</v>
      </c>
      <c r="W354" s="35">
        <v>46094</v>
      </c>
      <c r="X354" s="35">
        <v>46094</v>
      </c>
    </row>
    <row r="355" spans="1:24" ht="15.75" thickBot="1" x14ac:dyDescent="0.3">
      <c r="A355" t="str">
        <f t="shared" si="5"/>
        <v>DET10723APIA02</v>
      </c>
      <c r="B355" s="22" t="s">
        <v>1193</v>
      </c>
      <c r="C355" s="22" t="s">
        <v>3014</v>
      </c>
      <c r="D355" s="22" t="s">
        <v>3015</v>
      </c>
      <c r="E355" s="21"/>
      <c r="F355" s="22" t="s">
        <v>3016</v>
      </c>
      <c r="G355" s="28" t="s">
        <v>2012</v>
      </c>
      <c r="H355" s="22" t="s">
        <v>2055</v>
      </c>
      <c r="I355" s="21"/>
      <c r="J355" s="22" t="s">
        <v>261</v>
      </c>
      <c r="K355" s="22" t="s">
        <v>924</v>
      </c>
      <c r="L355" s="21"/>
      <c r="M355" s="22" t="s">
        <v>2034</v>
      </c>
      <c r="N355" s="28" t="s">
        <v>2015</v>
      </c>
      <c r="O355" s="28" t="s">
        <v>2016</v>
      </c>
      <c r="P355" s="29">
        <v>2225</v>
      </c>
      <c r="Q355" s="28" t="s">
        <v>2017</v>
      </c>
      <c r="R355" s="31">
        <v>7.1618122514370004</v>
      </c>
      <c r="S355" s="29">
        <v>19972</v>
      </c>
      <c r="T355" s="32">
        <v>310.675555555556</v>
      </c>
      <c r="U355" s="32">
        <v>0</v>
      </c>
      <c r="V355" s="31">
        <v>7.1618122514370004</v>
      </c>
      <c r="W355" s="35">
        <v>46094</v>
      </c>
      <c r="X355" s="35">
        <v>46094</v>
      </c>
    </row>
    <row r="356" spans="1:24" ht="15.75" thickBot="1" x14ac:dyDescent="0.3">
      <c r="A356" t="str">
        <f t="shared" si="5"/>
        <v>DET2661271A</v>
      </c>
      <c r="B356" s="22" t="s">
        <v>1436</v>
      </c>
      <c r="C356" s="22" t="s">
        <v>2161</v>
      </c>
      <c r="D356" s="22" t="s">
        <v>2611</v>
      </c>
      <c r="E356" s="22" t="s">
        <v>2612</v>
      </c>
      <c r="F356" s="22" t="s">
        <v>2613</v>
      </c>
      <c r="G356" s="28" t="s">
        <v>2012</v>
      </c>
      <c r="H356" s="22" t="s">
        <v>2080</v>
      </c>
      <c r="I356" s="21"/>
      <c r="J356" s="22" t="s">
        <v>494</v>
      </c>
      <c r="K356" s="22" t="s">
        <v>924</v>
      </c>
      <c r="L356" s="21"/>
      <c r="M356" s="22" t="s">
        <v>2034</v>
      </c>
      <c r="N356" s="28" t="s">
        <v>2015</v>
      </c>
      <c r="O356" s="28" t="s">
        <v>2016</v>
      </c>
      <c r="P356" s="29">
        <v>1975</v>
      </c>
      <c r="Q356" s="28" t="s">
        <v>2017</v>
      </c>
      <c r="R356" s="31">
        <v>7.2867473435649996</v>
      </c>
      <c r="S356" s="29">
        <v>17424</v>
      </c>
      <c r="T356" s="32">
        <v>271.04000000000002</v>
      </c>
      <c r="U356" s="32">
        <v>0</v>
      </c>
      <c r="V356" s="31">
        <v>7.2867473435649996</v>
      </c>
      <c r="W356" s="35">
        <v>46094</v>
      </c>
      <c r="X356" s="35">
        <v>46094</v>
      </c>
    </row>
    <row r="357" spans="1:24" ht="15.75" thickBot="1" x14ac:dyDescent="0.3">
      <c r="A357" t="str">
        <f t="shared" si="5"/>
        <v>DET58016A02</v>
      </c>
      <c r="B357" s="22" t="s">
        <v>1442</v>
      </c>
      <c r="C357" s="22" t="s">
        <v>2784</v>
      </c>
      <c r="D357" s="22" t="s">
        <v>3017</v>
      </c>
      <c r="E357" s="22" t="s">
        <v>3018</v>
      </c>
      <c r="F357" s="22" t="s">
        <v>3019</v>
      </c>
      <c r="G357" s="28" t="s">
        <v>2012</v>
      </c>
      <c r="H357" s="22" t="s">
        <v>2080</v>
      </c>
      <c r="I357" s="21"/>
      <c r="J357" s="22" t="s">
        <v>364</v>
      </c>
      <c r="K357" s="22" t="s">
        <v>924</v>
      </c>
      <c r="L357" s="21"/>
      <c r="M357" s="22" t="s">
        <v>2034</v>
      </c>
      <c r="N357" s="28" t="s">
        <v>2015</v>
      </c>
      <c r="O357" s="28" t="s">
        <v>2016</v>
      </c>
      <c r="P357" s="29">
        <v>4577</v>
      </c>
      <c r="Q357" s="28" t="s">
        <v>2017</v>
      </c>
      <c r="R357" s="31">
        <v>7.7454910573260003</v>
      </c>
      <c r="S357" s="29">
        <v>37988</v>
      </c>
      <c r="T357" s="32">
        <v>590.92444444444402</v>
      </c>
      <c r="U357" s="32">
        <v>0</v>
      </c>
      <c r="V357" s="31">
        <v>7.7454910573260003</v>
      </c>
      <c r="W357" s="35">
        <v>46094</v>
      </c>
      <c r="X357" s="35">
        <v>46094</v>
      </c>
    </row>
    <row r="358" spans="1:24" ht="15.75" thickBot="1" x14ac:dyDescent="0.3">
      <c r="A358" t="str">
        <f t="shared" si="5"/>
        <v>DET5810202</v>
      </c>
      <c r="B358" s="22" t="s">
        <v>1208</v>
      </c>
      <c r="C358" s="22" t="s">
        <v>2265</v>
      </c>
      <c r="D358" s="22" t="s">
        <v>3020</v>
      </c>
      <c r="E358" s="22" t="s">
        <v>3021</v>
      </c>
      <c r="F358" s="22" t="s">
        <v>3022</v>
      </c>
      <c r="G358" s="28" t="s">
        <v>2012</v>
      </c>
      <c r="H358" s="22" t="s">
        <v>2080</v>
      </c>
      <c r="I358" s="21"/>
      <c r="J358" s="22" t="s">
        <v>261</v>
      </c>
      <c r="K358" s="22" t="s">
        <v>924</v>
      </c>
      <c r="L358" s="21"/>
      <c r="M358" s="22" t="s">
        <v>2034</v>
      </c>
      <c r="N358" s="28" t="s">
        <v>2015</v>
      </c>
      <c r="O358" s="28" t="s">
        <v>2016</v>
      </c>
      <c r="P358" s="29">
        <v>7116</v>
      </c>
      <c r="Q358" s="28" t="s">
        <v>2017</v>
      </c>
      <c r="R358" s="31">
        <v>7.4181838399320004</v>
      </c>
      <c r="S358" s="29">
        <v>61667</v>
      </c>
      <c r="T358" s="32">
        <v>959.26444444444405</v>
      </c>
      <c r="U358" s="32">
        <v>0</v>
      </c>
      <c r="V358" s="31">
        <v>7.4181838399320004</v>
      </c>
      <c r="W358" s="35">
        <v>46094</v>
      </c>
      <c r="X358" s="35">
        <v>46094</v>
      </c>
    </row>
    <row r="359" spans="1:24" ht="15.75" thickBot="1" x14ac:dyDescent="0.3">
      <c r="A359" t="str">
        <f t="shared" si="5"/>
        <v>DET5810203</v>
      </c>
      <c r="B359" s="22" t="s">
        <v>1210</v>
      </c>
      <c r="C359" s="22" t="s">
        <v>2267</v>
      </c>
      <c r="D359" s="22" t="s">
        <v>3020</v>
      </c>
      <c r="E359" s="22" t="s">
        <v>3023</v>
      </c>
      <c r="F359" s="22" t="s">
        <v>3024</v>
      </c>
      <c r="G359" s="28" t="s">
        <v>2012</v>
      </c>
      <c r="H359" s="22" t="s">
        <v>2080</v>
      </c>
      <c r="I359" s="21"/>
      <c r="J359" s="22" t="s">
        <v>261</v>
      </c>
      <c r="K359" s="22" t="s">
        <v>924</v>
      </c>
      <c r="L359" s="21"/>
      <c r="M359" s="22" t="s">
        <v>2034</v>
      </c>
      <c r="N359" s="28" t="s">
        <v>2015</v>
      </c>
      <c r="O359" s="28" t="s">
        <v>2016</v>
      </c>
      <c r="P359" s="29">
        <v>7597</v>
      </c>
      <c r="Q359" s="28" t="s">
        <v>2017</v>
      </c>
      <c r="R359" s="31">
        <v>7.9196097009509998</v>
      </c>
      <c r="S359" s="29">
        <v>61667</v>
      </c>
      <c r="T359" s="32">
        <v>959.26444444444405</v>
      </c>
      <c r="U359" s="32">
        <v>0</v>
      </c>
      <c r="V359" s="31">
        <v>7.9196097009509998</v>
      </c>
      <c r="W359" s="35">
        <v>46094</v>
      </c>
      <c r="X359" s="35">
        <v>46094</v>
      </c>
    </row>
    <row r="360" spans="1:24" ht="15.75" thickBot="1" x14ac:dyDescent="0.3">
      <c r="A360" t="str">
        <f t="shared" si="5"/>
        <v>DET58112C04A</v>
      </c>
      <c r="B360" s="22" t="s">
        <v>1218</v>
      </c>
      <c r="C360" s="22" t="s">
        <v>2081</v>
      </c>
      <c r="D360" s="22" t="s">
        <v>3025</v>
      </c>
      <c r="E360" s="22" t="s">
        <v>3026</v>
      </c>
      <c r="F360" s="22" t="s">
        <v>3027</v>
      </c>
      <c r="G360" s="28" t="s">
        <v>2012</v>
      </c>
      <c r="H360" s="22" t="s">
        <v>2080</v>
      </c>
      <c r="I360" s="21"/>
      <c r="J360" s="22" t="s">
        <v>261</v>
      </c>
      <c r="K360" s="22" t="s">
        <v>924</v>
      </c>
      <c r="L360" s="21"/>
      <c r="M360" s="22" t="s">
        <v>2034</v>
      </c>
      <c r="N360" s="28" t="s">
        <v>2015</v>
      </c>
      <c r="O360" s="28" t="s">
        <v>2016</v>
      </c>
      <c r="P360" s="29">
        <v>7397</v>
      </c>
      <c r="Q360" s="28" t="s">
        <v>2017</v>
      </c>
      <c r="R360" s="31">
        <v>7.9343494055160004</v>
      </c>
      <c r="S360" s="29">
        <v>59932</v>
      </c>
      <c r="T360" s="32">
        <v>932.275555555555</v>
      </c>
      <c r="U360" s="32">
        <v>0</v>
      </c>
      <c r="V360" s="31">
        <v>7.9343494055160004</v>
      </c>
      <c r="W360" s="35">
        <v>46094</v>
      </c>
      <c r="X360" s="35">
        <v>46094</v>
      </c>
    </row>
    <row r="361" spans="1:24" ht="15.75" thickBot="1" x14ac:dyDescent="0.3">
      <c r="A361" t="str">
        <f t="shared" si="5"/>
        <v>DET8A297PIA04OS</v>
      </c>
      <c r="B361" s="22" t="s">
        <v>1573</v>
      </c>
      <c r="C361" s="22" t="s">
        <v>3028</v>
      </c>
      <c r="D361" s="22" t="s">
        <v>3029</v>
      </c>
      <c r="E361" s="21"/>
      <c r="F361" s="22" t="s">
        <v>2139</v>
      </c>
      <c r="G361" s="28" t="s">
        <v>2012</v>
      </c>
      <c r="H361" s="22" t="s">
        <v>2013</v>
      </c>
      <c r="I361" s="21"/>
      <c r="J361" s="22" t="s">
        <v>1128</v>
      </c>
      <c r="K361" s="22" t="s">
        <v>924</v>
      </c>
      <c r="L361" s="21"/>
      <c r="M361" s="22" t="s">
        <v>2014</v>
      </c>
      <c r="N361" s="28" t="s">
        <v>2015</v>
      </c>
      <c r="O361" s="28" t="s">
        <v>2016</v>
      </c>
      <c r="P361" s="29">
        <v>10273</v>
      </c>
      <c r="Q361" s="28" t="s">
        <v>2017</v>
      </c>
      <c r="R361" s="31">
        <v>7.975931677018</v>
      </c>
      <c r="S361" s="29">
        <v>82800</v>
      </c>
      <c r="T361" s="32">
        <v>1288</v>
      </c>
      <c r="U361" s="32">
        <v>0</v>
      </c>
      <c r="V361" s="31">
        <v>7.975931677018</v>
      </c>
      <c r="W361" s="35">
        <v>46094</v>
      </c>
      <c r="X361" s="35">
        <v>46094</v>
      </c>
    </row>
    <row r="362" spans="1:24" ht="15.75" thickBot="1" x14ac:dyDescent="0.3">
      <c r="A362" t="str">
        <f t="shared" si="5"/>
        <v>DETE279A31C</v>
      </c>
      <c r="B362" s="22" t="s">
        <v>1139</v>
      </c>
      <c r="C362" s="22" t="s">
        <v>3030</v>
      </c>
      <c r="D362" s="22" t="s">
        <v>1138</v>
      </c>
      <c r="E362" s="21"/>
      <c r="F362" s="22" t="s">
        <v>3031</v>
      </c>
      <c r="G362" s="28" t="s">
        <v>2012</v>
      </c>
      <c r="H362" s="22" t="s">
        <v>2080</v>
      </c>
      <c r="I362" s="21"/>
      <c r="J362" s="22" t="s">
        <v>261</v>
      </c>
      <c r="K362" s="22" t="s">
        <v>924</v>
      </c>
      <c r="L362" s="21"/>
      <c r="M362" s="22" t="s">
        <v>2034</v>
      </c>
      <c r="N362" s="28" t="s">
        <v>2015</v>
      </c>
      <c r="O362" s="28" t="s">
        <v>2016</v>
      </c>
      <c r="P362" s="29">
        <v>1821</v>
      </c>
      <c r="Q362" s="28" t="s">
        <v>2017</v>
      </c>
      <c r="R362" s="31">
        <v>7.2418364190710003</v>
      </c>
      <c r="S362" s="29">
        <v>16165</v>
      </c>
      <c r="T362" s="32">
        <v>251.455555555556</v>
      </c>
      <c r="U362" s="32">
        <v>0</v>
      </c>
      <c r="V362" s="31">
        <v>7.2418364190710003</v>
      </c>
      <c r="W362" s="35">
        <v>46094</v>
      </c>
      <c r="X362" s="35">
        <v>46094</v>
      </c>
    </row>
    <row r="363" spans="1:24" ht="15.75" thickBot="1" x14ac:dyDescent="0.3">
      <c r="A363" t="str">
        <f t="shared" si="5"/>
        <v>DETE403C96A</v>
      </c>
      <c r="B363" s="22" t="s">
        <v>1236</v>
      </c>
      <c r="C363" s="22" t="s">
        <v>3032</v>
      </c>
      <c r="D363" s="22" t="s">
        <v>1237</v>
      </c>
      <c r="E363" s="22" t="s">
        <v>3033</v>
      </c>
      <c r="F363" s="22" t="s">
        <v>3034</v>
      </c>
      <c r="G363" s="28" t="s">
        <v>2012</v>
      </c>
      <c r="H363" s="22" t="s">
        <v>2080</v>
      </c>
      <c r="I363" s="21"/>
      <c r="J363" s="22" t="s">
        <v>261</v>
      </c>
      <c r="K363" s="22" t="s">
        <v>924</v>
      </c>
      <c r="L363" s="21"/>
      <c r="M363" s="22" t="s">
        <v>2034</v>
      </c>
      <c r="N363" s="28" t="s">
        <v>2015</v>
      </c>
      <c r="O363" s="28" t="s">
        <v>2016</v>
      </c>
      <c r="P363" s="29">
        <v>2039</v>
      </c>
      <c r="Q363" s="28" t="s">
        <v>2017</v>
      </c>
      <c r="R363" s="31">
        <v>7.6270552443010002</v>
      </c>
      <c r="S363" s="29">
        <v>17186</v>
      </c>
      <c r="T363" s="32">
        <v>267.337777777778</v>
      </c>
      <c r="U363" s="32">
        <v>0</v>
      </c>
      <c r="V363" s="31">
        <v>7.6270552443010002</v>
      </c>
      <c r="W363" s="35">
        <v>46094</v>
      </c>
      <c r="X363" s="35">
        <v>46094</v>
      </c>
    </row>
    <row r="364" spans="1:24" ht="15.75" thickBot="1" x14ac:dyDescent="0.3">
      <c r="A364" t="str">
        <f t="shared" si="5"/>
        <v>DETE41041B</v>
      </c>
      <c r="B364" s="22" t="s">
        <v>1292</v>
      </c>
      <c r="C364" s="22" t="s">
        <v>2073</v>
      </c>
      <c r="D364" s="22" t="s">
        <v>3035</v>
      </c>
      <c r="E364" s="22" t="s">
        <v>3036</v>
      </c>
      <c r="F364" s="22" t="s">
        <v>3037</v>
      </c>
      <c r="G364" s="28" t="s">
        <v>2012</v>
      </c>
      <c r="H364" s="22" t="s">
        <v>2080</v>
      </c>
      <c r="I364" s="21"/>
      <c r="J364" s="22" t="s">
        <v>261</v>
      </c>
      <c r="K364" s="22" t="s">
        <v>924</v>
      </c>
      <c r="L364" s="21"/>
      <c r="M364" s="22" t="s">
        <v>2034</v>
      </c>
      <c r="N364" s="28" t="s">
        <v>2015</v>
      </c>
      <c r="O364" s="28" t="s">
        <v>2016</v>
      </c>
      <c r="P364" s="29">
        <v>2275</v>
      </c>
      <c r="Q364" s="28" t="s">
        <v>2017</v>
      </c>
      <c r="R364" s="31">
        <v>7.6961532389620002</v>
      </c>
      <c r="S364" s="29">
        <v>19003</v>
      </c>
      <c r="T364" s="32">
        <v>295.602222222222</v>
      </c>
      <c r="U364" s="32">
        <v>0</v>
      </c>
      <c r="V364" s="31">
        <v>7.6961532389620002</v>
      </c>
      <c r="W364" s="35">
        <v>46094</v>
      </c>
      <c r="X364" s="35">
        <v>46094</v>
      </c>
    </row>
    <row r="365" spans="1:24" ht="15.75" thickBot="1" x14ac:dyDescent="0.3">
      <c r="A365" t="str">
        <f t="shared" si="5"/>
        <v>DETS109A26OS</v>
      </c>
      <c r="B365" s="22" t="s">
        <v>1300</v>
      </c>
      <c r="C365" s="21"/>
      <c r="D365" s="22" t="s">
        <v>2701</v>
      </c>
      <c r="E365" s="22" t="s">
        <v>3038</v>
      </c>
      <c r="F365" s="22" t="s">
        <v>3039</v>
      </c>
      <c r="G365" s="28" t="s">
        <v>2012</v>
      </c>
      <c r="H365" s="22" t="s">
        <v>2013</v>
      </c>
      <c r="I365" s="21"/>
      <c r="J365" s="22" t="s">
        <v>364</v>
      </c>
      <c r="K365" s="22" t="s">
        <v>924</v>
      </c>
      <c r="L365" s="21"/>
      <c r="M365" s="22" t="s">
        <v>2034</v>
      </c>
      <c r="N365" s="28" t="s">
        <v>2015</v>
      </c>
      <c r="O365" s="28" t="s">
        <v>2016</v>
      </c>
      <c r="P365" s="29">
        <v>2973</v>
      </c>
      <c r="Q365" s="28" t="s">
        <v>2017</v>
      </c>
      <c r="R365" s="31">
        <v>7.4441625212830003</v>
      </c>
      <c r="S365" s="29">
        <v>25674</v>
      </c>
      <c r="T365" s="32">
        <v>399.37333333333299</v>
      </c>
      <c r="U365" s="32">
        <v>0</v>
      </c>
      <c r="V365" s="31">
        <v>7.4441625212830003</v>
      </c>
      <c r="W365" s="35">
        <v>46094</v>
      </c>
      <c r="X365" s="35">
        <v>46094</v>
      </c>
    </row>
    <row r="366" spans="1:24" ht="15.75" thickBot="1" x14ac:dyDescent="0.3">
      <c r="A366" t="str">
        <f t="shared" si="5"/>
        <v>DETS67110</v>
      </c>
      <c r="B366" s="22" t="s">
        <v>1302</v>
      </c>
      <c r="C366" s="22" t="s">
        <v>3040</v>
      </c>
      <c r="D366" s="22" t="s">
        <v>3041</v>
      </c>
      <c r="E366" s="21"/>
      <c r="F366" s="22" t="s">
        <v>3042</v>
      </c>
      <c r="G366" s="28" t="s">
        <v>2012</v>
      </c>
      <c r="H366" s="22" t="s">
        <v>2055</v>
      </c>
      <c r="I366" s="21"/>
      <c r="J366" s="22" t="s">
        <v>364</v>
      </c>
      <c r="K366" s="22" t="s">
        <v>924</v>
      </c>
      <c r="L366" s="21"/>
      <c r="M366" s="22" t="s">
        <v>2034</v>
      </c>
      <c r="N366" s="28" t="s">
        <v>2015</v>
      </c>
      <c r="O366" s="28" t="s">
        <v>2016</v>
      </c>
      <c r="P366" s="29">
        <v>5536</v>
      </c>
      <c r="Q366" s="28" t="s">
        <v>2017</v>
      </c>
      <c r="R366" s="31">
        <v>7.2724725005249997</v>
      </c>
      <c r="S366" s="29">
        <v>48936</v>
      </c>
      <c r="T366" s="32">
        <v>761.22666666666703</v>
      </c>
      <c r="U366" s="32">
        <v>0</v>
      </c>
      <c r="V366" s="31">
        <v>7.2724725005249997</v>
      </c>
      <c r="W366" s="35">
        <v>46094</v>
      </c>
      <c r="X366" s="35">
        <v>46094</v>
      </c>
    </row>
    <row r="367" spans="1:24" ht="15.75" thickBot="1" x14ac:dyDescent="0.3">
      <c r="A367" t="str">
        <f t="shared" si="5"/>
        <v>MB3C 3D072 EA</v>
      </c>
      <c r="B367" s="22" t="s">
        <v>937</v>
      </c>
      <c r="C367" s="22" t="s">
        <v>3043</v>
      </c>
      <c r="D367" s="22" t="s">
        <v>2571</v>
      </c>
      <c r="E367" s="21"/>
      <c r="F367" s="22" t="s">
        <v>3044</v>
      </c>
      <c r="G367" s="28" t="s">
        <v>2012</v>
      </c>
      <c r="H367" s="22" t="s">
        <v>2080</v>
      </c>
      <c r="I367" s="21"/>
      <c r="J367" s="22" t="s">
        <v>364</v>
      </c>
      <c r="K367" s="22" t="s">
        <v>924</v>
      </c>
      <c r="L367" s="21"/>
      <c r="M367" s="22" t="s">
        <v>2014</v>
      </c>
      <c r="N367" s="28" t="s">
        <v>2015</v>
      </c>
      <c r="O367" s="28" t="s">
        <v>2016</v>
      </c>
      <c r="P367" s="29">
        <v>1800</v>
      </c>
      <c r="Q367" s="28" t="s">
        <v>2017</v>
      </c>
      <c r="R367" s="31">
        <v>7.1680781586000002</v>
      </c>
      <c r="S367" s="29">
        <v>16143</v>
      </c>
      <c r="T367" s="32">
        <v>251.113333333333</v>
      </c>
      <c r="U367" s="32">
        <v>0</v>
      </c>
      <c r="V367" s="31">
        <v>7.1680781586000002</v>
      </c>
      <c r="W367" s="35">
        <v>46094</v>
      </c>
      <c r="X367" s="35">
        <v>46094</v>
      </c>
    </row>
    <row r="368" spans="1:24" ht="15.75" thickBot="1" x14ac:dyDescent="0.3">
      <c r="A368" t="str">
        <f t="shared" si="5"/>
        <v>MLDE237W21BPIA01</v>
      </c>
      <c r="B368" s="22" t="s">
        <v>731</v>
      </c>
      <c r="C368" s="22" t="s">
        <v>3045</v>
      </c>
      <c r="D368" s="22" t="s">
        <v>3046</v>
      </c>
      <c r="E368" s="22" t="s">
        <v>2290</v>
      </c>
      <c r="F368" s="22" t="s">
        <v>2350</v>
      </c>
      <c r="G368" s="28" t="s">
        <v>2012</v>
      </c>
      <c r="H368" s="22" t="s">
        <v>2013</v>
      </c>
      <c r="I368" s="21"/>
      <c r="J368" s="22" t="s">
        <v>261</v>
      </c>
      <c r="K368" s="22" t="s">
        <v>262</v>
      </c>
      <c r="L368" s="21"/>
      <c r="M368" s="22" t="s">
        <v>2034</v>
      </c>
      <c r="N368" s="28" t="s">
        <v>2015</v>
      </c>
      <c r="O368" s="28" t="s">
        <v>2016</v>
      </c>
      <c r="P368" s="29">
        <v>2090</v>
      </c>
      <c r="Q368" s="28" t="s">
        <v>2017</v>
      </c>
      <c r="R368" s="31">
        <v>7.9449555234540004</v>
      </c>
      <c r="S368" s="29">
        <v>16911</v>
      </c>
      <c r="T368" s="32">
        <v>263.06</v>
      </c>
      <c r="U368" s="32">
        <v>0</v>
      </c>
      <c r="V368" s="31">
        <v>7.9449555234540004</v>
      </c>
      <c r="W368" s="35">
        <v>46094</v>
      </c>
      <c r="X368" s="35">
        <v>46094</v>
      </c>
    </row>
    <row r="369" spans="1:24" ht="15.75" thickBot="1" x14ac:dyDescent="0.3">
      <c r="A369" t="str">
        <f t="shared" si="5"/>
        <v>MLDE26657APIA02</v>
      </c>
      <c r="B369" s="22" t="s">
        <v>584</v>
      </c>
      <c r="C369" s="22" t="s">
        <v>3047</v>
      </c>
      <c r="D369" s="22" t="s">
        <v>3048</v>
      </c>
      <c r="E369" s="22" t="s">
        <v>2290</v>
      </c>
      <c r="F369" s="22" t="s">
        <v>2363</v>
      </c>
      <c r="G369" s="28" t="s">
        <v>2012</v>
      </c>
      <c r="H369" s="22" t="s">
        <v>2013</v>
      </c>
      <c r="I369" s="21"/>
      <c r="J369" s="22" t="s">
        <v>261</v>
      </c>
      <c r="K369" s="22" t="s">
        <v>262</v>
      </c>
      <c r="L369" s="21"/>
      <c r="M369" s="22" t="s">
        <v>2034</v>
      </c>
      <c r="N369" s="28" t="s">
        <v>2015</v>
      </c>
      <c r="O369" s="28" t="s">
        <v>2016</v>
      </c>
      <c r="P369" s="29">
        <v>4067</v>
      </c>
      <c r="Q369" s="28" t="s">
        <v>2017</v>
      </c>
      <c r="R369" s="31">
        <v>7.309606352046</v>
      </c>
      <c r="S369" s="29">
        <v>35768</v>
      </c>
      <c r="T369" s="32">
        <v>556.39111111111094</v>
      </c>
      <c r="U369" s="32">
        <v>0</v>
      </c>
      <c r="V369" s="31">
        <v>7.309606352046</v>
      </c>
      <c r="W369" s="35">
        <v>46094</v>
      </c>
      <c r="X369" s="35">
        <v>46094</v>
      </c>
    </row>
    <row r="370" spans="1:24" ht="15.75" thickBot="1" x14ac:dyDescent="0.3">
      <c r="A370" t="str">
        <f t="shared" si="5"/>
        <v>N1WB 14A563 KD3ZHE</v>
      </c>
      <c r="B370" s="22" t="s">
        <v>320</v>
      </c>
      <c r="C370" s="22" t="s">
        <v>3049</v>
      </c>
      <c r="D370" s="22" t="s">
        <v>321</v>
      </c>
      <c r="E370" s="21"/>
      <c r="F370" s="22" t="s">
        <v>3050</v>
      </c>
      <c r="G370" s="28" t="s">
        <v>2012</v>
      </c>
      <c r="H370" s="22" t="s">
        <v>2080</v>
      </c>
      <c r="I370" s="21"/>
      <c r="J370" s="22" t="s">
        <v>261</v>
      </c>
      <c r="K370" s="22" t="s">
        <v>262</v>
      </c>
      <c r="L370" s="21"/>
      <c r="M370" s="22" t="s">
        <v>2014</v>
      </c>
      <c r="N370" s="28" t="s">
        <v>2015</v>
      </c>
      <c r="O370" s="28" t="s">
        <v>2016</v>
      </c>
      <c r="P370" s="29">
        <v>2167</v>
      </c>
      <c r="Q370" s="28" t="s">
        <v>2017</v>
      </c>
      <c r="R370" s="31">
        <v>7.9896273719390001</v>
      </c>
      <c r="S370" s="29">
        <v>17436</v>
      </c>
      <c r="T370" s="32">
        <v>271.22666666666697</v>
      </c>
      <c r="U370" s="32">
        <v>0</v>
      </c>
      <c r="V370" s="31">
        <v>7.9896273719390001</v>
      </c>
      <c r="W370" s="35">
        <v>46094</v>
      </c>
      <c r="X370" s="35">
        <v>46094</v>
      </c>
    </row>
    <row r="371" spans="1:24" ht="15.75" thickBot="1" x14ac:dyDescent="0.3">
      <c r="A371" t="str">
        <f t="shared" si="5"/>
        <v>N1WB 14A567 BE3ZHE</v>
      </c>
      <c r="B371" s="22" t="s">
        <v>323</v>
      </c>
      <c r="C371" s="22" t="s">
        <v>3051</v>
      </c>
      <c r="D371" s="22" t="s">
        <v>3052</v>
      </c>
      <c r="E371" s="21"/>
      <c r="F371" s="22" t="s">
        <v>2350</v>
      </c>
      <c r="G371" s="28" t="s">
        <v>2012</v>
      </c>
      <c r="H371" s="22" t="s">
        <v>2080</v>
      </c>
      <c r="I371" s="21"/>
      <c r="J371" s="22" t="s">
        <v>261</v>
      </c>
      <c r="K371" s="22" t="s">
        <v>262</v>
      </c>
      <c r="L371" s="21"/>
      <c r="M371" s="22" t="s">
        <v>2014</v>
      </c>
      <c r="N371" s="28" t="s">
        <v>2015</v>
      </c>
      <c r="O371" s="28" t="s">
        <v>2016</v>
      </c>
      <c r="P371" s="29">
        <v>1968</v>
      </c>
      <c r="Q371" s="28" t="s">
        <v>2017</v>
      </c>
      <c r="R371" s="31">
        <v>7.2351758958180001</v>
      </c>
      <c r="S371" s="29">
        <v>17486</v>
      </c>
      <c r="T371" s="32">
        <v>272.004444444444</v>
      </c>
      <c r="U371" s="32">
        <v>0</v>
      </c>
      <c r="V371" s="31">
        <v>7.2351758958180001</v>
      </c>
      <c r="W371" s="35">
        <v>46094</v>
      </c>
      <c r="X371" s="35">
        <v>46094</v>
      </c>
    </row>
    <row r="372" spans="1:24" ht="15.75" thickBot="1" x14ac:dyDescent="0.3">
      <c r="A372" t="str">
        <f t="shared" si="5"/>
        <v>N1WB E280K96 DA</v>
      </c>
      <c r="B372" s="22" t="s">
        <v>789</v>
      </c>
      <c r="C372" s="22" t="s">
        <v>3053</v>
      </c>
      <c r="D372" s="22" t="s">
        <v>3054</v>
      </c>
      <c r="E372" s="21"/>
      <c r="F372" s="22" t="s">
        <v>3055</v>
      </c>
      <c r="G372" s="28" t="s">
        <v>2012</v>
      </c>
      <c r="H372" s="22" t="s">
        <v>2055</v>
      </c>
      <c r="I372" s="21"/>
      <c r="J372" s="22" t="s">
        <v>261</v>
      </c>
      <c r="K372" s="22" t="s">
        <v>262</v>
      </c>
      <c r="L372" s="21"/>
      <c r="M372" s="22" t="s">
        <v>2014</v>
      </c>
      <c r="N372" s="28" t="s">
        <v>2015</v>
      </c>
      <c r="O372" s="28" t="s">
        <v>2016</v>
      </c>
      <c r="P372" s="29">
        <v>1634</v>
      </c>
      <c r="Q372" s="28" t="s">
        <v>2017</v>
      </c>
      <c r="R372" s="31">
        <v>7.0555384969670003</v>
      </c>
      <c r="S372" s="29">
        <v>14888</v>
      </c>
      <c r="T372" s="32">
        <v>231.59111111111099</v>
      </c>
      <c r="U372" s="32">
        <v>0</v>
      </c>
      <c r="V372" s="31">
        <v>7.0555384969670003</v>
      </c>
      <c r="W372" s="35">
        <v>46094</v>
      </c>
      <c r="X372" s="35">
        <v>46094</v>
      </c>
    </row>
    <row r="373" spans="1:24" ht="15.75" thickBot="1" x14ac:dyDescent="0.3">
      <c r="A373" t="str">
        <f t="shared" si="5"/>
        <v>N1WB E280K97 DA</v>
      </c>
      <c r="B373" s="22" t="s">
        <v>791</v>
      </c>
      <c r="C373" s="22" t="s">
        <v>3056</v>
      </c>
      <c r="D373" s="22" t="s">
        <v>3054</v>
      </c>
      <c r="E373" s="21"/>
      <c r="F373" s="22" t="s">
        <v>3055</v>
      </c>
      <c r="G373" s="28" t="s">
        <v>2012</v>
      </c>
      <c r="H373" s="22" t="s">
        <v>2055</v>
      </c>
      <c r="I373" s="21"/>
      <c r="J373" s="22" t="s">
        <v>261</v>
      </c>
      <c r="K373" s="22" t="s">
        <v>262</v>
      </c>
      <c r="L373" s="21"/>
      <c r="M373" s="22" t="s">
        <v>2014</v>
      </c>
      <c r="N373" s="28" t="s">
        <v>2015</v>
      </c>
      <c r="O373" s="28" t="s">
        <v>2016</v>
      </c>
      <c r="P373" s="29">
        <v>1747</v>
      </c>
      <c r="Q373" s="28" t="s">
        <v>2017</v>
      </c>
      <c r="R373" s="31">
        <v>7.487642033278</v>
      </c>
      <c r="S373" s="29">
        <v>14999</v>
      </c>
      <c r="T373" s="32">
        <v>233.31777777777799</v>
      </c>
      <c r="U373" s="32">
        <v>0</v>
      </c>
      <c r="V373" s="31">
        <v>7.487642033278</v>
      </c>
      <c r="W373" s="35">
        <v>46094</v>
      </c>
      <c r="X373" s="35">
        <v>46094</v>
      </c>
    </row>
    <row r="374" spans="1:24" ht="15.75" thickBot="1" x14ac:dyDescent="0.3">
      <c r="A374" t="str">
        <f t="shared" si="5"/>
        <v>N1WB E28345 DA</v>
      </c>
      <c r="B374" s="22" t="s">
        <v>629</v>
      </c>
      <c r="C374" s="22" t="s">
        <v>3057</v>
      </c>
      <c r="D374" s="22" t="s">
        <v>3058</v>
      </c>
      <c r="E374" s="21"/>
      <c r="F374" s="22" t="s">
        <v>3059</v>
      </c>
      <c r="G374" s="28" t="s">
        <v>2012</v>
      </c>
      <c r="H374" s="22" t="s">
        <v>2080</v>
      </c>
      <c r="I374" s="21"/>
      <c r="J374" s="22" t="s">
        <v>261</v>
      </c>
      <c r="K374" s="22" t="s">
        <v>262</v>
      </c>
      <c r="L374" s="21"/>
      <c r="M374" s="22" t="s">
        <v>2014</v>
      </c>
      <c r="N374" s="28" t="s">
        <v>2015</v>
      </c>
      <c r="O374" s="28" t="s">
        <v>2016</v>
      </c>
      <c r="P374" s="29">
        <v>1687</v>
      </c>
      <c r="Q374" s="28" t="s">
        <v>2017</v>
      </c>
      <c r="R374" s="31">
        <v>7.2425537598499998</v>
      </c>
      <c r="S374" s="29">
        <v>14974</v>
      </c>
      <c r="T374" s="32">
        <v>232.92888888888899</v>
      </c>
      <c r="U374" s="32">
        <v>0</v>
      </c>
      <c r="V374" s="31">
        <v>7.2425537598499998</v>
      </c>
      <c r="W374" s="35">
        <v>46094</v>
      </c>
      <c r="X374" s="35">
        <v>46094</v>
      </c>
    </row>
    <row r="375" spans="1:24" ht="15.75" thickBot="1" x14ac:dyDescent="0.3">
      <c r="A375" t="str">
        <f t="shared" si="5"/>
        <v>N1WB E410A42 AA</v>
      </c>
      <c r="B375" s="22" t="s">
        <v>963</v>
      </c>
      <c r="C375" s="22" t="s">
        <v>3060</v>
      </c>
      <c r="D375" s="22" t="s">
        <v>3061</v>
      </c>
      <c r="E375" s="22" t="s">
        <v>3062</v>
      </c>
      <c r="F375" s="22" t="s">
        <v>2030</v>
      </c>
      <c r="G375" s="28" t="s">
        <v>2012</v>
      </c>
      <c r="H375" s="22" t="s">
        <v>2080</v>
      </c>
      <c r="I375" s="21"/>
      <c r="J375" s="22" t="s">
        <v>261</v>
      </c>
      <c r="K375" s="22" t="s">
        <v>924</v>
      </c>
      <c r="L375" s="21"/>
      <c r="M375" s="22" t="s">
        <v>2014</v>
      </c>
      <c r="N375" s="28" t="s">
        <v>2015</v>
      </c>
      <c r="O375" s="28" t="s">
        <v>2016</v>
      </c>
      <c r="P375" s="29">
        <v>1680</v>
      </c>
      <c r="Q375" s="28" t="s">
        <v>2017</v>
      </c>
      <c r="R375" s="31">
        <v>7.1428571428570002</v>
      </c>
      <c r="S375" s="29">
        <v>15120</v>
      </c>
      <c r="T375" s="32">
        <v>235.2</v>
      </c>
      <c r="U375" s="32">
        <v>0</v>
      </c>
      <c r="V375" s="31">
        <v>7.1428571428570002</v>
      </c>
      <c r="W375" s="35">
        <v>46094</v>
      </c>
      <c r="X375" s="35">
        <v>46094</v>
      </c>
    </row>
    <row r="376" spans="1:24" ht="15.75" thickBot="1" x14ac:dyDescent="0.3">
      <c r="A376" t="str">
        <f t="shared" si="5"/>
        <v>N1WB E41624 AC</v>
      </c>
      <c r="B376" s="22" t="s">
        <v>1246</v>
      </c>
      <c r="C376" s="22" t="s">
        <v>3063</v>
      </c>
      <c r="D376" s="22" t="s">
        <v>3064</v>
      </c>
      <c r="E376" s="21"/>
      <c r="F376" s="22" t="s">
        <v>2030</v>
      </c>
      <c r="G376" s="28" t="s">
        <v>2012</v>
      </c>
      <c r="H376" s="22" t="s">
        <v>2013</v>
      </c>
      <c r="I376" s="21"/>
      <c r="J376" s="22" t="s">
        <v>261</v>
      </c>
      <c r="K376" s="22" t="s">
        <v>924</v>
      </c>
      <c r="L376" s="21"/>
      <c r="M376" s="22" t="s">
        <v>2014</v>
      </c>
      <c r="N376" s="28" t="s">
        <v>2015</v>
      </c>
      <c r="O376" s="28" t="s">
        <v>2016</v>
      </c>
      <c r="P376" s="29">
        <v>1975</v>
      </c>
      <c r="Q376" s="28" t="s">
        <v>2017</v>
      </c>
      <c r="R376" s="31">
        <v>7.1975218658889997</v>
      </c>
      <c r="S376" s="29">
        <v>17640</v>
      </c>
      <c r="T376" s="32">
        <v>274.39999999999998</v>
      </c>
      <c r="U376" s="32">
        <v>0</v>
      </c>
      <c r="V376" s="31">
        <v>7.1975218658889997</v>
      </c>
      <c r="W376" s="35">
        <v>46094</v>
      </c>
      <c r="X376" s="35">
        <v>46094</v>
      </c>
    </row>
    <row r="377" spans="1:24" ht="15.75" thickBot="1" x14ac:dyDescent="0.3">
      <c r="A377" t="str">
        <f t="shared" si="5"/>
        <v>PC.WL68424075</v>
      </c>
      <c r="B377" s="22" t="s">
        <v>1757</v>
      </c>
      <c r="C377" s="22" t="s">
        <v>3065</v>
      </c>
      <c r="D377" s="22" t="s">
        <v>3066</v>
      </c>
      <c r="E377" s="22" t="s">
        <v>3067</v>
      </c>
      <c r="F377" s="22" t="s">
        <v>3068</v>
      </c>
      <c r="G377" s="28" t="s">
        <v>2012</v>
      </c>
      <c r="H377" s="22" t="s">
        <v>2022</v>
      </c>
      <c r="I377" s="21"/>
      <c r="J377" s="22" t="s">
        <v>1117</v>
      </c>
      <c r="K377" s="22" t="s">
        <v>924</v>
      </c>
      <c r="L377" s="21"/>
      <c r="M377" s="22" t="s">
        <v>2014</v>
      </c>
      <c r="N377" s="28" t="s">
        <v>2015</v>
      </c>
      <c r="O377" s="28" t="s">
        <v>2016</v>
      </c>
      <c r="P377" s="29">
        <v>3957</v>
      </c>
      <c r="Q377" s="28" t="s">
        <v>2017</v>
      </c>
      <c r="R377" s="31">
        <v>7.7084415584409998</v>
      </c>
      <c r="S377" s="29">
        <v>33000</v>
      </c>
      <c r="T377" s="32">
        <v>513.33333333333303</v>
      </c>
      <c r="U377" s="32">
        <v>0</v>
      </c>
      <c r="V377" s="31">
        <v>7.7084415584409998</v>
      </c>
      <c r="W377" s="35">
        <v>46094</v>
      </c>
      <c r="X377" s="35">
        <v>46094</v>
      </c>
    </row>
    <row r="378" spans="1:24" ht="15.75" thickBot="1" x14ac:dyDescent="0.3">
      <c r="A378" t="str">
        <f t="shared" si="5"/>
        <v>PC.WL68426191</v>
      </c>
      <c r="B378" s="22" t="s">
        <v>1769</v>
      </c>
      <c r="C378" s="22" t="s">
        <v>3069</v>
      </c>
      <c r="D378" s="22" t="s">
        <v>3070</v>
      </c>
      <c r="E378" s="22" t="s">
        <v>3071</v>
      </c>
      <c r="F378" s="22" t="s">
        <v>2139</v>
      </c>
      <c r="G378" s="28" t="s">
        <v>2012</v>
      </c>
      <c r="H378" s="22" t="s">
        <v>2022</v>
      </c>
      <c r="I378" s="21"/>
      <c r="J378" s="22" t="s">
        <v>1117</v>
      </c>
      <c r="K378" s="22" t="s">
        <v>924</v>
      </c>
      <c r="L378" s="21"/>
      <c r="M378" s="22" t="s">
        <v>2014</v>
      </c>
      <c r="N378" s="28" t="s">
        <v>2015</v>
      </c>
      <c r="O378" s="28" t="s">
        <v>2016</v>
      </c>
      <c r="P378" s="29">
        <v>4212</v>
      </c>
      <c r="Q378" s="28" t="s">
        <v>2017</v>
      </c>
      <c r="R378" s="31">
        <v>7.9638655462179999</v>
      </c>
      <c r="S378" s="29">
        <v>34000</v>
      </c>
      <c r="T378" s="32">
        <v>528.88888888888903</v>
      </c>
      <c r="U378" s="32">
        <v>0</v>
      </c>
      <c r="V378" s="31">
        <v>7.9638655462179999</v>
      </c>
      <c r="W378" s="35">
        <v>46094</v>
      </c>
      <c r="X378" s="35">
        <v>46094</v>
      </c>
    </row>
    <row r="379" spans="1:24" ht="15.75" thickBot="1" x14ac:dyDescent="0.3">
      <c r="A379" t="str">
        <f t="shared" si="5"/>
        <v>PC.WL68430494</v>
      </c>
      <c r="B379" s="22" t="s">
        <v>1773</v>
      </c>
      <c r="C379" s="22" t="s">
        <v>3072</v>
      </c>
      <c r="D379" s="22" t="s">
        <v>3073</v>
      </c>
      <c r="E379" s="22" t="s">
        <v>3074</v>
      </c>
      <c r="F379" s="22" t="s">
        <v>3075</v>
      </c>
      <c r="G379" s="28" t="s">
        <v>2012</v>
      </c>
      <c r="H379" s="22" t="s">
        <v>2022</v>
      </c>
      <c r="I379" s="21"/>
      <c r="J379" s="22" t="s">
        <v>1117</v>
      </c>
      <c r="K379" s="22" t="s">
        <v>924</v>
      </c>
      <c r="L379" s="21"/>
      <c r="M379" s="22" t="s">
        <v>2014</v>
      </c>
      <c r="N379" s="28" t="s">
        <v>2015</v>
      </c>
      <c r="O379" s="28" t="s">
        <v>2016</v>
      </c>
      <c r="P379" s="29">
        <v>4004</v>
      </c>
      <c r="Q379" s="28" t="s">
        <v>2017</v>
      </c>
      <c r="R379" s="31">
        <v>7.15</v>
      </c>
      <c r="S379" s="29">
        <v>36000</v>
      </c>
      <c r="T379" s="32">
        <v>560</v>
      </c>
      <c r="U379" s="32">
        <v>0</v>
      </c>
      <c r="V379" s="31">
        <v>7.15</v>
      </c>
      <c r="W379" s="35">
        <v>46094</v>
      </c>
      <c r="X379" s="35">
        <v>46094</v>
      </c>
    </row>
    <row r="380" spans="1:24" ht="15.75" thickBot="1" x14ac:dyDescent="0.3">
      <c r="A380" t="str">
        <f t="shared" si="5"/>
        <v>PC.WL68435702</v>
      </c>
      <c r="B380" s="22" t="s">
        <v>1762</v>
      </c>
      <c r="C380" s="22" t="s">
        <v>3076</v>
      </c>
      <c r="D380" s="22" t="s">
        <v>3077</v>
      </c>
      <c r="E380" s="22" t="s">
        <v>3078</v>
      </c>
      <c r="F380" s="22" t="s">
        <v>3079</v>
      </c>
      <c r="G380" s="28" t="s">
        <v>2012</v>
      </c>
      <c r="H380" s="22" t="s">
        <v>2022</v>
      </c>
      <c r="I380" s="21"/>
      <c r="J380" s="22" t="s">
        <v>1117</v>
      </c>
      <c r="K380" s="22" t="s">
        <v>924</v>
      </c>
      <c r="L380" s="21"/>
      <c r="M380" s="22" t="s">
        <v>2014</v>
      </c>
      <c r="N380" s="28" t="s">
        <v>2015</v>
      </c>
      <c r="O380" s="28" t="s">
        <v>2016</v>
      </c>
      <c r="P380" s="29">
        <v>7881</v>
      </c>
      <c r="Q380" s="28" t="s">
        <v>2017</v>
      </c>
      <c r="R380" s="31">
        <v>7.4505252100839998</v>
      </c>
      <c r="S380" s="29">
        <v>68000</v>
      </c>
      <c r="T380" s="32">
        <v>1057.7777777777801</v>
      </c>
      <c r="U380" s="32">
        <v>0</v>
      </c>
      <c r="V380" s="31">
        <v>7.4505252100839998</v>
      </c>
      <c r="W380" s="35">
        <v>46094</v>
      </c>
      <c r="X380" s="35">
        <v>46094</v>
      </c>
    </row>
    <row r="381" spans="1:24" ht="15.75" thickBot="1" x14ac:dyDescent="0.3">
      <c r="A381" t="str">
        <f t="shared" si="5"/>
        <v>PC30481C</v>
      </c>
      <c r="B381" s="22" t="s">
        <v>1176</v>
      </c>
      <c r="C381" s="22" t="s">
        <v>3080</v>
      </c>
      <c r="D381" s="22" t="s">
        <v>3081</v>
      </c>
      <c r="E381" s="22" t="s">
        <v>3082</v>
      </c>
      <c r="F381" s="22" t="s">
        <v>3083</v>
      </c>
      <c r="G381" s="28" t="s">
        <v>2012</v>
      </c>
      <c r="H381" s="22" t="s">
        <v>2022</v>
      </c>
      <c r="I381" s="21"/>
      <c r="J381" s="22" t="s">
        <v>1117</v>
      </c>
      <c r="K381" s="22" t="s">
        <v>924</v>
      </c>
      <c r="L381" s="21"/>
      <c r="M381" s="22" t="s">
        <v>2014</v>
      </c>
      <c r="N381" s="28" t="s">
        <v>2015</v>
      </c>
      <c r="O381" s="28" t="s">
        <v>2016</v>
      </c>
      <c r="P381" s="29">
        <v>4177</v>
      </c>
      <c r="Q381" s="28" t="s">
        <v>2017</v>
      </c>
      <c r="R381" s="31">
        <v>7.8976890756299998</v>
      </c>
      <c r="S381" s="29">
        <v>34000</v>
      </c>
      <c r="T381" s="32">
        <v>528.88888888888903</v>
      </c>
      <c r="U381" s="32">
        <v>0</v>
      </c>
      <c r="V381" s="31">
        <v>7.8976890756299998</v>
      </c>
      <c r="W381" s="35">
        <v>46094</v>
      </c>
      <c r="X381" s="35">
        <v>46094</v>
      </c>
    </row>
    <row r="382" spans="1:24" ht="15.75" thickBot="1" x14ac:dyDescent="0.3">
      <c r="A382" t="str">
        <f t="shared" si="5"/>
        <v>PCP8312BA</v>
      </c>
      <c r="B382" s="22" t="s">
        <v>3084</v>
      </c>
      <c r="C382" s="21"/>
      <c r="D382" s="22" t="s">
        <v>3085</v>
      </c>
      <c r="E382" s="21"/>
      <c r="F382" s="22" t="s">
        <v>3086</v>
      </c>
      <c r="G382" s="28" t="s">
        <v>2012</v>
      </c>
      <c r="H382" s="22" t="s">
        <v>2827</v>
      </c>
      <c r="I382" s="22" t="s">
        <v>2828</v>
      </c>
      <c r="J382" s="22" t="s">
        <v>364</v>
      </c>
      <c r="K382" s="22" t="s">
        <v>262</v>
      </c>
      <c r="L382" s="22" t="s">
        <v>2829</v>
      </c>
      <c r="M382" s="22" t="s">
        <v>2830</v>
      </c>
      <c r="N382" s="28" t="s">
        <v>2494</v>
      </c>
      <c r="O382" s="28" t="s">
        <v>2016</v>
      </c>
      <c r="P382" s="29">
        <v>880</v>
      </c>
      <c r="Q382" s="28" t="s">
        <v>2017</v>
      </c>
      <c r="R382" s="31">
        <v>7.230499561787</v>
      </c>
      <c r="S382" s="29">
        <v>7824</v>
      </c>
      <c r="T382" s="32">
        <v>121.706666666667</v>
      </c>
      <c r="U382" s="32">
        <v>0</v>
      </c>
      <c r="V382" s="31">
        <v>7.230499561787</v>
      </c>
      <c r="W382" s="35">
        <v>46094</v>
      </c>
      <c r="X382" s="35">
        <v>46094</v>
      </c>
    </row>
    <row r="383" spans="1:24" ht="15.75" thickBot="1" x14ac:dyDescent="0.3">
      <c r="A383" t="str">
        <f t="shared" si="5"/>
        <v>PCP8312ZB</v>
      </c>
      <c r="B383" s="22" t="s">
        <v>3087</v>
      </c>
      <c r="C383" s="21"/>
      <c r="D383" s="22" t="s">
        <v>3088</v>
      </c>
      <c r="E383" s="21"/>
      <c r="F383" s="22" t="s">
        <v>2030</v>
      </c>
      <c r="G383" s="28" t="s">
        <v>2012</v>
      </c>
      <c r="H383" s="22" t="s">
        <v>2827</v>
      </c>
      <c r="I383" s="22" t="s">
        <v>2828</v>
      </c>
      <c r="J383" s="22" t="s">
        <v>364</v>
      </c>
      <c r="K383" s="22" t="s">
        <v>262</v>
      </c>
      <c r="L383" s="22" t="s">
        <v>2829</v>
      </c>
      <c r="M383" s="22" t="s">
        <v>2830</v>
      </c>
      <c r="N383" s="28" t="s">
        <v>2494</v>
      </c>
      <c r="O383" s="28" t="s">
        <v>2016</v>
      </c>
      <c r="P383" s="29">
        <v>365</v>
      </c>
      <c r="Q383" s="28" t="s">
        <v>2017</v>
      </c>
      <c r="R383" s="31">
        <v>7.3348814361630001</v>
      </c>
      <c r="S383" s="29">
        <v>3199</v>
      </c>
      <c r="T383" s="32">
        <v>49.762222222222</v>
      </c>
      <c r="U383" s="32">
        <v>0</v>
      </c>
      <c r="V383" s="31">
        <v>7.3348814361630001</v>
      </c>
      <c r="W383" s="35">
        <v>46094</v>
      </c>
      <c r="X383" s="35">
        <v>46094</v>
      </c>
    </row>
    <row r="384" spans="1:24" ht="15.75" thickBot="1" x14ac:dyDescent="0.3">
      <c r="A384" t="str">
        <f t="shared" si="5"/>
        <v>PCSW520772-S300</v>
      </c>
      <c r="B384" s="22" t="s">
        <v>3089</v>
      </c>
      <c r="C384" s="22" t="s">
        <v>3090</v>
      </c>
      <c r="D384" s="22" t="s">
        <v>3091</v>
      </c>
      <c r="E384" s="22" t="s">
        <v>2960</v>
      </c>
      <c r="F384" s="22" t="s">
        <v>2030</v>
      </c>
      <c r="G384" s="28" t="s">
        <v>2012</v>
      </c>
      <c r="H384" s="22" t="s">
        <v>2962</v>
      </c>
      <c r="I384" s="22" t="s">
        <v>2963</v>
      </c>
      <c r="J384" s="22" t="s">
        <v>364</v>
      </c>
      <c r="K384" s="22" t="s">
        <v>924</v>
      </c>
      <c r="L384" s="22" t="s">
        <v>3092</v>
      </c>
      <c r="M384" s="22" t="s">
        <v>2830</v>
      </c>
      <c r="N384" s="28" t="s">
        <v>2494</v>
      </c>
      <c r="O384" s="28" t="s">
        <v>2016</v>
      </c>
      <c r="P384" s="29">
        <v>164460</v>
      </c>
      <c r="Q384" s="28" t="s">
        <v>2017</v>
      </c>
      <c r="R384" s="31">
        <v>7.9290617517989999</v>
      </c>
      <c r="S384" s="29">
        <v>1333377</v>
      </c>
      <c r="T384" s="32">
        <v>20741.419999999998</v>
      </c>
      <c r="U384" s="32">
        <v>0</v>
      </c>
      <c r="V384" s="31">
        <v>7.9290617517989999</v>
      </c>
      <c r="W384" s="35">
        <v>46094</v>
      </c>
      <c r="X384" s="35">
        <v>46094</v>
      </c>
    </row>
    <row r="385" spans="1:24" ht="15.75" thickBot="1" x14ac:dyDescent="0.3">
      <c r="A385" t="str">
        <f t="shared" si="5"/>
        <v>PUR2110370 A</v>
      </c>
      <c r="B385" s="22" t="s">
        <v>1563</v>
      </c>
      <c r="C385" s="22" t="s">
        <v>3093</v>
      </c>
      <c r="D385" s="22" t="s">
        <v>1564</v>
      </c>
      <c r="E385" s="22" t="s">
        <v>3094</v>
      </c>
      <c r="F385" s="22" t="s">
        <v>3095</v>
      </c>
      <c r="G385" s="28" t="s">
        <v>2012</v>
      </c>
      <c r="H385" s="22" t="s">
        <v>2013</v>
      </c>
      <c r="I385" s="21"/>
      <c r="J385" s="22" t="s">
        <v>494</v>
      </c>
      <c r="K385" s="22" t="s">
        <v>924</v>
      </c>
      <c r="L385" s="21"/>
      <c r="M385" s="22" t="s">
        <v>2034</v>
      </c>
      <c r="N385" s="28" t="s">
        <v>2015</v>
      </c>
      <c r="O385" s="28" t="s">
        <v>2016</v>
      </c>
      <c r="P385" s="29">
        <v>25997</v>
      </c>
      <c r="Q385" s="28" t="s">
        <v>2017</v>
      </c>
      <c r="R385" s="31">
        <v>7.2166357096890001</v>
      </c>
      <c r="S385" s="29">
        <v>231581</v>
      </c>
      <c r="T385" s="32">
        <v>3602.3711111111102</v>
      </c>
      <c r="U385" s="32">
        <v>0</v>
      </c>
      <c r="V385" s="31">
        <v>7.2166357096890001</v>
      </c>
      <c r="W385" s="35">
        <v>46094</v>
      </c>
      <c r="X385" s="35">
        <v>46094</v>
      </c>
    </row>
    <row r="386" spans="1:24" ht="15.75" thickBot="1" x14ac:dyDescent="0.3">
      <c r="A386" t="str">
        <f t="shared" si="5"/>
        <v>PUR58107A96 A</v>
      </c>
      <c r="B386" s="22" t="s">
        <v>1331</v>
      </c>
      <c r="C386" s="22" t="s">
        <v>3096</v>
      </c>
      <c r="D386" s="22" t="s">
        <v>3097</v>
      </c>
      <c r="E386" s="22" t="s">
        <v>3098</v>
      </c>
      <c r="F386" s="22" t="s">
        <v>3099</v>
      </c>
      <c r="G386" s="28" t="s">
        <v>2012</v>
      </c>
      <c r="H386" s="22" t="s">
        <v>2013</v>
      </c>
      <c r="I386" s="21"/>
      <c r="J386" s="22" t="s">
        <v>364</v>
      </c>
      <c r="K386" s="22" t="s">
        <v>924</v>
      </c>
      <c r="L386" s="21"/>
      <c r="M386" s="22" t="s">
        <v>2034</v>
      </c>
      <c r="N386" s="28" t="s">
        <v>2015</v>
      </c>
      <c r="O386" s="28" t="s">
        <v>2016</v>
      </c>
      <c r="P386" s="29">
        <v>6731</v>
      </c>
      <c r="Q386" s="28" t="s">
        <v>2017</v>
      </c>
      <c r="R386" s="31">
        <v>7.2413545788149998</v>
      </c>
      <c r="S386" s="29">
        <v>59755</v>
      </c>
      <c r="T386" s="32">
        <v>929.52222222222201</v>
      </c>
      <c r="U386" s="32">
        <v>0</v>
      </c>
      <c r="V386" s="31">
        <v>7.2413545788149998</v>
      </c>
      <c r="W386" s="35">
        <v>46094</v>
      </c>
      <c r="X386" s="35">
        <v>46094</v>
      </c>
    </row>
    <row r="387" spans="1:24" ht="15.75" thickBot="1" x14ac:dyDescent="0.3">
      <c r="A387" t="str">
        <f t="shared" si="5"/>
        <v>REPACK5F147</v>
      </c>
      <c r="B387" s="22" t="s">
        <v>3100</v>
      </c>
      <c r="C387" s="22" t="s">
        <v>3101</v>
      </c>
      <c r="D387" s="22" t="s">
        <v>3102</v>
      </c>
      <c r="E387" s="21"/>
      <c r="F387" s="22" t="s">
        <v>3103</v>
      </c>
      <c r="G387" s="28" t="s">
        <v>2012</v>
      </c>
      <c r="H387" s="22" t="s">
        <v>2013</v>
      </c>
      <c r="I387" s="21"/>
      <c r="J387" s="22" t="s">
        <v>364</v>
      </c>
      <c r="K387" s="22" t="s">
        <v>262</v>
      </c>
      <c r="L387" s="21"/>
      <c r="M387" s="22" t="s">
        <v>2034</v>
      </c>
      <c r="N387" s="28" t="s">
        <v>2015</v>
      </c>
      <c r="O387" s="28" t="s">
        <v>2016</v>
      </c>
      <c r="P387" s="29">
        <v>4798</v>
      </c>
      <c r="Q387" s="28" t="s">
        <v>2017</v>
      </c>
      <c r="R387" s="31">
        <v>7.2608958837769997</v>
      </c>
      <c r="S387" s="29">
        <v>42480</v>
      </c>
      <c r="T387" s="32">
        <v>660.8</v>
      </c>
      <c r="U387" s="32">
        <v>0</v>
      </c>
      <c r="V387" s="31">
        <v>7.2608958837769997</v>
      </c>
      <c r="W387" s="35">
        <v>46094</v>
      </c>
      <c r="X387" s="35">
        <v>46094</v>
      </c>
    </row>
    <row r="388" spans="1:24" ht="15.75" thickBot="1" x14ac:dyDescent="0.3">
      <c r="A388" t="str">
        <f t="shared" si="5"/>
        <v>REPACKE404D91</v>
      </c>
      <c r="B388" s="22" t="s">
        <v>1515</v>
      </c>
      <c r="C388" s="22" t="s">
        <v>3104</v>
      </c>
      <c r="D388" s="22" t="s">
        <v>3105</v>
      </c>
      <c r="E388" s="22" t="s">
        <v>3106</v>
      </c>
      <c r="F388" s="22" t="s">
        <v>3107</v>
      </c>
      <c r="G388" s="28" t="s">
        <v>2012</v>
      </c>
      <c r="H388" s="22" t="s">
        <v>2013</v>
      </c>
      <c r="I388" s="21"/>
      <c r="J388" s="22" t="s">
        <v>261</v>
      </c>
      <c r="K388" s="22" t="s">
        <v>924</v>
      </c>
      <c r="L388" s="21"/>
      <c r="M388" s="22" t="s">
        <v>2034</v>
      </c>
      <c r="N388" s="28" t="s">
        <v>2015</v>
      </c>
      <c r="O388" s="28" t="s">
        <v>2016</v>
      </c>
      <c r="P388" s="29">
        <v>4063</v>
      </c>
      <c r="Q388" s="28" t="s">
        <v>2017</v>
      </c>
      <c r="R388" s="31">
        <v>7.6211734693870001</v>
      </c>
      <c r="S388" s="29">
        <v>34272</v>
      </c>
      <c r="T388" s="32">
        <v>533.12</v>
      </c>
      <c r="U388" s="32">
        <v>0</v>
      </c>
      <c r="V388" s="31">
        <v>7.6211734693870001</v>
      </c>
      <c r="W388" s="35">
        <v>46094</v>
      </c>
      <c r="X388" s="35">
        <v>46094</v>
      </c>
    </row>
    <row r="389" spans="1:24" ht="15.75" thickBot="1" x14ac:dyDescent="0.3">
      <c r="A389" t="str">
        <f t="shared" ref="A389:A452" si="6">TRIM(B389)</f>
        <v>RMPMAGNUM3325MT</v>
      </c>
      <c r="B389" s="22" t="s">
        <v>3108</v>
      </c>
      <c r="C389" s="22" t="s">
        <v>3109</v>
      </c>
      <c r="D389" s="22" t="s">
        <v>3110</v>
      </c>
      <c r="E389" s="22" t="s">
        <v>2975</v>
      </c>
      <c r="F389" s="22" t="s">
        <v>2030</v>
      </c>
      <c r="G389" s="28" t="s">
        <v>2012</v>
      </c>
      <c r="H389" s="22" t="s">
        <v>3111</v>
      </c>
      <c r="I389" s="22" t="s">
        <v>3112</v>
      </c>
      <c r="J389" s="22" t="s">
        <v>261</v>
      </c>
      <c r="K389" s="22" t="s">
        <v>262</v>
      </c>
      <c r="L389" s="22" t="s">
        <v>3113</v>
      </c>
      <c r="M389" s="22" t="s">
        <v>2523</v>
      </c>
      <c r="N389" s="28" t="s">
        <v>2494</v>
      </c>
      <c r="O389" s="28" t="s">
        <v>2016</v>
      </c>
      <c r="P389" s="29">
        <v>3175.3139999999999</v>
      </c>
      <c r="Q389" s="28" t="s">
        <v>1164</v>
      </c>
      <c r="R389" s="31">
        <v>7.15002813082</v>
      </c>
      <c r="S389" s="34">
        <v>28549.164400000001</v>
      </c>
      <c r="T389" s="32">
        <v>444.09811288888898</v>
      </c>
      <c r="U389" s="32">
        <v>0</v>
      </c>
      <c r="V389" s="31">
        <v>7.15002813082</v>
      </c>
      <c r="W389" s="35">
        <v>46094</v>
      </c>
      <c r="X389" s="35">
        <v>46094</v>
      </c>
    </row>
    <row r="390" spans="1:24" ht="15.75" thickBot="1" x14ac:dyDescent="0.3">
      <c r="A390" t="str">
        <f t="shared" si="6"/>
        <v>RMPPPH5TF2 JA6A</v>
      </c>
      <c r="B390" s="22" t="s">
        <v>3114</v>
      </c>
      <c r="C390" s="22" t="s">
        <v>3115</v>
      </c>
      <c r="D390" s="22" t="s">
        <v>3116</v>
      </c>
      <c r="E390" s="22" t="s">
        <v>3117</v>
      </c>
      <c r="F390" s="22" t="s">
        <v>2030</v>
      </c>
      <c r="G390" s="28" t="s">
        <v>2012</v>
      </c>
      <c r="H390" s="22" t="s">
        <v>3118</v>
      </c>
      <c r="I390" s="22" t="s">
        <v>3119</v>
      </c>
      <c r="J390" s="22" t="s">
        <v>494</v>
      </c>
      <c r="K390" s="22" t="s">
        <v>262</v>
      </c>
      <c r="L390" s="22" t="s">
        <v>2711</v>
      </c>
      <c r="M390" s="22" t="s">
        <v>2523</v>
      </c>
      <c r="N390" s="28" t="s">
        <v>2494</v>
      </c>
      <c r="O390" s="28" t="s">
        <v>2016</v>
      </c>
      <c r="P390" s="29">
        <v>3806.8</v>
      </c>
      <c r="Q390" s="28" t="s">
        <v>1164</v>
      </c>
      <c r="R390" s="31">
        <v>7.8464451786970004</v>
      </c>
      <c r="S390" s="34">
        <v>31189.01</v>
      </c>
      <c r="T390" s="32">
        <v>485.16237777777798</v>
      </c>
      <c r="U390" s="32">
        <v>0</v>
      </c>
      <c r="V390" s="31">
        <v>7.8464451786970004</v>
      </c>
      <c r="W390" s="35">
        <v>46094</v>
      </c>
      <c r="X390" s="35">
        <v>46094</v>
      </c>
    </row>
    <row r="391" spans="1:24" ht="15.75" thickBot="1" x14ac:dyDescent="0.3">
      <c r="A391" t="str">
        <f t="shared" si="6"/>
        <v>RMS2101514A</v>
      </c>
      <c r="B391" s="22" t="s">
        <v>3120</v>
      </c>
      <c r="C391" s="22" t="s">
        <v>3121</v>
      </c>
      <c r="D391" s="22" t="s">
        <v>3122</v>
      </c>
      <c r="E391" s="22" t="s">
        <v>3123</v>
      </c>
      <c r="F391" s="22" t="s">
        <v>3124</v>
      </c>
      <c r="G391" s="28" t="s">
        <v>2012</v>
      </c>
      <c r="H391" s="22" t="s">
        <v>2549</v>
      </c>
      <c r="I391" s="22" t="s">
        <v>2550</v>
      </c>
      <c r="J391" s="22" t="s">
        <v>261</v>
      </c>
      <c r="K391" s="22" t="s">
        <v>924</v>
      </c>
      <c r="L391" s="22" t="s">
        <v>2558</v>
      </c>
      <c r="M391" s="22" t="s">
        <v>2532</v>
      </c>
      <c r="N391" s="28" t="s">
        <v>2494</v>
      </c>
      <c r="O391" s="28" t="s">
        <v>2016</v>
      </c>
      <c r="P391" s="29">
        <v>3525.0880000000002</v>
      </c>
      <c r="Q391" s="28" t="s">
        <v>1164</v>
      </c>
      <c r="R391" s="31">
        <v>7.2867173539729997</v>
      </c>
      <c r="S391" s="34">
        <v>31099.436000000002</v>
      </c>
      <c r="T391" s="32">
        <v>483.76900444444402</v>
      </c>
      <c r="U391" s="32">
        <v>0</v>
      </c>
      <c r="V391" s="31">
        <v>7.2867173539729997</v>
      </c>
      <c r="W391" s="35">
        <v>46094</v>
      </c>
      <c r="X391" s="35">
        <v>46094</v>
      </c>
    </row>
    <row r="392" spans="1:24" ht="15.75" thickBot="1" x14ac:dyDescent="0.3">
      <c r="A392" t="str">
        <f t="shared" si="6"/>
        <v>RMS26243B12RLA</v>
      </c>
      <c r="B392" s="22" t="s">
        <v>3125</v>
      </c>
      <c r="C392" s="22" t="s">
        <v>3126</v>
      </c>
      <c r="D392" s="22" t="s">
        <v>3127</v>
      </c>
      <c r="E392" s="22" t="s">
        <v>2527</v>
      </c>
      <c r="F392" s="22" t="s">
        <v>3128</v>
      </c>
      <c r="G392" s="28" t="s">
        <v>2012</v>
      </c>
      <c r="H392" s="22" t="s">
        <v>2852</v>
      </c>
      <c r="I392" s="22" t="s">
        <v>2853</v>
      </c>
      <c r="J392" s="22" t="s">
        <v>261</v>
      </c>
      <c r="K392" s="22" t="s">
        <v>924</v>
      </c>
      <c r="L392" s="22" t="s">
        <v>2531</v>
      </c>
      <c r="M392" s="22" t="s">
        <v>2532</v>
      </c>
      <c r="N392" s="28" t="s">
        <v>2494</v>
      </c>
      <c r="O392" s="28" t="s">
        <v>2016</v>
      </c>
      <c r="P392" s="29">
        <v>2329.33</v>
      </c>
      <c r="Q392" s="28" t="s">
        <v>1164</v>
      </c>
      <c r="R392" s="31">
        <v>7.3370239694650001</v>
      </c>
      <c r="S392" s="34">
        <v>20409.18</v>
      </c>
      <c r="T392" s="32">
        <v>317.476133333333</v>
      </c>
      <c r="U392" s="32">
        <v>0</v>
      </c>
      <c r="V392" s="31">
        <v>7.3370239694650001</v>
      </c>
      <c r="W392" s="35">
        <v>46094</v>
      </c>
      <c r="X392" s="35">
        <v>46094</v>
      </c>
    </row>
    <row r="393" spans="1:24" ht="15.75" thickBot="1" x14ac:dyDescent="0.3">
      <c r="A393" t="str">
        <f t="shared" si="6"/>
        <v>RMSBRS41224ARL</v>
      </c>
      <c r="B393" s="22" t="s">
        <v>3129</v>
      </c>
      <c r="C393" s="22" t="s">
        <v>3130</v>
      </c>
      <c r="D393" s="22" t="s">
        <v>3131</v>
      </c>
      <c r="E393" s="22" t="s">
        <v>3132</v>
      </c>
      <c r="F393" s="22" t="s">
        <v>3133</v>
      </c>
      <c r="G393" s="28" t="s">
        <v>2012</v>
      </c>
      <c r="H393" s="22" t="s">
        <v>3134</v>
      </c>
      <c r="I393" s="22" t="s">
        <v>3135</v>
      </c>
      <c r="J393" s="22" t="s">
        <v>364</v>
      </c>
      <c r="K393" s="22" t="s">
        <v>924</v>
      </c>
      <c r="L393" s="22" t="s">
        <v>3136</v>
      </c>
      <c r="M393" s="22" t="s">
        <v>2532</v>
      </c>
      <c r="N393" s="28" t="s">
        <v>2494</v>
      </c>
      <c r="O393" s="28" t="s">
        <v>2016</v>
      </c>
      <c r="P393" s="29">
        <v>76836.78</v>
      </c>
      <c r="Q393" s="28" t="s">
        <v>1164</v>
      </c>
      <c r="R393" s="31">
        <v>7.4851389800339998</v>
      </c>
      <c r="S393" s="34">
        <v>659908.56000000006</v>
      </c>
      <c r="T393" s="32">
        <v>10265.244266666699</v>
      </c>
      <c r="U393" s="32">
        <v>0</v>
      </c>
      <c r="V393" s="31">
        <v>7.4851389800339998</v>
      </c>
      <c r="W393" s="35">
        <v>46094</v>
      </c>
      <c r="X393" s="35">
        <v>46094</v>
      </c>
    </row>
    <row r="394" spans="1:24" ht="15.75" thickBot="1" x14ac:dyDescent="0.3">
      <c r="A394" t="str">
        <f t="shared" si="6"/>
        <v>RMSE279D58ARL</v>
      </c>
      <c r="B394" s="22" t="s">
        <v>3137</v>
      </c>
      <c r="C394" s="22" t="s">
        <v>3138</v>
      </c>
      <c r="D394" s="22" t="s">
        <v>3139</v>
      </c>
      <c r="E394" s="22" t="s">
        <v>2720</v>
      </c>
      <c r="F394" s="22" t="s">
        <v>3140</v>
      </c>
      <c r="G394" s="28" t="s">
        <v>2012</v>
      </c>
      <c r="H394" s="22" t="s">
        <v>2013</v>
      </c>
      <c r="I394" s="21"/>
      <c r="J394" s="22" t="s">
        <v>261</v>
      </c>
      <c r="K394" s="22" t="s">
        <v>924</v>
      </c>
      <c r="L394" s="22" t="s">
        <v>2531</v>
      </c>
      <c r="M394" s="22" t="s">
        <v>2532</v>
      </c>
      <c r="N394" s="28" t="s">
        <v>2494</v>
      </c>
      <c r="O394" s="28" t="s">
        <v>2016</v>
      </c>
      <c r="P394" s="29">
        <v>6256.15</v>
      </c>
      <c r="Q394" s="28" t="s">
        <v>1164</v>
      </c>
      <c r="R394" s="31">
        <v>7.6122648297289999</v>
      </c>
      <c r="S394" s="34">
        <v>52833.3</v>
      </c>
      <c r="T394" s="32">
        <v>821.85133333333295</v>
      </c>
      <c r="U394" s="32">
        <v>0</v>
      </c>
      <c r="V394" s="31">
        <v>7.6122648297289999</v>
      </c>
      <c r="W394" s="35">
        <v>46094</v>
      </c>
      <c r="X394" s="35">
        <v>46094</v>
      </c>
    </row>
    <row r="395" spans="1:24" ht="15.75" thickBot="1" x14ac:dyDescent="0.3">
      <c r="A395" t="str">
        <f t="shared" si="6"/>
        <v>RMSWL68426174/5</v>
      </c>
      <c r="B395" s="22" t="s">
        <v>3141</v>
      </c>
      <c r="C395" s="22" t="s">
        <v>3142</v>
      </c>
      <c r="D395" s="22" t="s">
        <v>3143</v>
      </c>
      <c r="E395" s="22" t="s">
        <v>3144</v>
      </c>
      <c r="F395" s="22" t="s">
        <v>3145</v>
      </c>
      <c r="G395" s="28" t="s">
        <v>2012</v>
      </c>
      <c r="H395" s="22" t="s">
        <v>3146</v>
      </c>
      <c r="I395" s="22" t="s">
        <v>3147</v>
      </c>
      <c r="J395" s="22" t="s">
        <v>1117</v>
      </c>
      <c r="K395" s="22" t="s">
        <v>924</v>
      </c>
      <c r="L395" s="22" t="s">
        <v>3136</v>
      </c>
      <c r="M395" s="22" t="s">
        <v>2532</v>
      </c>
      <c r="N395" s="28" t="s">
        <v>2494</v>
      </c>
      <c r="O395" s="28" t="s">
        <v>2016</v>
      </c>
      <c r="P395" s="29">
        <v>6604.3239999999996</v>
      </c>
      <c r="Q395" s="28" t="s">
        <v>1164</v>
      </c>
      <c r="R395" s="31">
        <v>7.8537264238429998</v>
      </c>
      <c r="S395" s="34">
        <v>54058.883999999998</v>
      </c>
      <c r="T395" s="32">
        <v>840.915973333333</v>
      </c>
      <c r="U395" s="32">
        <v>0</v>
      </c>
      <c r="V395" s="31">
        <v>7.8537264238429998</v>
      </c>
      <c r="W395" s="35">
        <v>46094</v>
      </c>
      <c r="X395" s="35">
        <v>46094</v>
      </c>
    </row>
    <row r="396" spans="1:24" ht="15.75" thickBot="1" x14ac:dyDescent="0.3">
      <c r="A396" t="str">
        <f t="shared" si="6"/>
        <v>84533245</v>
      </c>
      <c r="B396" s="22" t="s">
        <v>1249</v>
      </c>
      <c r="C396" s="22" t="s">
        <v>3148</v>
      </c>
      <c r="D396" s="22" t="s">
        <v>3149</v>
      </c>
      <c r="E396" s="21"/>
      <c r="F396" s="22" t="s">
        <v>2030</v>
      </c>
      <c r="G396" s="28" t="s">
        <v>2012</v>
      </c>
      <c r="H396" s="22" t="s">
        <v>2013</v>
      </c>
      <c r="I396" s="21"/>
      <c r="J396" s="22" t="s">
        <v>404</v>
      </c>
      <c r="K396" s="22" t="s">
        <v>924</v>
      </c>
      <c r="L396" s="21"/>
      <c r="M396" s="22" t="s">
        <v>2014</v>
      </c>
      <c r="N396" s="28" t="s">
        <v>2015</v>
      </c>
      <c r="O396" s="28" t="s">
        <v>2016</v>
      </c>
      <c r="P396" s="29">
        <v>6448</v>
      </c>
      <c r="Q396" s="28" t="s">
        <v>2017</v>
      </c>
      <c r="R396" s="31">
        <v>8.9690645169260002</v>
      </c>
      <c r="S396" s="29">
        <v>46216</v>
      </c>
      <c r="T396" s="32">
        <v>718.91555555555499</v>
      </c>
      <c r="U396" s="32">
        <v>0</v>
      </c>
      <c r="V396" s="31">
        <v>8.9690645169260002</v>
      </c>
      <c r="W396" s="35">
        <v>46095</v>
      </c>
      <c r="X396" s="35">
        <v>46097</v>
      </c>
    </row>
    <row r="397" spans="1:24" ht="15.75" thickBot="1" x14ac:dyDescent="0.3">
      <c r="A397" t="str">
        <f t="shared" si="6"/>
        <v>84533246</v>
      </c>
      <c r="B397" s="22" t="s">
        <v>1251</v>
      </c>
      <c r="C397" s="22" t="s">
        <v>3150</v>
      </c>
      <c r="D397" s="22" t="s">
        <v>3151</v>
      </c>
      <c r="E397" s="21"/>
      <c r="F397" s="22" t="s">
        <v>2030</v>
      </c>
      <c r="G397" s="28" t="s">
        <v>2012</v>
      </c>
      <c r="H397" s="22" t="s">
        <v>2013</v>
      </c>
      <c r="I397" s="21"/>
      <c r="J397" s="22" t="s">
        <v>404</v>
      </c>
      <c r="K397" s="22" t="s">
        <v>924</v>
      </c>
      <c r="L397" s="21"/>
      <c r="M397" s="22" t="s">
        <v>2014</v>
      </c>
      <c r="N397" s="28" t="s">
        <v>2015</v>
      </c>
      <c r="O397" s="28" t="s">
        <v>2016</v>
      </c>
      <c r="P397" s="29">
        <v>7382</v>
      </c>
      <c r="Q397" s="28" t="s">
        <v>2017</v>
      </c>
      <c r="R397" s="31">
        <v>10.261138705612</v>
      </c>
      <c r="S397" s="29">
        <v>46248</v>
      </c>
      <c r="T397" s="32">
        <v>719.41333333333296</v>
      </c>
      <c r="U397" s="32">
        <v>0</v>
      </c>
      <c r="V397" s="31">
        <v>10.261138705612</v>
      </c>
      <c r="W397" s="36">
        <v>46097</v>
      </c>
      <c r="X397" s="36">
        <v>46097</v>
      </c>
    </row>
    <row r="398" spans="1:24" ht="15.75" thickBot="1" x14ac:dyDescent="0.3">
      <c r="A398" t="str">
        <f t="shared" si="6"/>
        <v>84643221</v>
      </c>
      <c r="B398" s="22" t="s">
        <v>1255</v>
      </c>
      <c r="C398" s="22" t="s">
        <v>3152</v>
      </c>
      <c r="D398" s="22" t="s">
        <v>3153</v>
      </c>
      <c r="E398" s="21"/>
      <c r="F398" s="22" t="s">
        <v>2030</v>
      </c>
      <c r="G398" s="28" t="s">
        <v>2012</v>
      </c>
      <c r="H398" s="22" t="s">
        <v>2013</v>
      </c>
      <c r="I398" s="21"/>
      <c r="J398" s="22" t="s">
        <v>404</v>
      </c>
      <c r="K398" s="22" t="s">
        <v>924</v>
      </c>
      <c r="L398" s="21"/>
      <c r="M398" s="22" t="s">
        <v>2014</v>
      </c>
      <c r="N398" s="28" t="s">
        <v>2015</v>
      </c>
      <c r="O398" s="28" t="s">
        <v>2016</v>
      </c>
      <c r="P398" s="29">
        <v>7388</v>
      </c>
      <c r="Q398" s="28" t="s">
        <v>2017</v>
      </c>
      <c r="R398" s="31">
        <v>10.285714285714</v>
      </c>
      <c r="S398" s="29">
        <v>46175</v>
      </c>
      <c r="T398" s="32">
        <v>718.27777777777806</v>
      </c>
      <c r="U398" s="32">
        <v>0</v>
      </c>
      <c r="V398" s="31">
        <v>10.285714285714</v>
      </c>
      <c r="W398" s="36">
        <v>46097</v>
      </c>
      <c r="X398" s="36">
        <v>46097</v>
      </c>
    </row>
    <row r="399" spans="1:24" ht="15.75" thickBot="1" x14ac:dyDescent="0.3">
      <c r="A399" t="str">
        <f t="shared" si="6"/>
        <v>85746600</v>
      </c>
      <c r="B399" s="22" t="s">
        <v>3154</v>
      </c>
      <c r="C399" s="22" t="s">
        <v>3155</v>
      </c>
      <c r="D399" s="22" t="s">
        <v>3156</v>
      </c>
      <c r="E399" s="22" t="s">
        <v>3157</v>
      </c>
      <c r="F399" s="22" t="s">
        <v>3158</v>
      </c>
      <c r="G399" s="28" t="s">
        <v>2012</v>
      </c>
      <c r="H399" s="22" t="s">
        <v>2027</v>
      </c>
      <c r="I399" s="21"/>
      <c r="J399" s="22" t="s">
        <v>404</v>
      </c>
      <c r="K399" s="22" t="s">
        <v>262</v>
      </c>
      <c r="L399" s="21"/>
      <c r="M399" s="22" t="s">
        <v>2014</v>
      </c>
      <c r="N399" s="28" t="s">
        <v>2015</v>
      </c>
      <c r="O399" s="28" t="s">
        <v>2016</v>
      </c>
      <c r="P399" s="29">
        <v>319</v>
      </c>
      <c r="Q399" s="28" t="s">
        <v>2017</v>
      </c>
      <c r="R399" s="31">
        <v>10.172193877551001</v>
      </c>
      <c r="S399" s="29">
        <v>2016</v>
      </c>
      <c r="T399" s="32">
        <v>31.36</v>
      </c>
      <c r="U399" s="32">
        <v>0</v>
      </c>
      <c r="V399" s="31">
        <v>10.172193877551001</v>
      </c>
      <c r="W399" s="36">
        <v>46097</v>
      </c>
      <c r="X399" s="36">
        <v>46097</v>
      </c>
    </row>
    <row r="400" spans="1:24" ht="15.75" thickBot="1" x14ac:dyDescent="0.3">
      <c r="A400" t="str">
        <f t="shared" si="6"/>
        <v>85746601</v>
      </c>
      <c r="B400" s="22" t="s">
        <v>3159</v>
      </c>
      <c r="C400" s="22" t="s">
        <v>3160</v>
      </c>
      <c r="D400" s="22" t="s">
        <v>3161</v>
      </c>
      <c r="E400" s="22" t="s">
        <v>3162</v>
      </c>
      <c r="F400" s="22" t="s">
        <v>3158</v>
      </c>
      <c r="G400" s="28" t="s">
        <v>2012</v>
      </c>
      <c r="H400" s="22" t="s">
        <v>2027</v>
      </c>
      <c r="I400" s="21"/>
      <c r="J400" s="22" t="s">
        <v>404</v>
      </c>
      <c r="K400" s="22" t="s">
        <v>262</v>
      </c>
      <c r="L400" s="21"/>
      <c r="M400" s="22" t="s">
        <v>2014</v>
      </c>
      <c r="N400" s="28" t="s">
        <v>2015</v>
      </c>
      <c r="O400" s="28" t="s">
        <v>2016</v>
      </c>
      <c r="P400" s="29">
        <v>280</v>
      </c>
      <c r="Q400" s="28" t="s">
        <v>2017</v>
      </c>
      <c r="R400" s="31">
        <v>9.1463414634140001</v>
      </c>
      <c r="S400" s="29">
        <v>1968</v>
      </c>
      <c r="T400" s="32">
        <v>30.613333333332999</v>
      </c>
      <c r="U400" s="32">
        <v>0</v>
      </c>
      <c r="V400" s="31">
        <v>9.1463414634140001</v>
      </c>
      <c r="W400" s="35">
        <v>46096</v>
      </c>
      <c r="X400" s="35">
        <v>46097</v>
      </c>
    </row>
    <row r="401" spans="1:24" ht="15.75" thickBot="1" x14ac:dyDescent="0.3">
      <c r="A401" t="str">
        <f t="shared" si="6"/>
        <v>85824846</v>
      </c>
      <c r="B401" s="22" t="s">
        <v>402</v>
      </c>
      <c r="C401" s="22" t="s">
        <v>3163</v>
      </c>
      <c r="D401" s="22" t="s">
        <v>3164</v>
      </c>
      <c r="E401" s="22" t="s">
        <v>3165</v>
      </c>
      <c r="F401" s="22" t="s">
        <v>2026</v>
      </c>
      <c r="G401" s="28" t="s">
        <v>2012</v>
      </c>
      <c r="H401" s="22" t="s">
        <v>2027</v>
      </c>
      <c r="I401" s="21"/>
      <c r="J401" s="22" t="s">
        <v>404</v>
      </c>
      <c r="K401" s="22" t="s">
        <v>262</v>
      </c>
      <c r="L401" s="21"/>
      <c r="M401" s="22" t="s">
        <v>2014</v>
      </c>
      <c r="N401" s="28" t="s">
        <v>2015</v>
      </c>
      <c r="O401" s="28" t="s">
        <v>2016</v>
      </c>
      <c r="P401" s="29">
        <v>117</v>
      </c>
      <c r="Q401" s="28" t="s">
        <v>2017</v>
      </c>
      <c r="R401" s="31">
        <v>9.7680890538029992</v>
      </c>
      <c r="S401" s="29">
        <v>770</v>
      </c>
      <c r="T401" s="32">
        <v>11.977777777777</v>
      </c>
      <c r="U401" s="32">
        <v>0</v>
      </c>
      <c r="V401" s="31">
        <v>9.7680890538029992</v>
      </c>
      <c r="W401" s="35">
        <v>46096</v>
      </c>
      <c r="X401" s="35">
        <v>46097</v>
      </c>
    </row>
    <row r="402" spans="1:24" ht="15.75" thickBot="1" x14ac:dyDescent="0.3">
      <c r="A402" t="str">
        <f t="shared" si="6"/>
        <v>ASYHS15K02W21</v>
      </c>
      <c r="B402" s="22" t="s">
        <v>1666</v>
      </c>
      <c r="C402" s="22" t="s">
        <v>2993</v>
      </c>
      <c r="D402" s="22" t="s">
        <v>3166</v>
      </c>
      <c r="E402" s="22" t="s">
        <v>3167</v>
      </c>
      <c r="F402" s="22" t="s">
        <v>3168</v>
      </c>
      <c r="G402" s="28" t="s">
        <v>2012</v>
      </c>
      <c r="H402" s="22" t="s">
        <v>2055</v>
      </c>
      <c r="I402" s="21"/>
      <c r="J402" s="22" t="s">
        <v>261</v>
      </c>
      <c r="K402" s="22" t="s">
        <v>924</v>
      </c>
      <c r="L402" s="21"/>
      <c r="M402" s="22" t="s">
        <v>2034</v>
      </c>
      <c r="N402" s="28" t="s">
        <v>2015</v>
      </c>
      <c r="O402" s="28" t="s">
        <v>2016</v>
      </c>
      <c r="P402" s="29">
        <v>2798</v>
      </c>
      <c r="Q402" s="28" t="s">
        <v>2017</v>
      </c>
      <c r="R402" s="31">
        <v>9.4654227527980002</v>
      </c>
      <c r="S402" s="29">
        <v>19003</v>
      </c>
      <c r="T402" s="32">
        <v>295.602222222222</v>
      </c>
      <c r="U402" s="32">
        <v>0</v>
      </c>
      <c r="V402" s="31">
        <v>9.4654227527980002</v>
      </c>
      <c r="W402" s="35">
        <v>46096</v>
      </c>
      <c r="X402" s="35">
        <v>46097</v>
      </c>
    </row>
    <row r="403" spans="1:24" ht="15.75" thickBot="1" x14ac:dyDescent="0.3">
      <c r="A403" t="str">
        <f t="shared" si="6"/>
        <v>ASYHS34A68W163</v>
      </c>
      <c r="B403" s="22" t="s">
        <v>1683</v>
      </c>
      <c r="C403" s="22" t="s">
        <v>2997</v>
      </c>
      <c r="D403" s="22" t="s">
        <v>3169</v>
      </c>
      <c r="E403" s="22" t="s">
        <v>3170</v>
      </c>
      <c r="F403" s="22" t="s">
        <v>3171</v>
      </c>
      <c r="G403" s="28" t="s">
        <v>2012</v>
      </c>
      <c r="H403" s="22" t="s">
        <v>2080</v>
      </c>
      <c r="I403" s="21"/>
      <c r="J403" s="22" t="s">
        <v>261</v>
      </c>
      <c r="K403" s="22" t="s">
        <v>924</v>
      </c>
      <c r="L403" s="21"/>
      <c r="M403" s="22" t="s">
        <v>2034</v>
      </c>
      <c r="N403" s="28" t="s">
        <v>2015</v>
      </c>
      <c r="O403" s="28" t="s">
        <v>2016</v>
      </c>
      <c r="P403" s="29">
        <v>2174</v>
      </c>
      <c r="Q403" s="28" t="s">
        <v>2017</v>
      </c>
      <c r="R403" s="31">
        <v>8.0570242624889996</v>
      </c>
      <c r="S403" s="29">
        <v>17346</v>
      </c>
      <c r="T403" s="32">
        <v>269.82666666666699</v>
      </c>
      <c r="U403" s="32">
        <v>0</v>
      </c>
      <c r="V403" s="31">
        <v>8.0570242624889996</v>
      </c>
      <c r="W403" s="35">
        <v>46095</v>
      </c>
      <c r="X403" s="35">
        <v>46097</v>
      </c>
    </row>
    <row r="404" spans="1:24" ht="15.75" thickBot="1" x14ac:dyDescent="0.3">
      <c r="A404" t="str">
        <f t="shared" si="6"/>
        <v>ASYHS40L76W22</v>
      </c>
      <c r="B404" s="22" t="s">
        <v>1697</v>
      </c>
      <c r="C404" s="22" t="s">
        <v>3172</v>
      </c>
      <c r="D404" s="22" t="s">
        <v>2994</v>
      </c>
      <c r="E404" s="22" t="s">
        <v>3173</v>
      </c>
      <c r="F404" s="22" t="s">
        <v>3174</v>
      </c>
      <c r="G404" s="28" t="s">
        <v>2012</v>
      </c>
      <c r="H404" s="22" t="s">
        <v>2055</v>
      </c>
      <c r="I404" s="21"/>
      <c r="J404" s="22" t="s">
        <v>261</v>
      </c>
      <c r="K404" s="22" t="s">
        <v>924</v>
      </c>
      <c r="L404" s="21"/>
      <c r="M404" s="22" t="s">
        <v>2034</v>
      </c>
      <c r="N404" s="28" t="s">
        <v>2015</v>
      </c>
      <c r="O404" s="28" t="s">
        <v>2016</v>
      </c>
      <c r="P404" s="29">
        <v>3046</v>
      </c>
      <c r="Q404" s="28" t="s">
        <v>2017</v>
      </c>
      <c r="R404" s="31">
        <v>10.327213001122001</v>
      </c>
      <c r="S404" s="29">
        <v>18961</v>
      </c>
      <c r="T404" s="32">
        <v>294.94888888888897</v>
      </c>
      <c r="U404" s="32">
        <v>0</v>
      </c>
      <c r="V404" s="31">
        <v>10.327213001122001</v>
      </c>
      <c r="W404" s="36">
        <v>46097</v>
      </c>
      <c r="X404" s="36">
        <v>46097</v>
      </c>
    </row>
    <row r="405" spans="1:24" ht="15.75" thickBot="1" x14ac:dyDescent="0.3">
      <c r="A405" t="str">
        <f t="shared" si="6"/>
        <v>ASYHS46386W16</v>
      </c>
      <c r="B405" s="22" t="s">
        <v>1700</v>
      </c>
      <c r="C405" s="22" t="s">
        <v>2185</v>
      </c>
      <c r="D405" s="22" t="s">
        <v>3175</v>
      </c>
      <c r="E405" s="22" t="s">
        <v>3176</v>
      </c>
      <c r="F405" s="22" t="s">
        <v>3177</v>
      </c>
      <c r="G405" s="28" t="s">
        <v>2012</v>
      </c>
      <c r="H405" s="22" t="s">
        <v>2055</v>
      </c>
      <c r="I405" s="21"/>
      <c r="J405" s="22" t="s">
        <v>261</v>
      </c>
      <c r="K405" s="22" t="s">
        <v>924</v>
      </c>
      <c r="L405" s="21"/>
      <c r="M405" s="22" t="s">
        <v>2034</v>
      </c>
      <c r="N405" s="28" t="s">
        <v>2015</v>
      </c>
      <c r="O405" s="28" t="s">
        <v>2016</v>
      </c>
      <c r="P405" s="29">
        <v>2449</v>
      </c>
      <c r="Q405" s="28" t="s">
        <v>2017</v>
      </c>
      <c r="R405" s="31">
        <v>8.4145224097119993</v>
      </c>
      <c r="S405" s="29">
        <v>18710</v>
      </c>
      <c r="T405" s="32">
        <v>291.04444444444403</v>
      </c>
      <c r="U405" s="32">
        <v>0</v>
      </c>
      <c r="V405" s="31">
        <v>8.4145224097119993</v>
      </c>
      <c r="W405" s="35">
        <v>46095</v>
      </c>
      <c r="X405" s="35">
        <v>46097</v>
      </c>
    </row>
    <row r="406" spans="1:24" ht="15.75" thickBot="1" x14ac:dyDescent="0.3">
      <c r="A406" t="str">
        <f t="shared" si="6"/>
        <v>ASYHS46387W16</v>
      </c>
      <c r="B406" s="22" t="s">
        <v>1702</v>
      </c>
      <c r="C406" s="22" t="s">
        <v>2073</v>
      </c>
      <c r="D406" s="22" t="s">
        <v>3178</v>
      </c>
      <c r="E406" s="22" t="s">
        <v>3179</v>
      </c>
      <c r="F406" s="22" t="s">
        <v>3180</v>
      </c>
      <c r="G406" s="28" t="s">
        <v>2012</v>
      </c>
      <c r="H406" s="22" t="s">
        <v>2055</v>
      </c>
      <c r="I406" s="21"/>
      <c r="J406" s="22" t="s">
        <v>261</v>
      </c>
      <c r="K406" s="22" t="s">
        <v>924</v>
      </c>
      <c r="L406" s="21"/>
      <c r="M406" s="22" t="s">
        <v>2034</v>
      </c>
      <c r="N406" s="28" t="s">
        <v>2015</v>
      </c>
      <c r="O406" s="28" t="s">
        <v>2016</v>
      </c>
      <c r="P406" s="29">
        <v>2593</v>
      </c>
      <c r="Q406" s="28" t="s">
        <v>2017</v>
      </c>
      <c r="R406" s="31">
        <v>8.9040573229450004</v>
      </c>
      <c r="S406" s="29">
        <v>18721</v>
      </c>
      <c r="T406" s="32">
        <v>291.21555555555602</v>
      </c>
      <c r="U406" s="32">
        <v>0</v>
      </c>
      <c r="V406" s="31">
        <v>8.9040573229450004</v>
      </c>
      <c r="W406" s="35">
        <v>46095</v>
      </c>
      <c r="X406" s="35">
        <v>46097</v>
      </c>
    </row>
    <row r="407" spans="1:24" ht="15.75" thickBot="1" x14ac:dyDescent="0.3">
      <c r="A407" t="str">
        <f t="shared" si="6"/>
        <v>ASYHS49D58W16</v>
      </c>
      <c r="B407" s="22" t="s">
        <v>1704</v>
      </c>
      <c r="C407" s="22" t="s">
        <v>2185</v>
      </c>
      <c r="D407" s="22" t="s">
        <v>1705</v>
      </c>
      <c r="E407" s="22" t="s">
        <v>3181</v>
      </c>
      <c r="F407" s="22" t="s">
        <v>3182</v>
      </c>
      <c r="G407" s="28" t="s">
        <v>2012</v>
      </c>
      <c r="H407" s="22" t="s">
        <v>2055</v>
      </c>
      <c r="I407" s="21"/>
      <c r="J407" s="22" t="s">
        <v>261</v>
      </c>
      <c r="K407" s="22" t="s">
        <v>924</v>
      </c>
      <c r="L407" s="21"/>
      <c r="M407" s="22" t="s">
        <v>2034</v>
      </c>
      <c r="N407" s="28" t="s">
        <v>2015</v>
      </c>
      <c r="O407" s="28" t="s">
        <v>2016</v>
      </c>
      <c r="P407" s="29">
        <v>2515</v>
      </c>
      <c r="Q407" s="28" t="s">
        <v>2017</v>
      </c>
      <c r="R407" s="31">
        <v>8.6412918989079994</v>
      </c>
      <c r="S407" s="29">
        <v>18710</v>
      </c>
      <c r="T407" s="32">
        <v>291.04444444444403</v>
      </c>
      <c r="U407" s="32">
        <v>0</v>
      </c>
      <c r="V407" s="31">
        <v>8.6412918989079994</v>
      </c>
      <c r="W407" s="35">
        <v>46095</v>
      </c>
      <c r="X407" s="35">
        <v>46097</v>
      </c>
    </row>
    <row r="408" spans="1:24" ht="15.75" thickBot="1" x14ac:dyDescent="0.3">
      <c r="A408" t="str">
        <f t="shared" si="6"/>
        <v>ASYHS85A40W2</v>
      </c>
      <c r="B408" s="22" t="s">
        <v>1745</v>
      </c>
      <c r="C408" s="22" t="s">
        <v>2063</v>
      </c>
      <c r="D408" s="22" t="s">
        <v>3183</v>
      </c>
      <c r="E408" s="22" t="s">
        <v>2757</v>
      </c>
      <c r="F408" s="22" t="s">
        <v>3184</v>
      </c>
      <c r="G408" s="28" t="s">
        <v>2012</v>
      </c>
      <c r="H408" s="22" t="s">
        <v>2055</v>
      </c>
      <c r="I408" s="21"/>
      <c r="J408" s="22" t="s">
        <v>494</v>
      </c>
      <c r="K408" s="22" t="s">
        <v>924</v>
      </c>
      <c r="L408" s="21"/>
      <c r="M408" s="22" t="s">
        <v>2034</v>
      </c>
      <c r="N408" s="28" t="s">
        <v>2015</v>
      </c>
      <c r="O408" s="28" t="s">
        <v>2016</v>
      </c>
      <c r="P408" s="29">
        <v>2916</v>
      </c>
      <c r="Q408" s="28" t="s">
        <v>2017</v>
      </c>
      <c r="R408" s="31">
        <v>10.691065521680001</v>
      </c>
      <c r="S408" s="29">
        <v>17534</v>
      </c>
      <c r="T408" s="32">
        <v>272.75111111111102</v>
      </c>
      <c r="U408" s="32">
        <v>0</v>
      </c>
      <c r="V408" s="31">
        <v>10.691065521680001</v>
      </c>
      <c r="W408" s="36">
        <v>46097</v>
      </c>
      <c r="X408" s="36">
        <v>46097</v>
      </c>
    </row>
    <row r="409" spans="1:24" ht="15.75" thickBot="1" x14ac:dyDescent="0.3">
      <c r="A409" t="str">
        <f t="shared" si="6"/>
        <v>ASYHS87726W11AC</v>
      </c>
      <c r="B409" s="22" t="s">
        <v>1749</v>
      </c>
      <c r="C409" s="22" t="s">
        <v>2408</v>
      </c>
      <c r="D409" s="22" t="s">
        <v>3169</v>
      </c>
      <c r="E409" s="22" t="s">
        <v>3185</v>
      </c>
      <c r="F409" s="22" t="s">
        <v>3186</v>
      </c>
      <c r="G409" s="28" t="s">
        <v>2012</v>
      </c>
      <c r="H409" s="22" t="s">
        <v>2080</v>
      </c>
      <c r="I409" s="21"/>
      <c r="J409" s="22" t="s">
        <v>261</v>
      </c>
      <c r="K409" s="22" t="s">
        <v>924</v>
      </c>
      <c r="L409" s="21"/>
      <c r="M409" s="22" t="s">
        <v>2034</v>
      </c>
      <c r="N409" s="28" t="s">
        <v>2015</v>
      </c>
      <c r="O409" s="28" t="s">
        <v>2016</v>
      </c>
      <c r="P409" s="29">
        <v>5704</v>
      </c>
      <c r="Q409" s="28" t="s">
        <v>2017</v>
      </c>
      <c r="R409" s="31">
        <v>10.610119047618999</v>
      </c>
      <c r="S409" s="29">
        <v>34560</v>
      </c>
      <c r="T409" s="32">
        <v>537.6</v>
      </c>
      <c r="U409" s="32">
        <v>0</v>
      </c>
      <c r="V409" s="31">
        <v>10.610119047618999</v>
      </c>
      <c r="W409" s="36">
        <v>46097</v>
      </c>
      <c r="X409" s="36">
        <v>46097</v>
      </c>
    </row>
    <row r="410" spans="1:24" ht="15.75" thickBot="1" x14ac:dyDescent="0.3">
      <c r="A410" t="str">
        <f t="shared" si="6"/>
        <v>ASYPW63B60W2</v>
      </c>
      <c r="B410" s="22" t="s">
        <v>1837</v>
      </c>
      <c r="C410" s="22" t="s">
        <v>2063</v>
      </c>
      <c r="D410" s="22" t="s">
        <v>1838</v>
      </c>
      <c r="E410" s="22" t="s">
        <v>3187</v>
      </c>
      <c r="F410" s="22" t="s">
        <v>3188</v>
      </c>
      <c r="G410" s="28" t="s">
        <v>2012</v>
      </c>
      <c r="H410" s="22" t="s">
        <v>2055</v>
      </c>
      <c r="I410" s="21"/>
      <c r="J410" s="22" t="s">
        <v>494</v>
      </c>
      <c r="K410" s="22" t="s">
        <v>924</v>
      </c>
      <c r="L410" s="21"/>
      <c r="M410" s="22" t="s">
        <v>2034</v>
      </c>
      <c r="N410" s="28" t="s">
        <v>2015</v>
      </c>
      <c r="O410" s="28" t="s">
        <v>2016</v>
      </c>
      <c r="P410" s="29">
        <v>5660</v>
      </c>
      <c r="Q410" s="28" t="s">
        <v>2017</v>
      </c>
      <c r="R410" s="31">
        <v>10.441263282172001</v>
      </c>
      <c r="S410" s="29">
        <v>34848</v>
      </c>
      <c r="T410" s="32">
        <v>542.08000000000004</v>
      </c>
      <c r="U410" s="32">
        <v>0</v>
      </c>
      <c r="V410" s="31">
        <v>10.441263282172001</v>
      </c>
      <c r="W410" s="36">
        <v>46097</v>
      </c>
      <c r="X410" s="36">
        <v>46097</v>
      </c>
    </row>
    <row r="411" spans="1:24" ht="15.75" thickBot="1" x14ac:dyDescent="0.3">
      <c r="A411" t="str">
        <f t="shared" si="6"/>
        <v>BLKE513D20RH</v>
      </c>
      <c r="B411" s="22" t="s">
        <v>3189</v>
      </c>
      <c r="C411" s="22" t="s">
        <v>3190</v>
      </c>
      <c r="D411" s="22" t="s">
        <v>3191</v>
      </c>
      <c r="E411" s="22" t="s">
        <v>3192</v>
      </c>
      <c r="F411" s="22" t="s">
        <v>3193</v>
      </c>
      <c r="G411" s="28" t="s">
        <v>2012</v>
      </c>
      <c r="H411" s="22" t="s">
        <v>2080</v>
      </c>
      <c r="I411" s="21"/>
      <c r="J411" s="22" t="s">
        <v>261</v>
      </c>
      <c r="K411" s="22" t="s">
        <v>924</v>
      </c>
      <c r="L411" s="21"/>
      <c r="M411" s="22" t="s">
        <v>2130</v>
      </c>
      <c r="N411" s="28" t="s">
        <v>2015</v>
      </c>
      <c r="O411" s="28" t="s">
        <v>2016</v>
      </c>
      <c r="P411" s="29">
        <v>2700</v>
      </c>
      <c r="Q411" s="28" t="s">
        <v>2017</v>
      </c>
      <c r="R411" s="31">
        <v>10.769462590521</v>
      </c>
      <c r="S411" s="29">
        <v>16117</v>
      </c>
      <c r="T411" s="32">
        <v>250.70888888888899</v>
      </c>
      <c r="U411" s="32">
        <v>0</v>
      </c>
      <c r="V411" s="31">
        <v>10.769462590521</v>
      </c>
      <c r="W411" s="36">
        <v>46097</v>
      </c>
      <c r="X411" s="36">
        <v>46097</v>
      </c>
    </row>
    <row r="412" spans="1:24" ht="15.75" thickBot="1" x14ac:dyDescent="0.3">
      <c r="A412" t="str">
        <f t="shared" si="6"/>
        <v>DET21108A60BPIA01</v>
      </c>
      <c r="B412" s="22" t="s">
        <v>1415</v>
      </c>
      <c r="C412" s="22" t="s">
        <v>3194</v>
      </c>
      <c r="D412" s="22" t="s">
        <v>3195</v>
      </c>
      <c r="E412" s="22" t="s">
        <v>3196</v>
      </c>
      <c r="F412" s="22" t="s">
        <v>3197</v>
      </c>
      <c r="G412" s="28" t="s">
        <v>2012</v>
      </c>
      <c r="H412" s="22" t="s">
        <v>2080</v>
      </c>
      <c r="I412" s="21"/>
      <c r="J412" s="22" t="s">
        <v>494</v>
      </c>
      <c r="K412" s="22" t="s">
        <v>924</v>
      </c>
      <c r="L412" s="21"/>
      <c r="M412" s="22" t="s">
        <v>2034</v>
      </c>
      <c r="N412" s="28" t="s">
        <v>2015</v>
      </c>
      <c r="O412" s="28" t="s">
        <v>2016</v>
      </c>
      <c r="P412" s="29">
        <v>4628</v>
      </c>
      <c r="Q412" s="28" t="s">
        <v>2017</v>
      </c>
      <c r="R412" s="31">
        <v>9.6922819166750003</v>
      </c>
      <c r="S412" s="29">
        <v>30696</v>
      </c>
      <c r="T412" s="32">
        <v>477.493333333333</v>
      </c>
      <c r="U412" s="32">
        <v>0</v>
      </c>
      <c r="V412" s="31">
        <v>9.6922819166750003</v>
      </c>
      <c r="W412" s="35">
        <v>46096</v>
      </c>
      <c r="X412" s="35">
        <v>46097</v>
      </c>
    </row>
    <row r="413" spans="1:24" ht="15.75" thickBot="1" x14ac:dyDescent="0.3">
      <c r="A413" t="str">
        <f t="shared" si="6"/>
        <v>DET21108A60BPIA03</v>
      </c>
      <c r="B413" s="22" t="s">
        <v>1417</v>
      </c>
      <c r="C413" s="22" t="s">
        <v>3194</v>
      </c>
      <c r="D413" s="22" t="s">
        <v>3198</v>
      </c>
      <c r="E413" s="22" t="s">
        <v>3199</v>
      </c>
      <c r="F413" s="22" t="s">
        <v>3200</v>
      </c>
      <c r="G413" s="28" t="s">
        <v>2012</v>
      </c>
      <c r="H413" s="22" t="s">
        <v>2080</v>
      </c>
      <c r="I413" s="21"/>
      <c r="J413" s="22" t="s">
        <v>494</v>
      </c>
      <c r="K413" s="22" t="s">
        <v>924</v>
      </c>
      <c r="L413" s="21"/>
      <c r="M413" s="22" t="s">
        <v>2034</v>
      </c>
      <c r="N413" s="28" t="s">
        <v>2015</v>
      </c>
      <c r="O413" s="28" t="s">
        <v>2016</v>
      </c>
      <c r="P413" s="29">
        <v>4877</v>
      </c>
      <c r="Q413" s="28" t="s">
        <v>2017</v>
      </c>
      <c r="R413" s="31">
        <v>10.213755165866001</v>
      </c>
      <c r="S413" s="29">
        <v>30696</v>
      </c>
      <c r="T413" s="32">
        <v>477.493333333333</v>
      </c>
      <c r="U413" s="32">
        <v>0</v>
      </c>
      <c r="V413" s="31">
        <v>10.213755165866001</v>
      </c>
      <c r="W413" s="36">
        <v>46097</v>
      </c>
      <c r="X413" s="36">
        <v>46097</v>
      </c>
    </row>
    <row r="414" spans="1:24" ht="15.75" thickBot="1" x14ac:dyDescent="0.3">
      <c r="A414" t="str">
        <f t="shared" si="6"/>
        <v>DET2610131A</v>
      </c>
      <c r="B414" s="22" t="s">
        <v>1354</v>
      </c>
      <c r="C414" s="22" t="s">
        <v>3201</v>
      </c>
      <c r="D414" s="22" t="s">
        <v>3202</v>
      </c>
      <c r="E414" s="22" t="s">
        <v>3203</v>
      </c>
      <c r="F414" s="22" t="s">
        <v>3204</v>
      </c>
      <c r="G414" s="28" t="s">
        <v>2012</v>
      </c>
      <c r="H414" s="22" t="s">
        <v>2080</v>
      </c>
      <c r="I414" s="21"/>
      <c r="J414" s="22" t="s">
        <v>494</v>
      </c>
      <c r="K414" s="22" t="s">
        <v>924</v>
      </c>
      <c r="L414" s="21"/>
      <c r="M414" s="22" t="s">
        <v>2034</v>
      </c>
      <c r="N414" s="28" t="s">
        <v>2015</v>
      </c>
      <c r="O414" s="28" t="s">
        <v>2016</v>
      </c>
      <c r="P414" s="29">
        <v>2296</v>
      </c>
      <c r="Q414" s="28" t="s">
        <v>2017</v>
      </c>
      <c r="R414" s="31">
        <v>8.5377140212859999</v>
      </c>
      <c r="S414" s="29">
        <v>17288</v>
      </c>
      <c r="T414" s="32">
        <v>268.92444444444402</v>
      </c>
      <c r="U414" s="32">
        <v>0</v>
      </c>
      <c r="V414" s="31">
        <v>8.5377140212859999</v>
      </c>
      <c r="W414" s="35">
        <v>46095</v>
      </c>
      <c r="X414" s="35">
        <v>46097</v>
      </c>
    </row>
    <row r="415" spans="1:24" ht="15.75" thickBot="1" x14ac:dyDescent="0.3">
      <c r="A415" t="str">
        <f t="shared" si="6"/>
        <v>DET26107K40A</v>
      </c>
      <c r="B415" s="22" t="s">
        <v>1099</v>
      </c>
      <c r="C415" s="22" t="s">
        <v>2161</v>
      </c>
      <c r="D415" s="22" t="s">
        <v>3205</v>
      </c>
      <c r="E415" s="22" t="s">
        <v>3206</v>
      </c>
      <c r="F415" s="22" t="s">
        <v>3207</v>
      </c>
      <c r="G415" s="28" t="s">
        <v>2012</v>
      </c>
      <c r="H415" s="22" t="s">
        <v>2080</v>
      </c>
      <c r="I415" s="21"/>
      <c r="J415" s="22" t="s">
        <v>494</v>
      </c>
      <c r="K415" s="22" t="s">
        <v>924</v>
      </c>
      <c r="L415" s="21"/>
      <c r="M415" s="22" t="s">
        <v>2034</v>
      </c>
      <c r="N415" s="28" t="s">
        <v>2015</v>
      </c>
      <c r="O415" s="28" t="s">
        <v>2016</v>
      </c>
      <c r="P415" s="29">
        <v>2933</v>
      </c>
      <c r="Q415" s="28" t="s">
        <v>2017</v>
      </c>
      <c r="R415" s="31">
        <v>10.753393407094</v>
      </c>
      <c r="S415" s="29">
        <v>17534</v>
      </c>
      <c r="T415" s="32">
        <v>272.75111111111102</v>
      </c>
      <c r="U415" s="32">
        <v>0</v>
      </c>
      <c r="V415" s="31">
        <v>10.753393407094</v>
      </c>
      <c r="W415" s="36">
        <v>46097</v>
      </c>
      <c r="X415" s="36">
        <v>46097</v>
      </c>
    </row>
    <row r="416" spans="1:24" ht="15.75" thickBot="1" x14ac:dyDescent="0.3">
      <c r="A416" t="str">
        <f t="shared" si="6"/>
        <v>DET2611151A</v>
      </c>
      <c r="B416" s="22" t="s">
        <v>1203</v>
      </c>
      <c r="C416" s="22" t="s">
        <v>2159</v>
      </c>
      <c r="D416" s="22" t="s">
        <v>3208</v>
      </c>
      <c r="E416" s="22" t="s">
        <v>2159</v>
      </c>
      <c r="F416" s="22" t="s">
        <v>3209</v>
      </c>
      <c r="G416" s="28" t="s">
        <v>2012</v>
      </c>
      <c r="H416" s="22" t="s">
        <v>2080</v>
      </c>
      <c r="I416" s="21"/>
      <c r="J416" s="22" t="s">
        <v>494</v>
      </c>
      <c r="K416" s="22" t="s">
        <v>924</v>
      </c>
      <c r="L416" s="21"/>
      <c r="M416" s="22" t="s">
        <v>2034</v>
      </c>
      <c r="N416" s="28" t="s">
        <v>2015</v>
      </c>
      <c r="O416" s="28" t="s">
        <v>2016</v>
      </c>
      <c r="P416" s="29">
        <v>2373</v>
      </c>
      <c r="Q416" s="28" t="s">
        <v>2017</v>
      </c>
      <c r="R416" s="31">
        <v>8.7002395346179995</v>
      </c>
      <c r="S416" s="29">
        <v>17534</v>
      </c>
      <c r="T416" s="32">
        <v>272.75111111111102</v>
      </c>
      <c r="U416" s="32">
        <v>0</v>
      </c>
      <c r="V416" s="31">
        <v>8.7002395346179995</v>
      </c>
      <c r="W416" s="35">
        <v>46095</v>
      </c>
      <c r="X416" s="35">
        <v>46097</v>
      </c>
    </row>
    <row r="417" spans="1:24" ht="15.75" thickBot="1" x14ac:dyDescent="0.3">
      <c r="A417" t="str">
        <f t="shared" si="6"/>
        <v>DET26111B04A</v>
      </c>
      <c r="B417" s="22" t="s">
        <v>1525</v>
      </c>
      <c r="C417" s="22" t="s">
        <v>2159</v>
      </c>
      <c r="D417" s="22" t="s">
        <v>3210</v>
      </c>
      <c r="E417" s="22" t="s">
        <v>2159</v>
      </c>
      <c r="F417" s="22" t="s">
        <v>3211</v>
      </c>
      <c r="G417" s="28" t="s">
        <v>2012</v>
      </c>
      <c r="H417" s="22" t="s">
        <v>2080</v>
      </c>
      <c r="I417" s="21"/>
      <c r="J417" s="22" t="s">
        <v>494</v>
      </c>
      <c r="K417" s="22" t="s">
        <v>924</v>
      </c>
      <c r="L417" s="21"/>
      <c r="M417" s="22" t="s">
        <v>2034</v>
      </c>
      <c r="N417" s="28" t="s">
        <v>2015</v>
      </c>
      <c r="O417" s="28" t="s">
        <v>2016</v>
      </c>
      <c r="P417" s="29">
        <v>1743</v>
      </c>
      <c r="Q417" s="28" t="s">
        <v>2017</v>
      </c>
      <c r="R417" s="31">
        <v>9.5361702127650005</v>
      </c>
      <c r="S417" s="29">
        <v>11750</v>
      </c>
      <c r="T417" s="32">
        <v>182.777777777778</v>
      </c>
      <c r="U417" s="32">
        <v>0</v>
      </c>
      <c r="V417" s="31">
        <v>9.5361702127650005</v>
      </c>
      <c r="W417" s="35">
        <v>46096</v>
      </c>
      <c r="X417" s="35">
        <v>46097</v>
      </c>
    </row>
    <row r="418" spans="1:24" ht="15.75" thickBot="1" x14ac:dyDescent="0.3">
      <c r="A418" t="str">
        <f t="shared" si="6"/>
        <v>DET26111B94A</v>
      </c>
      <c r="B418" s="22" t="s">
        <v>1576</v>
      </c>
      <c r="C418" s="22" t="s">
        <v>2159</v>
      </c>
      <c r="D418" s="22" t="s">
        <v>3212</v>
      </c>
      <c r="E418" s="22" t="s">
        <v>2159</v>
      </c>
      <c r="F418" s="22" t="s">
        <v>3213</v>
      </c>
      <c r="G418" s="28" t="s">
        <v>2012</v>
      </c>
      <c r="H418" s="22" t="s">
        <v>2080</v>
      </c>
      <c r="I418" s="21"/>
      <c r="J418" s="22" t="s">
        <v>494</v>
      </c>
      <c r="K418" s="22" t="s">
        <v>924</v>
      </c>
      <c r="L418" s="21"/>
      <c r="M418" s="22" t="s">
        <v>2034</v>
      </c>
      <c r="N418" s="28" t="s">
        <v>2015</v>
      </c>
      <c r="O418" s="28" t="s">
        <v>2016</v>
      </c>
      <c r="P418" s="29">
        <v>2863</v>
      </c>
      <c r="Q418" s="28" t="s">
        <v>2017</v>
      </c>
      <c r="R418" s="31">
        <v>10.496749173035001</v>
      </c>
      <c r="S418" s="29">
        <v>17534</v>
      </c>
      <c r="T418" s="32">
        <v>272.75111111111102</v>
      </c>
      <c r="U418" s="32">
        <v>0</v>
      </c>
      <c r="V418" s="31">
        <v>10.496749173035001</v>
      </c>
      <c r="W418" s="36">
        <v>46097</v>
      </c>
      <c r="X418" s="36">
        <v>46097</v>
      </c>
    </row>
    <row r="419" spans="1:24" ht="15.75" thickBot="1" x14ac:dyDescent="0.3">
      <c r="A419" t="str">
        <f t="shared" si="6"/>
        <v>DET2611753A</v>
      </c>
      <c r="B419" s="22" t="s">
        <v>1426</v>
      </c>
      <c r="C419" s="22" t="s">
        <v>2159</v>
      </c>
      <c r="D419" s="22" t="s">
        <v>3214</v>
      </c>
      <c r="E419" s="22" t="s">
        <v>2159</v>
      </c>
      <c r="F419" s="22" t="s">
        <v>3215</v>
      </c>
      <c r="G419" s="28" t="s">
        <v>2012</v>
      </c>
      <c r="H419" s="22" t="s">
        <v>2080</v>
      </c>
      <c r="I419" s="21"/>
      <c r="J419" s="22" t="s">
        <v>494</v>
      </c>
      <c r="K419" s="22" t="s">
        <v>924</v>
      </c>
      <c r="L419" s="21"/>
      <c r="M419" s="22" t="s">
        <v>2034</v>
      </c>
      <c r="N419" s="28" t="s">
        <v>2015</v>
      </c>
      <c r="O419" s="28" t="s">
        <v>2016</v>
      </c>
      <c r="P419" s="29">
        <v>7475</v>
      </c>
      <c r="Q419" s="28" t="s">
        <v>2017</v>
      </c>
      <c r="R419" s="31">
        <v>9.7339460426130007</v>
      </c>
      <c r="S419" s="29">
        <v>49367</v>
      </c>
      <c r="T419" s="32">
        <v>767.93111111111102</v>
      </c>
      <c r="U419" s="32">
        <v>0</v>
      </c>
      <c r="V419" s="31">
        <v>9.7339460426130007</v>
      </c>
      <c r="W419" s="35">
        <v>46096</v>
      </c>
      <c r="X419" s="35">
        <v>46097</v>
      </c>
    </row>
    <row r="420" spans="1:24" ht="15.75" thickBot="1" x14ac:dyDescent="0.3">
      <c r="A420" t="str">
        <f t="shared" si="6"/>
        <v>DET26281A30AC</v>
      </c>
      <c r="B420" s="22" t="s">
        <v>1205</v>
      </c>
      <c r="C420" s="22" t="s">
        <v>2876</v>
      </c>
      <c r="D420" s="22" t="s">
        <v>3216</v>
      </c>
      <c r="E420" s="22" t="s">
        <v>3217</v>
      </c>
      <c r="F420" s="22" t="s">
        <v>3218</v>
      </c>
      <c r="G420" s="28" t="s">
        <v>2012</v>
      </c>
      <c r="H420" s="22" t="s">
        <v>2080</v>
      </c>
      <c r="I420" s="21"/>
      <c r="J420" s="22" t="s">
        <v>494</v>
      </c>
      <c r="K420" s="22" t="s">
        <v>924</v>
      </c>
      <c r="L420" s="21"/>
      <c r="M420" s="22" t="s">
        <v>2034</v>
      </c>
      <c r="N420" s="28" t="s">
        <v>2015</v>
      </c>
      <c r="O420" s="28" t="s">
        <v>2016</v>
      </c>
      <c r="P420" s="29">
        <v>2497</v>
      </c>
      <c r="Q420" s="28" t="s">
        <v>2017</v>
      </c>
      <c r="R420" s="31">
        <v>9.5959725353549992</v>
      </c>
      <c r="S420" s="29">
        <v>16728</v>
      </c>
      <c r="T420" s="32">
        <v>260.21333333333303</v>
      </c>
      <c r="U420" s="32">
        <v>0</v>
      </c>
      <c r="V420" s="31">
        <v>9.5959725353549992</v>
      </c>
      <c r="W420" s="35">
        <v>46096</v>
      </c>
      <c r="X420" s="35">
        <v>46097</v>
      </c>
    </row>
    <row r="421" spans="1:24" ht="15.75" thickBot="1" x14ac:dyDescent="0.3">
      <c r="A421" t="str">
        <f t="shared" si="6"/>
        <v>DET2661270A</v>
      </c>
      <c r="B421" s="22" t="s">
        <v>1433</v>
      </c>
      <c r="C421" s="22" t="s">
        <v>2161</v>
      </c>
      <c r="D421" s="22" t="s">
        <v>2608</v>
      </c>
      <c r="E421" s="22" t="s">
        <v>2609</v>
      </c>
      <c r="F421" s="22" t="s">
        <v>2610</v>
      </c>
      <c r="G421" s="28" t="s">
        <v>2012</v>
      </c>
      <c r="H421" s="22" t="s">
        <v>2080</v>
      </c>
      <c r="I421" s="21"/>
      <c r="J421" s="22" t="s">
        <v>494</v>
      </c>
      <c r="K421" s="22" t="s">
        <v>924</v>
      </c>
      <c r="L421" s="21"/>
      <c r="M421" s="22" t="s">
        <v>2034</v>
      </c>
      <c r="N421" s="28" t="s">
        <v>2015</v>
      </c>
      <c r="O421" s="28" t="s">
        <v>2016</v>
      </c>
      <c r="P421" s="29">
        <v>2676</v>
      </c>
      <c r="Q421" s="28" t="s">
        <v>2017</v>
      </c>
      <c r="R421" s="31">
        <v>9.8730814639899993</v>
      </c>
      <c r="S421" s="29">
        <v>17424</v>
      </c>
      <c r="T421" s="32">
        <v>271.04000000000002</v>
      </c>
      <c r="U421" s="32">
        <v>0</v>
      </c>
      <c r="V421" s="31">
        <v>9.8730814639899993</v>
      </c>
      <c r="W421" s="35">
        <v>46096</v>
      </c>
      <c r="X421" s="35">
        <v>46097</v>
      </c>
    </row>
    <row r="422" spans="1:24" ht="15.75" thickBot="1" x14ac:dyDescent="0.3">
      <c r="A422" t="str">
        <f t="shared" si="6"/>
        <v>DET26625A64A</v>
      </c>
      <c r="B422" s="22" t="s">
        <v>1113</v>
      </c>
      <c r="C422" s="22" t="s">
        <v>2161</v>
      </c>
      <c r="D422" s="22" t="s">
        <v>2162</v>
      </c>
      <c r="E422" s="22" t="s">
        <v>3219</v>
      </c>
      <c r="F422" s="22" t="s">
        <v>3220</v>
      </c>
      <c r="G422" s="28" t="s">
        <v>2012</v>
      </c>
      <c r="H422" s="22" t="s">
        <v>2080</v>
      </c>
      <c r="I422" s="21"/>
      <c r="J422" s="22" t="s">
        <v>494</v>
      </c>
      <c r="K422" s="22" t="s">
        <v>924</v>
      </c>
      <c r="L422" s="21"/>
      <c r="M422" s="22" t="s">
        <v>2034</v>
      </c>
      <c r="N422" s="28" t="s">
        <v>2015</v>
      </c>
      <c r="O422" s="28" t="s">
        <v>2016</v>
      </c>
      <c r="P422" s="29">
        <v>2440</v>
      </c>
      <c r="Q422" s="28" t="s">
        <v>2017</v>
      </c>
      <c r="R422" s="31">
        <v>8.9458847300750008</v>
      </c>
      <c r="S422" s="29">
        <v>17534</v>
      </c>
      <c r="T422" s="32">
        <v>272.75111111111102</v>
      </c>
      <c r="U422" s="32">
        <v>0</v>
      </c>
      <c r="V422" s="31">
        <v>8.9458847300750008</v>
      </c>
      <c r="W422" s="35">
        <v>46095</v>
      </c>
      <c r="X422" s="35">
        <v>46097</v>
      </c>
    </row>
    <row r="423" spans="1:24" ht="15.75" thickBot="1" x14ac:dyDescent="0.3">
      <c r="A423" t="str">
        <f t="shared" si="6"/>
        <v>DET5810777</v>
      </c>
      <c r="B423" s="22" t="s">
        <v>1217</v>
      </c>
      <c r="C423" s="22" t="s">
        <v>2267</v>
      </c>
      <c r="D423" s="22" t="s">
        <v>2898</v>
      </c>
      <c r="E423" s="22" t="s">
        <v>3221</v>
      </c>
      <c r="F423" s="22" t="s">
        <v>3222</v>
      </c>
      <c r="G423" s="28" t="s">
        <v>2012</v>
      </c>
      <c r="H423" s="22" t="s">
        <v>2080</v>
      </c>
      <c r="I423" s="21"/>
      <c r="J423" s="22" t="s">
        <v>261</v>
      </c>
      <c r="K423" s="22" t="s">
        <v>924</v>
      </c>
      <c r="L423" s="21"/>
      <c r="M423" s="22" t="s">
        <v>2034</v>
      </c>
      <c r="N423" s="28" t="s">
        <v>2015</v>
      </c>
      <c r="O423" s="28" t="s">
        <v>2016</v>
      </c>
      <c r="P423" s="29">
        <v>8785</v>
      </c>
      <c r="Q423" s="28" t="s">
        <v>2017</v>
      </c>
      <c r="R423" s="31">
        <v>9.4499849402630005</v>
      </c>
      <c r="S423" s="29">
        <v>59762</v>
      </c>
      <c r="T423" s="32">
        <v>929.63111111111095</v>
      </c>
      <c r="U423" s="32">
        <v>0</v>
      </c>
      <c r="V423" s="31">
        <v>9.4499849402630005</v>
      </c>
      <c r="W423" s="35">
        <v>46096</v>
      </c>
      <c r="X423" s="35">
        <v>46097</v>
      </c>
    </row>
    <row r="424" spans="1:24" ht="15.75" thickBot="1" x14ac:dyDescent="0.3">
      <c r="A424" t="str">
        <f t="shared" si="6"/>
        <v>DET5811270</v>
      </c>
      <c r="B424" s="22" t="s">
        <v>1444</v>
      </c>
      <c r="C424" s="22" t="s">
        <v>2166</v>
      </c>
      <c r="D424" s="22" t="s">
        <v>2167</v>
      </c>
      <c r="E424" s="21"/>
      <c r="F424" s="22" t="s">
        <v>3223</v>
      </c>
      <c r="G424" s="28" t="s">
        <v>2012</v>
      </c>
      <c r="H424" s="22" t="s">
        <v>2055</v>
      </c>
      <c r="I424" s="21"/>
      <c r="J424" s="22" t="s">
        <v>364</v>
      </c>
      <c r="K424" s="22" t="s">
        <v>924</v>
      </c>
      <c r="L424" s="21"/>
      <c r="M424" s="22" t="s">
        <v>2034</v>
      </c>
      <c r="N424" s="28" t="s">
        <v>2015</v>
      </c>
      <c r="O424" s="28" t="s">
        <v>2016</v>
      </c>
      <c r="P424" s="29">
        <v>9731</v>
      </c>
      <c r="Q424" s="28" t="s">
        <v>2017</v>
      </c>
      <c r="R424" s="31">
        <v>10.255992879978001</v>
      </c>
      <c r="S424" s="29">
        <v>60995</v>
      </c>
      <c r="T424" s="32">
        <v>948.81111111111102</v>
      </c>
      <c r="U424" s="32">
        <v>0</v>
      </c>
      <c r="V424" s="31">
        <v>10.255992879978001</v>
      </c>
      <c r="W424" s="36">
        <v>46097</v>
      </c>
      <c r="X424" s="36">
        <v>46097</v>
      </c>
    </row>
    <row r="425" spans="1:24" ht="15.75" thickBot="1" x14ac:dyDescent="0.3">
      <c r="A425" t="str">
        <f t="shared" si="6"/>
        <v>DET68425109B</v>
      </c>
      <c r="B425" s="22" t="s">
        <v>1158</v>
      </c>
      <c r="C425" s="22" t="s">
        <v>2820</v>
      </c>
      <c r="D425" s="22" t="s">
        <v>3224</v>
      </c>
      <c r="E425" s="21"/>
      <c r="F425" s="22" t="s">
        <v>3225</v>
      </c>
      <c r="G425" s="28" t="s">
        <v>2012</v>
      </c>
      <c r="H425" s="22" t="s">
        <v>2022</v>
      </c>
      <c r="I425" s="21"/>
      <c r="J425" s="22" t="s">
        <v>1117</v>
      </c>
      <c r="K425" s="22" t="s">
        <v>924</v>
      </c>
      <c r="L425" s="21"/>
      <c r="M425" s="22" t="s">
        <v>2034</v>
      </c>
      <c r="N425" s="28" t="s">
        <v>2015</v>
      </c>
      <c r="O425" s="28" t="s">
        <v>2016</v>
      </c>
      <c r="P425" s="29">
        <v>4718</v>
      </c>
      <c r="Q425" s="28" t="s">
        <v>2017</v>
      </c>
      <c r="R425" s="31">
        <v>9.0550828481860002</v>
      </c>
      <c r="S425" s="29">
        <v>33495</v>
      </c>
      <c r="T425" s="32">
        <v>521.03333333333296</v>
      </c>
      <c r="U425" s="32">
        <v>0</v>
      </c>
      <c r="V425" s="31">
        <v>9.0550828481860002</v>
      </c>
      <c r="W425" s="35">
        <v>46096</v>
      </c>
      <c r="X425" s="35">
        <v>46097</v>
      </c>
    </row>
    <row r="426" spans="1:24" ht="15.75" thickBot="1" x14ac:dyDescent="0.3">
      <c r="A426" t="str">
        <f t="shared" si="6"/>
        <v>DET68426192</v>
      </c>
      <c r="B426" s="22" t="s">
        <v>1454</v>
      </c>
      <c r="C426" s="22" t="s">
        <v>3226</v>
      </c>
      <c r="D426" s="22" t="s">
        <v>3227</v>
      </c>
      <c r="E426" s="21"/>
      <c r="F426" s="22" t="s">
        <v>3228</v>
      </c>
      <c r="G426" s="28" t="s">
        <v>2012</v>
      </c>
      <c r="H426" s="22" t="s">
        <v>2022</v>
      </c>
      <c r="I426" s="21"/>
      <c r="J426" s="22" t="s">
        <v>1117</v>
      </c>
      <c r="K426" s="22" t="s">
        <v>924</v>
      </c>
      <c r="L426" s="21"/>
      <c r="M426" s="22" t="s">
        <v>2034</v>
      </c>
      <c r="N426" s="28" t="s">
        <v>2015</v>
      </c>
      <c r="O426" s="28" t="s">
        <v>2016</v>
      </c>
      <c r="P426" s="29">
        <v>3699</v>
      </c>
      <c r="Q426" s="28" t="s">
        <v>2017</v>
      </c>
      <c r="R426" s="31">
        <v>8.3774126173279999</v>
      </c>
      <c r="S426" s="29">
        <v>28385</v>
      </c>
      <c r="T426" s="32">
        <v>441.54444444444403</v>
      </c>
      <c r="U426" s="32">
        <v>0</v>
      </c>
      <c r="V426" s="31">
        <v>8.3774126173279999</v>
      </c>
      <c r="W426" s="35">
        <v>46095</v>
      </c>
      <c r="X426" s="35">
        <v>46097</v>
      </c>
    </row>
    <row r="427" spans="1:24" ht="15.75" thickBot="1" x14ac:dyDescent="0.3">
      <c r="A427" t="str">
        <f t="shared" si="6"/>
        <v>DET7YS87AAOS</v>
      </c>
      <c r="B427" s="22" t="s">
        <v>701</v>
      </c>
      <c r="C427" s="22" t="s">
        <v>3229</v>
      </c>
      <c r="D427" s="22" t="s">
        <v>3230</v>
      </c>
      <c r="E427" s="22" t="s">
        <v>3231</v>
      </c>
      <c r="F427" s="22" t="s">
        <v>3232</v>
      </c>
      <c r="G427" s="28" t="s">
        <v>2012</v>
      </c>
      <c r="H427" s="22" t="s">
        <v>3233</v>
      </c>
      <c r="I427" s="21"/>
      <c r="J427" s="22" t="s">
        <v>698</v>
      </c>
      <c r="K427" s="22" t="s">
        <v>262</v>
      </c>
      <c r="L427" s="21"/>
      <c r="M427" s="22" t="s">
        <v>2014</v>
      </c>
      <c r="N427" s="28" t="s">
        <v>2015</v>
      </c>
      <c r="O427" s="28" t="s">
        <v>2016</v>
      </c>
      <c r="P427" s="29">
        <v>2880</v>
      </c>
      <c r="Q427" s="28" t="s">
        <v>2017</v>
      </c>
      <c r="R427" s="31">
        <v>9.4537815126049995</v>
      </c>
      <c r="S427" s="29">
        <v>19584</v>
      </c>
      <c r="T427" s="32">
        <v>304.64</v>
      </c>
      <c r="U427" s="32">
        <v>0</v>
      </c>
      <c r="V427" s="31">
        <v>9.4537815126049995</v>
      </c>
      <c r="W427" s="35">
        <v>46096</v>
      </c>
      <c r="X427" s="35">
        <v>46097</v>
      </c>
    </row>
    <row r="428" spans="1:24" ht="15.75" thickBot="1" x14ac:dyDescent="0.3">
      <c r="A428" t="str">
        <f t="shared" si="6"/>
        <v>DET850109BU0A09N00R</v>
      </c>
      <c r="B428" s="22" t="s">
        <v>1089</v>
      </c>
      <c r="C428" s="22" t="s">
        <v>3234</v>
      </c>
      <c r="D428" s="22" t="s">
        <v>1090</v>
      </c>
      <c r="E428" s="21"/>
      <c r="F428" s="22" t="s">
        <v>3235</v>
      </c>
      <c r="G428" s="28" t="s">
        <v>2012</v>
      </c>
      <c r="H428" s="22" t="s">
        <v>2632</v>
      </c>
      <c r="I428" s="21"/>
      <c r="J428" s="22" t="s">
        <v>1086</v>
      </c>
      <c r="K428" s="22" t="s">
        <v>924</v>
      </c>
      <c r="L428" s="21"/>
      <c r="M428" s="22" t="s">
        <v>2014</v>
      </c>
      <c r="N428" s="28" t="s">
        <v>2015</v>
      </c>
      <c r="O428" s="28" t="s">
        <v>2016</v>
      </c>
      <c r="P428" s="29">
        <v>4053</v>
      </c>
      <c r="Q428" s="28" t="s">
        <v>2017</v>
      </c>
      <c r="R428" s="31">
        <v>8.7727272727269998</v>
      </c>
      <c r="S428" s="29">
        <v>29700</v>
      </c>
      <c r="T428" s="32">
        <v>462</v>
      </c>
      <c r="U428" s="32">
        <v>0</v>
      </c>
      <c r="V428" s="31">
        <v>8.7727272727269998</v>
      </c>
      <c r="W428" s="35">
        <v>46095</v>
      </c>
      <c r="X428" s="35">
        <v>46097</v>
      </c>
    </row>
    <row r="429" spans="1:24" ht="15.75" thickBot="1" x14ac:dyDescent="0.3">
      <c r="A429" t="str">
        <f t="shared" si="6"/>
        <v>DET850109BU0A10N00L</v>
      </c>
      <c r="B429" s="22" t="s">
        <v>1091</v>
      </c>
      <c r="C429" s="22" t="s">
        <v>3236</v>
      </c>
      <c r="D429" s="22" t="s">
        <v>1092</v>
      </c>
      <c r="E429" s="21"/>
      <c r="F429" s="22" t="s">
        <v>3237</v>
      </c>
      <c r="G429" s="28" t="s">
        <v>2012</v>
      </c>
      <c r="H429" s="22" t="s">
        <v>2632</v>
      </c>
      <c r="I429" s="21"/>
      <c r="J429" s="22" t="s">
        <v>1086</v>
      </c>
      <c r="K429" s="22" t="s">
        <v>924</v>
      </c>
      <c r="L429" s="21"/>
      <c r="M429" s="22" t="s">
        <v>2014</v>
      </c>
      <c r="N429" s="28" t="s">
        <v>2015</v>
      </c>
      <c r="O429" s="28" t="s">
        <v>2016</v>
      </c>
      <c r="P429" s="29">
        <v>4206</v>
      </c>
      <c r="Q429" s="28" t="s">
        <v>2017</v>
      </c>
      <c r="R429" s="31">
        <v>9.103896103896</v>
      </c>
      <c r="S429" s="29">
        <v>29700</v>
      </c>
      <c r="T429" s="32">
        <v>462</v>
      </c>
      <c r="U429" s="32">
        <v>0</v>
      </c>
      <c r="V429" s="31">
        <v>9.103896103896</v>
      </c>
      <c r="W429" s="35">
        <v>46096</v>
      </c>
      <c r="X429" s="35">
        <v>46097</v>
      </c>
    </row>
    <row r="430" spans="1:24" ht="15.75" thickBot="1" x14ac:dyDescent="0.3">
      <c r="A430" t="str">
        <f t="shared" si="6"/>
        <v>DET8A297PIA03OS</v>
      </c>
      <c r="B430" s="22" t="s">
        <v>1126</v>
      </c>
      <c r="C430" s="22" t="s">
        <v>3238</v>
      </c>
      <c r="D430" s="22" t="s">
        <v>3239</v>
      </c>
      <c r="E430" s="21"/>
      <c r="F430" s="22" t="s">
        <v>2139</v>
      </c>
      <c r="G430" s="28" t="s">
        <v>2012</v>
      </c>
      <c r="H430" s="22" t="s">
        <v>2013</v>
      </c>
      <c r="I430" s="21"/>
      <c r="J430" s="22" t="s">
        <v>1128</v>
      </c>
      <c r="K430" s="22" t="s">
        <v>924</v>
      </c>
      <c r="L430" s="21"/>
      <c r="M430" s="22" t="s">
        <v>2014</v>
      </c>
      <c r="N430" s="28" t="s">
        <v>2015</v>
      </c>
      <c r="O430" s="28" t="s">
        <v>2016</v>
      </c>
      <c r="P430" s="29">
        <v>10567</v>
      </c>
      <c r="Q430" s="28" t="s">
        <v>2017</v>
      </c>
      <c r="R430" s="31">
        <v>8.3865079365069999</v>
      </c>
      <c r="S430" s="29">
        <v>81000</v>
      </c>
      <c r="T430" s="32">
        <v>1260</v>
      </c>
      <c r="U430" s="32">
        <v>0</v>
      </c>
      <c r="V430" s="31">
        <v>8.3865079365069999</v>
      </c>
      <c r="W430" s="35">
        <v>46095</v>
      </c>
      <c r="X430" s="35">
        <v>46097</v>
      </c>
    </row>
    <row r="431" spans="1:24" ht="15.75" thickBot="1" x14ac:dyDescent="0.3">
      <c r="A431" t="str">
        <f t="shared" si="6"/>
        <v>DETE10665A</v>
      </c>
      <c r="B431" s="22" t="s">
        <v>1274</v>
      </c>
      <c r="C431" s="22" t="s">
        <v>2182</v>
      </c>
      <c r="D431" s="22" t="s">
        <v>3240</v>
      </c>
      <c r="E431" s="21"/>
      <c r="F431" s="22" t="s">
        <v>3241</v>
      </c>
      <c r="G431" s="28" t="s">
        <v>2012</v>
      </c>
      <c r="H431" s="22" t="s">
        <v>2080</v>
      </c>
      <c r="I431" s="21"/>
      <c r="J431" s="22" t="s">
        <v>261</v>
      </c>
      <c r="K431" s="22" t="s">
        <v>924</v>
      </c>
      <c r="L431" s="21"/>
      <c r="M431" s="22" t="s">
        <v>2034</v>
      </c>
      <c r="N431" s="28" t="s">
        <v>2015</v>
      </c>
      <c r="O431" s="28" t="s">
        <v>2016</v>
      </c>
      <c r="P431" s="29">
        <v>2344</v>
      </c>
      <c r="Q431" s="28" t="s">
        <v>2017</v>
      </c>
      <c r="R431" s="31">
        <v>8.8430583500999997</v>
      </c>
      <c r="S431" s="29">
        <v>17040</v>
      </c>
      <c r="T431" s="32">
        <v>265.066666666667</v>
      </c>
      <c r="U431" s="32">
        <v>0</v>
      </c>
      <c r="V431" s="31">
        <v>8.8430583500999997</v>
      </c>
      <c r="W431" s="35">
        <v>46095</v>
      </c>
      <c r="X431" s="35">
        <v>46097</v>
      </c>
    </row>
    <row r="432" spans="1:24" ht="15.75" thickBot="1" x14ac:dyDescent="0.3">
      <c r="A432" t="str">
        <f t="shared" si="6"/>
        <v>DETE403B48AB</v>
      </c>
      <c r="B432" s="22" t="s">
        <v>1285</v>
      </c>
      <c r="C432" s="22" t="s">
        <v>3242</v>
      </c>
      <c r="D432" s="22" t="s">
        <v>2452</v>
      </c>
      <c r="E432" s="22" t="s">
        <v>3243</v>
      </c>
      <c r="F432" s="22" t="s">
        <v>3244</v>
      </c>
      <c r="G432" s="28" t="s">
        <v>2012</v>
      </c>
      <c r="H432" s="22" t="s">
        <v>2080</v>
      </c>
      <c r="I432" s="21"/>
      <c r="J432" s="22" t="s">
        <v>261</v>
      </c>
      <c r="K432" s="22" t="s">
        <v>924</v>
      </c>
      <c r="L432" s="21"/>
      <c r="M432" s="22" t="s">
        <v>2034</v>
      </c>
      <c r="N432" s="28" t="s">
        <v>2015</v>
      </c>
      <c r="O432" s="28" t="s">
        <v>2016</v>
      </c>
      <c r="P432" s="29">
        <v>2829</v>
      </c>
      <c r="Q432" s="28" t="s">
        <v>2017</v>
      </c>
      <c r="R432" s="31">
        <v>10.744670076466999</v>
      </c>
      <c r="S432" s="29">
        <v>16926</v>
      </c>
      <c r="T432" s="32">
        <v>263.29333333333301</v>
      </c>
      <c r="U432" s="32">
        <v>0</v>
      </c>
      <c r="V432" s="31">
        <v>10.744670076466999</v>
      </c>
      <c r="W432" s="36">
        <v>46097</v>
      </c>
      <c r="X432" s="36">
        <v>46097</v>
      </c>
    </row>
    <row r="433" spans="1:24" ht="15.75" thickBot="1" x14ac:dyDescent="0.3">
      <c r="A433" t="str">
        <f t="shared" si="6"/>
        <v>DETE41058AB</v>
      </c>
      <c r="B433" s="22" t="s">
        <v>1295</v>
      </c>
      <c r="C433" s="22" t="s">
        <v>3245</v>
      </c>
      <c r="D433" s="22" t="s">
        <v>3246</v>
      </c>
      <c r="E433" s="22" t="s">
        <v>3247</v>
      </c>
      <c r="F433" s="22" t="s">
        <v>3248</v>
      </c>
      <c r="G433" s="28" t="s">
        <v>2012</v>
      </c>
      <c r="H433" s="22" t="s">
        <v>2080</v>
      </c>
      <c r="I433" s="21"/>
      <c r="J433" s="22" t="s">
        <v>261</v>
      </c>
      <c r="K433" s="22" t="s">
        <v>924</v>
      </c>
      <c r="L433" s="21"/>
      <c r="M433" s="22" t="s">
        <v>2034</v>
      </c>
      <c r="N433" s="28" t="s">
        <v>2015</v>
      </c>
      <c r="O433" s="28" t="s">
        <v>2016</v>
      </c>
      <c r="P433" s="29">
        <v>2503</v>
      </c>
      <c r="Q433" s="28" t="s">
        <v>2017</v>
      </c>
      <c r="R433" s="31">
        <v>9.2475369458119996</v>
      </c>
      <c r="S433" s="29">
        <v>17400</v>
      </c>
      <c r="T433" s="32">
        <v>270.66666666666703</v>
      </c>
      <c r="U433" s="32">
        <v>0</v>
      </c>
      <c r="V433" s="31">
        <v>9.2475369458119996</v>
      </c>
      <c r="W433" s="35">
        <v>46096</v>
      </c>
      <c r="X433" s="35">
        <v>46097</v>
      </c>
    </row>
    <row r="434" spans="1:24" ht="15.75" thickBot="1" x14ac:dyDescent="0.3">
      <c r="A434" t="str">
        <f t="shared" si="6"/>
        <v>DETS200B38OS</v>
      </c>
      <c r="B434" s="22" t="s">
        <v>1603</v>
      </c>
      <c r="C434" s="22" t="s">
        <v>3249</v>
      </c>
      <c r="D434" s="22" t="s">
        <v>2743</v>
      </c>
      <c r="E434" s="22" t="s">
        <v>3038</v>
      </c>
      <c r="F434" s="22" t="s">
        <v>3250</v>
      </c>
      <c r="G434" s="28" t="s">
        <v>2012</v>
      </c>
      <c r="H434" s="22" t="s">
        <v>2013</v>
      </c>
      <c r="I434" s="21"/>
      <c r="J434" s="22" t="s">
        <v>364</v>
      </c>
      <c r="K434" s="22" t="s">
        <v>924</v>
      </c>
      <c r="L434" s="21"/>
      <c r="M434" s="22" t="s">
        <v>2034</v>
      </c>
      <c r="N434" s="28" t="s">
        <v>2015</v>
      </c>
      <c r="O434" s="28" t="s">
        <v>2016</v>
      </c>
      <c r="P434" s="29">
        <v>3647</v>
      </c>
      <c r="Q434" s="28" t="s">
        <v>2017</v>
      </c>
      <c r="R434" s="31">
        <v>9.4175537256470001</v>
      </c>
      <c r="S434" s="29">
        <v>24895</v>
      </c>
      <c r="T434" s="32">
        <v>387.25555555555599</v>
      </c>
      <c r="U434" s="32">
        <v>0</v>
      </c>
      <c r="V434" s="31">
        <v>9.4175537256470001</v>
      </c>
      <c r="W434" s="35">
        <v>46096</v>
      </c>
      <c r="X434" s="35">
        <v>46097</v>
      </c>
    </row>
    <row r="435" spans="1:24" ht="15.75" thickBot="1" x14ac:dyDescent="0.3">
      <c r="A435" t="str">
        <f t="shared" si="6"/>
        <v>DETX200B38OS</v>
      </c>
      <c r="B435" s="22" t="s">
        <v>1607</v>
      </c>
      <c r="C435" s="22" t="s">
        <v>3251</v>
      </c>
      <c r="D435" s="22" t="s">
        <v>2884</v>
      </c>
      <c r="E435" s="22" t="s">
        <v>3038</v>
      </c>
      <c r="F435" s="22" t="s">
        <v>3252</v>
      </c>
      <c r="G435" s="28" t="s">
        <v>2012</v>
      </c>
      <c r="H435" s="22" t="s">
        <v>2013</v>
      </c>
      <c r="I435" s="21"/>
      <c r="J435" s="22" t="s">
        <v>364</v>
      </c>
      <c r="K435" s="22" t="s">
        <v>924</v>
      </c>
      <c r="L435" s="21"/>
      <c r="M435" s="22" t="s">
        <v>2034</v>
      </c>
      <c r="N435" s="28" t="s">
        <v>2015</v>
      </c>
      <c r="O435" s="28" t="s">
        <v>2016</v>
      </c>
      <c r="P435" s="29">
        <v>2073</v>
      </c>
      <c r="Q435" s="28" t="s">
        <v>2017</v>
      </c>
      <c r="R435" s="31">
        <v>9.6435549398860001</v>
      </c>
      <c r="S435" s="29">
        <v>13819</v>
      </c>
      <c r="T435" s="32">
        <v>214.96222222222201</v>
      </c>
      <c r="U435" s="32">
        <v>0</v>
      </c>
      <c r="V435" s="31">
        <v>9.6435549398860001</v>
      </c>
      <c r="W435" s="35">
        <v>46096</v>
      </c>
      <c r="X435" s="35">
        <v>46097</v>
      </c>
    </row>
    <row r="436" spans="1:24" ht="15.75" thickBot="1" x14ac:dyDescent="0.3">
      <c r="A436" t="str">
        <f t="shared" si="6"/>
        <v>KB3B 17N397 AC</v>
      </c>
      <c r="B436" s="22" t="s">
        <v>709</v>
      </c>
      <c r="C436" s="22" t="s">
        <v>3253</v>
      </c>
      <c r="D436" s="22" t="s">
        <v>3254</v>
      </c>
      <c r="E436" s="21"/>
      <c r="F436" s="22" t="s">
        <v>3255</v>
      </c>
      <c r="G436" s="28" t="s">
        <v>2012</v>
      </c>
      <c r="H436" s="22" t="s">
        <v>2080</v>
      </c>
      <c r="I436" s="21"/>
      <c r="J436" s="22" t="s">
        <v>494</v>
      </c>
      <c r="K436" s="22" t="s">
        <v>262</v>
      </c>
      <c r="L436" s="21"/>
      <c r="M436" s="22" t="s">
        <v>2014</v>
      </c>
      <c r="N436" s="28" t="s">
        <v>2015</v>
      </c>
      <c r="O436" s="28" t="s">
        <v>2016</v>
      </c>
      <c r="P436" s="29">
        <v>138</v>
      </c>
      <c r="Q436" s="28" t="s">
        <v>2017</v>
      </c>
      <c r="R436" s="31">
        <v>8.9070567986229996</v>
      </c>
      <c r="S436" s="29">
        <v>996</v>
      </c>
      <c r="T436" s="32">
        <v>15.493333333333</v>
      </c>
      <c r="U436" s="32">
        <v>0</v>
      </c>
      <c r="V436" s="31">
        <v>8.9070567986229996</v>
      </c>
      <c r="W436" s="35">
        <v>46095</v>
      </c>
      <c r="X436" s="35">
        <v>46097</v>
      </c>
    </row>
    <row r="437" spans="1:24" ht="15.75" thickBot="1" x14ac:dyDescent="0.3">
      <c r="A437" t="str">
        <f t="shared" si="6"/>
        <v>M2DB 17E810 BA5YZ9</v>
      </c>
      <c r="B437" s="22" t="s">
        <v>375</v>
      </c>
      <c r="C437" s="22" t="s">
        <v>3256</v>
      </c>
      <c r="D437" s="22" t="s">
        <v>3257</v>
      </c>
      <c r="E437" s="21"/>
      <c r="F437" s="22" t="s">
        <v>3258</v>
      </c>
      <c r="G437" s="28" t="s">
        <v>2012</v>
      </c>
      <c r="H437" s="22" t="s">
        <v>2080</v>
      </c>
      <c r="I437" s="21"/>
      <c r="J437" s="22" t="s">
        <v>364</v>
      </c>
      <c r="K437" s="22" t="s">
        <v>262</v>
      </c>
      <c r="L437" s="21"/>
      <c r="M437" s="22" t="s">
        <v>2014</v>
      </c>
      <c r="N437" s="28" t="s">
        <v>2015</v>
      </c>
      <c r="O437" s="28" t="s">
        <v>2016</v>
      </c>
      <c r="P437" s="29">
        <v>1779</v>
      </c>
      <c r="Q437" s="28" t="s">
        <v>2017</v>
      </c>
      <c r="R437" s="31">
        <v>8.3912455583149992</v>
      </c>
      <c r="S437" s="29">
        <v>13629</v>
      </c>
      <c r="T437" s="32">
        <v>212.006666666667</v>
      </c>
      <c r="U437" s="32">
        <v>0</v>
      </c>
      <c r="V437" s="31">
        <v>8.3912455583149992</v>
      </c>
      <c r="W437" s="35">
        <v>46095</v>
      </c>
      <c r="X437" s="35">
        <v>46097</v>
      </c>
    </row>
    <row r="438" spans="1:24" ht="15.75" thickBot="1" x14ac:dyDescent="0.3">
      <c r="A438" t="str">
        <f t="shared" si="6"/>
        <v>MB3B 21016A22 AA</v>
      </c>
      <c r="B438" s="22" t="s">
        <v>1849</v>
      </c>
      <c r="C438" s="22" t="s">
        <v>2144</v>
      </c>
      <c r="D438" s="22" t="s">
        <v>3259</v>
      </c>
      <c r="E438" s="21"/>
      <c r="F438" s="22" t="s">
        <v>2030</v>
      </c>
      <c r="G438" s="28" t="s">
        <v>2012</v>
      </c>
      <c r="H438" s="22" t="s">
        <v>2080</v>
      </c>
      <c r="I438" s="21"/>
      <c r="J438" s="22" t="s">
        <v>261</v>
      </c>
      <c r="K438" s="22" t="s">
        <v>924</v>
      </c>
      <c r="L438" s="21"/>
      <c r="M438" s="22" t="s">
        <v>2014</v>
      </c>
      <c r="N438" s="28" t="s">
        <v>2015</v>
      </c>
      <c r="O438" s="28" t="s">
        <v>2016</v>
      </c>
      <c r="P438" s="29">
        <v>2843</v>
      </c>
      <c r="Q438" s="28" t="s">
        <v>2017</v>
      </c>
      <c r="R438" s="31">
        <v>10.700485112077001</v>
      </c>
      <c r="S438" s="29">
        <v>17080</v>
      </c>
      <c r="T438" s="32">
        <v>265.68888888888898</v>
      </c>
      <c r="U438" s="32">
        <v>0</v>
      </c>
      <c r="V438" s="31">
        <v>10.700485112077001</v>
      </c>
      <c r="W438" s="36">
        <v>46097</v>
      </c>
      <c r="X438" s="36">
        <v>46097</v>
      </c>
    </row>
    <row r="439" spans="1:24" ht="15.75" thickBot="1" x14ac:dyDescent="0.3">
      <c r="A439" t="str">
        <f t="shared" si="6"/>
        <v>MEXICO68566341AB</v>
      </c>
      <c r="B439" s="22" t="s">
        <v>398</v>
      </c>
      <c r="C439" s="22" t="s">
        <v>2009</v>
      </c>
      <c r="D439" s="22" t="s">
        <v>2010</v>
      </c>
      <c r="E439" s="21"/>
      <c r="F439" s="22" t="s">
        <v>2011</v>
      </c>
      <c r="G439" s="28" t="s">
        <v>2012</v>
      </c>
      <c r="H439" s="22" t="s">
        <v>2013</v>
      </c>
      <c r="I439" s="21"/>
      <c r="J439" s="22" t="s">
        <v>394</v>
      </c>
      <c r="K439" s="22" t="s">
        <v>262</v>
      </c>
      <c r="L439" s="21"/>
      <c r="M439" s="22" t="s">
        <v>2014</v>
      </c>
      <c r="N439" s="28" t="s">
        <v>2015</v>
      </c>
      <c r="O439" s="28" t="s">
        <v>2016</v>
      </c>
      <c r="P439" s="29">
        <v>2023</v>
      </c>
      <c r="Q439" s="28" t="s">
        <v>2017</v>
      </c>
      <c r="R439" s="31">
        <v>9.2155612244890008</v>
      </c>
      <c r="S439" s="29">
        <v>14112</v>
      </c>
      <c r="T439" s="32">
        <v>219.52</v>
      </c>
      <c r="U439" s="32">
        <v>0</v>
      </c>
      <c r="V439" s="31">
        <v>9.2155612244890008</v>
      </c>
      <c r="W439" s="35">
        <v>46096</v>
      </c>
      <c r="X439" s="35">
        <v>46097</v>
      </c>
    </row>
    <row r="440" spans="1:24" ht="15.75" thickBot="1" x14ac:dyDescent="0.3">
      <c r="A440" t="str">
        <f t="shared" si="6"/>
        <v>MLD16E166APIA07</v>
      </c>
      <c r="B440" s="22" t="s">
        <v>569</v>
      </c>
      <c r="C440" s="22" t="s">
        <v>3260</v>
      </c>
      <c r="D440" s="22" t="s">
        <v>3261</v>
      </c>
      <c r="E440" s="21"/>
      <c r="F440" s="22" t="s">
        <v>3262</v>
      </c>
      <c r="G440" s="28" t="s">
        <v>2012</v>
      </c>
      <c r="H440" s="22" t="s">
        <v>2013</v>
      </c>
      <c r="I440" s="21"/>
      <c r="J440" s="22" t="s">
        <v>364</v>
      </c>
      <c r="K440" s="22" t="s">
        <v>262</v>
      </c>
      <c r="L440" s="21"/>
      <c r="M440" s="22" t="s">
        <v>2034</v>
      </c>
      <c r="N440" s="28" t="s">
        <v>2015</v>
      </c>
      <c r="O440" s="28" t="s">
        <v>2016</v>
      </c>
      <c r="P440" s="29">
        <v>5907</v>
      </c>
      <c r="Q440" s="28" t="s">
        <v>2017</v>
      </c>
      <c r="R440" s="31">
        <v>8.4001175570870004</v>
      </c>
      <c r="S440" s="29">
        <v>45206</v>
      </c>
      <c r="T440" s="32">
        <v>703.20444444444399</v>
      </c>
      <c r="U440" s="32">
        <v>0</v>
      </c>
      <c r="V440" s="31">
        <v>8.4001175570870004</v>
      </c>
      <c r="W440" s="35">
        <v>46095</v>
      </c>
      <c r="X440" s="35">
        <v>46097</v>
      </c>
    </row>
    <row r="441" spans="1:24" ht="15.75" thickBot="1" x14ac:dyDescent="0.3">
      <c r="A441" t="str">
        <f t="shared" si="6"/>
        <v>MLD26243C02</v>
      </c>
      <c r="B441" s="22" t="s">
        <v>719</v>
      </c>
      <c r="C441" s="22" t="s">
        <v>3263</v>
      </c>
      <c r="D441" s="22" t="s">
        <v>3264</v>
      </c>
      <c r="E441" s="21"/>
      <c r="F441" s="22" t="s">
        <v>2215</v>
      </c>
      <c r="G441" s="28" t="s">
        <v>2012</v>
      </c>
      <c r="H441" s="22" t="s">
        <v>2013</v>
      </c>
      <c r="I441" s="21"/>
      <c r="J441" s="22" t="s">
        <v>494</v>
      </c>
      <c r="K441" s="22" t="s">
        <v>262</v>
      </c>
      <c r="L441" s="21"/>
      <c r="M441" s="22" t="s">
        <v>2034</v>
      </c>
      <c r="N441" s="28" t="s">
        <v>2015</v>
      </c>
      <c r="O441" s="28" t="s">
        <v>2016</v>
      </c>
      <c r="P441" s="29">
        <v>2427</v>
      </c>
      <c r="Q441" s="28" t="s">
        <v>2017</v>
      </c>
      <c r="R441" s="31">
        <v>8.8507731206839999</v>
      </c>
      <c r="S441" s="29">
        <v>17628</v>
      </c>
      <c r="T441" s="32">
        <v>274.21333333333303</v>
      </c>
      <c r="U441" s="32">
        <v>0</v>
      </c>
      <c r="V441" s="31">
        <v>8.8507731206839999</v>
      </c>
      <c r="W441" s="35">
        <v>46095</v>
      </c>
      <c r="X441" s="35">
        <v>46097</v>
      </c>
    </row>
    <row r="442" spans="1:24" ht="15.75" thickBot="1" x14ac:dyDescent="0.3">
      <c r="A442" t="str">
        <f t="shared" si="6"/>
        <v>MLDE025B85B1NB</v>
      </c>
      <c r="B442" s="22" t="s">
        <v>580</v>
      </c>
      <c r="C442" s="22" t="s">
        <v>2035</v>
      </c>
      <c r="D442" s="22" t="s">
        <v>3265</v>
      </c>
      <c r="E442" s="22" t="s">
        <v>2337</v>
      </c>
      <c r="F442" s="22" t="s">
        <v>3266</v>
      </c>
      <c r="G442" s="28" t="s">
        <v>2012</v>
      </c>
      <c r="H442" s="22" t="s">
        <v>2037</v>
      </c>
      <c r="I442" s="21"/>
      <c r="J442" s="22" t="s">
        <v>261</v>
      </c>
      <c r="K442" s="22" t="s">
        <v>262</v>
      </c>
      <c r="L442" s="21"/>
      <c r="M442" s="22" t="s">
        <v>2034</v>
      </c>
      <c r="N442" s="28" t="s">
        <v>2015</v>
      </c>
      <c r="O442" s="28" t="s">
        <v>2016</v>
      </c>
      <c r="P442" s="29">
        <v>720</v>
      </c>
      <c r="Q442" s="28" t="s">
        <v>2017</v>
      </c>
      <c r="R442" s="31">
        <v>9.1709360581950001</v>
      </c>
      <c r="S442" s="29">
        <v>5047</v>
      </c>
      <c r="T442" s="32">
        <v>78.508888888887995</v>
      </c>
      <c r="U442" s="32">
        <v>0</v>
      </c>
      <c r="V442" s="31">
        <v>9.1709360581950001</v>
      </c>
      <c r="W442" s="35">
        <v>46096</v>
      </c>
      <c r="X442" s="35">
        <v>46097</v>
      </c>
    </row>
    <row r="443" spans="1:24" ht="15.75" thickBot="1" x14ac:dyDescent="0.3">
      <c r="A443" t="str">
        <f t="shared" si="6"/>
        <v>MLDE23901APIA04</v>
      </c>
      <c r="B443" s="22" t="s">
        <v>777</v>
      </c>
      <c r="C443" s="22" t="s">
        <v>3267</v>
      </c>
      <c r="D443" s="22" t="s">
        <v>778</v>
      </c>
      <c r="E443" s="21"/>
      <c r="F443" s="22" t="s">
        <v>2352</v>
      </c>
      <c r="G443" s="28" t="s">
        <v>2012</v>
      </c>
      <c r="H443" s="22" t="s">
        <v>2037</v>
      </c>
      <c r="I443" s="21"/>
      <c r="J443" s="22" t="s">
        <v>261</v>
      </c>
      <c r="K443" s="22" t="s">
        <v>262</v>
      </c>
      <c r="L443" s="21"/>
      <c r="M443" s="22" t="s">
        <v>2034</v>
      </c>
      <c r="N443" s="28" t="s">
        <v>2015</v>
      </c>
      <c r="O443" s="28" t="s">
        <v>2016</v>
      </c>
      <c r="P443" s="29">
        <v>1669</v>
      </c>
      <c r="Q443" s="28" t="s">
        <v>2017</v>
      </c>
      <c r="R443" s="31">
        <v>8.5799965727990006</v>
      </c>
      <c r="S443" s="29">
        <v>12505</v>
      </c>
      <c r="T443" s="32">
        <v>194.52222222222201</v>
      </c>
      <c r="U443" s="32">
        <v>0</v>
      </c>
      <c r="V443" s="31">
        <v>8.5799965727990006</v>
      </c>
      <c r="W443" s="35">
        <v>46095</v>
      </c>
      <c r="X443" s="35">
        <v>46097</v>
      </c>
    </row>
    <row r="444" spans="1:24" ht="15.75" thickBot="1" x14ac:dyDescent="0.3">
      <c r="A444" t="str">
        <f t="shared" si="6"/>
        <v>MLDE23942-A</v>
      </c>
      <c r="B444" s="22" t="s">
        <v>677</v>
      </c>
      <c r="C444" s="22" t="s">
        <v>3268</v>
      </c>
      <c r="D444" s="22" t="s">
        <v>3269</v>
      </c>
      <c r="E444" s="21"/>
      <c r="F444" s="22" t="s">
        <v>2419</v>
      </c>
      <c r="G444" s="28" t="s">
        <v>2012</v>
      </c>
      <c r="H444" s="22" t="s">
        <v>2013</v>
      </c>
      <c r="I444" s="21"/>
      <c r="J444" s="22" t="s">
        <v>261</v>
      </c>
      <c r="K444" s="22" t="s">
        <v>262</v>
      </c>
      <c r="L444" s="21"/>
      <c r="M444" s="22" t="s">
        <v>2034</v>
      </c>
      <c r="N444" s="28" t="s">
        <v>2015</v>
      </c>
      <c r="O444" s="28" t="s">
        <v>2016</v>
      </c>
      <c r="P444" s="29">
        <v>1997</v>
      </c>
      <c r="Q444" s="28" t="s">
        <v>2017</v>
      </c>
      <c r="R444" s="31">
        <v>10.268642731448001</v>
      </c>
      <c r="S444" s="29">
        <v>12502</v>
      </c>
      <c r="T444" s="32">
        <v>194.47555555555601</v>
      </c>
      <c r="U444" s="32">
        <v>0</v>
      </c>
      <c r="V444" s="31">
        <v>10.268642731448001</v>
      </c>
      <c r="W444" s="36">
        <v>46097</v>
      </c>
      <c r="X444" s="36">
        <v>46097</v>
      </c>
    </row>
    <row r="445" spans="1:24" ht="15.75" thickBot="1" x14ac:dyDescent="0.3">
      <c r="A445" t="str">
        <f t="shared" si="6"/>
        <v>MLDE26656APIA01</v>
      </c>
      <c r="B445" s="22" t="s">
        <v>838</v>
      </c>
      <c r="C445" s="22" t="s">
        <v>3270</v>
      </c>
      <c r="D445" s="22" t="s">
        <v>839</v>
      </c>
      <c r="E445" s="22" t="s">
        <v>2365</v>
      </c>
      <c r="F445" s="22" t="s">
        <v>2366</v>
      </c>
      <c r="G445" s="28" t="s">
        <v>2012</v>
      </c>
      <c r="H445" s="22" t="s">
        <v>2013</v>
      </c>
      <c r="I445" s="21"/>
      <c r="J445" s="22" t="s">
        <v>261</v>
      </c>
      <c r="K445" s="22" t="s">
        <v>262</v>
      </c>
      <c r="L445" s="21"/>
      <c r="M445" s="22" t="s">
        <v>2034</v>
      </c>
      <c r="N445" s="28" t="s">
        <v>2015</v>
      </c>
      <c r="O445" s="28" t="s">
        <v>2016</v>
      </c>
      <c r="P445" s="29">
        <v>2700</v>
      </c>
      <c r="Q445" s="28" t="s">
        <v>2017</v>
      </c>
      <c r="R445" s="31">
        <v>9.7135502026649991</v>
      </c>
      <c r="S445" s="29">
        <v>17869</v>
      </c>
      <c r="T445" s="32">
        <v>277.96222222222201</v>
      </c>
      <c r="U445" s="32">
        <v>0</v>
      </c>
      <c r="V445" s="31">
        <v>9.7135502026649991</v>
      </c>
      <c r="W445" s="35">
        <v>46096</v>
      </c>
      <c r="X445" s="35">
        <v>46097</v>
      </c>
    </row>
    <row r="446" spans="1:24" ht="15.75" thickBot="1" x14ac:dyDescent="0.3">
      <c r="A446" t="str">
        <f t="shared" si="6"/>
        <v>N1WB E03513 EH3ZHE</v>
      </c>
      <c r="B446" s="22" t="s">
        <v>274</v>
      </c>
      <c r="C446" s="22" t="s">
        <v>3271</v>
      </c>
      <c r="D446" s="22" t="s">
        <v>2935</v>
      </c>
      <c r="E446" s="21"/>
      <c r="F446" s="22" t="s">
        <v>2398</v>
      </c>
      <c r="G446" s="28" t="s">
        <v>2012</v>
      </c>
      <c r="H446" s="22" t="s">
        <v>2055</v>
      </c>
      <c r="I446" s="21"/>
      <c r="J446" s="22" t="s">
        <v>261</v>
      </c>
      <c r="K446" s="22" t="s">
        <v>262</v>
      </c>
      <c r="L446" s="21"/>
      <c r="M446" s="22" t="s">
        <v>2014</v>
      </c>
      <c r="N446" s="28" t="s">
        <v>2015</v>
      </c>
      <c r="O446" s="28" t="s">
        <v>2016</v>
      </c>
      <c r="P446" s="29">
        <v>388</v>
      </c>
      <c r="Q446" s="28" t="s">
        <v>2017</v>
      </c>
      <c r="R446" s="31">
        <v>9.8355114916620003</v>
      </c>
      <c r="S446" s="29">
        <v>2536</v>
      </c>
      <c r="T446" s="32">
        <v>39.448888888888</v>
      </c>
      <c r="U446" s="32">
        <v>0</v>
      </c>
      <c r="V446" s="31">
        <v>9.8355114916620003</v>
      </c>
      <c r="W446" s="35">
        <v>46096</v>
      </c>
      <c r="X446" s="35">
        <v>46097</v>
      </c>
    </row>
    <row r="447" spans="1:24" ht="15.75" thickBot="1" x14ac:dyDescent="0.3">
      <c r="A447" t="str">
        <f t="shared" si="6"/>
        <v>N1WB E23942 BK3LU4</v>
      </c>
      <c r="B447" s="22" t="s">
        <v>1020</v>
      </c>
      <c r="C447" s="22" t="s">
        <v>3272</v>
      </c>
      <c r="D447" s="22" t="s">
        <v>6</v>
      </c>
      <c r="E447" s="21"/>
      <c r="F447" s="22" t="s">
        <v>2415</v>
      </c>
      <c r="G447" s="28" t="s">
        <v>2012</v>
      </c>
      <c r="H447" s="22" t="s">
        <v>2055</v>
      </c>
      <c r="I447" s="21"/>
      <c r="J447" s="22" t="s">
        <v>261</v>
      </c>
      <c r="K447" s="22" t="s">
        <v>262</v>
      </c>
      <c r="L447" s="21"/>
      <c r="M447" s="22" t="s">
        <v>2014</v>
      </c>
      <c r="N447" s="28" t="s">
        <v>2015</v>
      </c>
      <c r="O447" s="28" t="s">
        <v>2016</v>
      </c>
      <c r="P447" s="29">
        <v>34</v>
      </c>
      <c r="Q447" s="28" t="s">
        <v>2017</v>
      </c>
      <c r="R447" s="31">
        <v>8.8133640552989991</v>
      </c>
      <c r="S447" s="29">
        <v>248</v>
      </c>
      <c r="T447" s="32">
        <v>3.8577777777770001</v>
      </c>
      <c r="U447" s="32">
        <v>0</v>
      </c>
      <c r="V447" s="31">
        <v>8.8133640552989991</v>
      </c>
      <c r="W447" s="35">
        <v>46095</v>
      </c>
      <c r="X447" s="35">
        <v>46097</v>
      </c>
    </row>
    <row r="448" spans="1:24" ht="15.75" thickBot="1" x14ac:dyDescent="0.3">
      <c r="A448" t="str">
        <f t="shared" si="6"/>
        <v>N1WB E23943 KL3LU4</v>
      </c>
      <c r="B448" s="22" t="s">
        <v>983</v>
      </c>
      <c r="C448" s="22" t="s">
        <v>3273</v>
      </c>
      <c r="D448" s="22" t="s">
        <v>72</v>
      </c>
      <c r="E448" s="22" t="s">
        <v>2441</v>
      </c>
      <c r="F448" s="22" t="s">
        <v>2360</v>
      </c>
      <c r="G448" s="28" t="s">
        <v>2012</v>
      </c>
      <c r="H448" s="22" t="s">
        <v>2055</v>
      </c>
      <c r="I448" s="21"/>
      <c r="J448" s="22" t="s">
        <v>261</v>
      </c>
      <c r="K448" s="22" t="s">
        <v>262</v>
      </c>
      <c r="L448" s="21"/>
      <c r="M448" s="22" t="s">
        <v>2014</v>
      </c>
      <c r="N448" s="28" t="s">
        <v>2015</v>
      </c>
      <c r="O448" s="28" t="s">
        <v>2016</v>
      </c>
      <c r="P448" s="29">
        <v>32</v>
      </c>
      <c r="Q448" s="28" t="s">
        <v>2017</v>
      </c>
      <c r="R448" s="31">
        <v>8.2949308755760001</v>
      </c>
      <c r="S448" s="29">
        <v>248</v>
      </c>
      <c r="T448" s="32">
        <v>3.8577777777770001</v>
      </c>
      <c r="U448" s="32">
        <v>0</v>
      </c>
      <c r="V448" s="31">
        <v>8.2949308755760001</v>
      </c>
      <c r="W448" s="35">
        <v>46095</v>
      </c>
      <c r="X448" s="35">
        <v>46097</v>
      </c>
    </row>
    <row r="449" spans="1:24" ht="15.75" thickBot="1" x14ac:dyDescent="0.3">
      <c r="A449" t="str">
        <f t="shared" si="6"/>
        <v>N1WB E24397 CA3ZHE</v>
      </c>
      <c r="B449" s="22" t="s">
        <v>535</v>
      </c>
      <c r="C449" s="22" t="s">
        <v>3274</v>
      </c>
      <c r="D449" s="22" t="s">
        <v>2425</v>
      </c>
      <c r="E449" s="21"/>
      <c r="F449" s="22" t="s">
        <v>2426</v>
      </c>
      <c r="G449" s="28" t="s">
        <v>2012</v>
      </c>
      <c r="H449" s="22" t="s">
        <v>2080</v>
      </c>
      <c r="I449" s="21"/>
      <c r="J449" s="22" t="s">
        <v>261</v>
      </c>
      <c r="K449" s="22" t="s">
        <v>262</v>
      </c>
      <c r="L449" s="21"/>
      <c r="M449" s="22" t="s">
        <v>2014</v>
      </c>
      <c r="N449" s="28" t="s">
        <v>2015</v>
      </c>
      <c r="O449" s="28" t="s">
        <v>2016</v>
      </c>
      <c r="P449" s="29">
        <v>413</v>
      </c>
      <c r="Q449" s="28" t="s">
        <v>2017</v>
      </c>
      <c r="R449" s="31">
        <v>10.485781990521</v>
      </c>
      <c r="S449" s="29">
        <v>2532</v>
      </c>
      <c r="T449" s="32">
        <v>39.386666666666002</v>
      </c>
      <c r="U449" s="32">
        <v>0</v>
      </c>
      <c r="V449" s="31">
        <v>10.485781990521</v>
      </c>
      <c r="W449" s="36">
        <v>46097</v>
      </c>
      <c r="X449" s="36">
        <v>46097</v>
      </c>
    </row>
    <row r="450" spans="1:24" ht="15.75" thickBot="1" x14ac:dyDescent="0.3">
      <c r="A450" t="str">
        <f t="shared" si="6"/>
        <v>N1WB E27406 RP3LU4</v>
      </c>
      <c r="B450" s="22" t="s">
        <v>1036</v>
      </c>
      <c r="C450" s="22" t="s">
        <v>3275</v>
      </c>
      <c r="D450" s="22" t="s">
        <v>134</v>
      </c>
      <c r="E450" s="22" t="s">
        <v>2441</v>
      </c>
      <c r="F450" s="22" t="s">
        <v>2436</v>
      </c>
      <c r="G450" s="28" t="s">
        <v>2012</v>
      </c>
      <c r="H450" s="22" t="s">
        <v>2055</v>
      </c>
      <c r="I450" s="21"/>
      <c r="J450" s="22" t="s">
        <v>261</v>
      </c>
      <c r="K450" s="22" t="s">
        <v>262</v>
      </c>
      <c r="L450" s="21"/>
      <c r="M450" s="22" t="s">
        <v>2014</v>
      </c>
      <c r="N450" s="28" t="s">
        <v>2015</v>
      </c>
      <c r="O450" s="28" t="s">
        <v>2016</v>
      </c>
      <c r="P450" s="29">
        <v>33</v>
      </c>
      <c r="Q450" s="28" t="s">
        <v>2017</v>
      </c>
      <c r="R450" s="31">
        <v>8.5541474654369996</v>
      </c>
      <c r="S450" s="29">
        <v>248</v>
      </c>
      <c r="T450" s="32">
        <v>3.8577777777770001</v>
      </c>
      <c r="U450" s="32">
        <v>0</v>
      </c>
      <c r="V450" s="31">
        <v>8.5541474654369996</v>
      </c>
      <c r="W450" s="35">
        <v>46095</v>
      </c>
      <c r="X450" s="35">
        <v>46097</v>
      </c>
    </row>
    <row r="451" spans="1:24" ht="15.75" thickBot="1" x14ac:dyDescent="0.3">
      <c r="A451" t="str">
        <f t="shared" si="6"/>
        <v>N1WB E27407 RP3LU4</v>
      </c>
      <c r="B451" s="22" t="s">
        <v>997</v>
      </c>
      <c r="C451" s="22" t="s">
        <v>3276</v>
      </c>
      <c r="D451" s="22" t="s">
        <v>176</v>
      </c>
      <c r="E451" s="22" t="s">
        <v>2441</v>
      </c>
      <c r="F451" s="22" t="s">
        <v>2443</v>
      </c>
      <c r="G451" s="28" t="s">
        <v>2012</v>
      </c>
      <c r="H451" s="22" t="s">
        <v>2055</v>
      </c>
      <c r="I451" s="21"/>
      <c r="J451" s="22" t="s">
        <v>261</v>
      </c>
      <c r="K451" s="22" t="s">
        <v>262</v>
      </c>
      <c r="L451" s="21"/>
      <c r="M451" s="22" t="s">
        <v>2014</v>
      </c>
      <c r="N451" s="28" t="s">
        <v>2015</v>
      </c>
      <c r="O451" s="28" t="s">
        <v>2016</v>
      </c>
      <c r="P451" s="29">
        <v>32</v>
      </c>
      <c r="Q451" s="28" t="s">
        <v>2017</v>
      </c>
      <c r="R451" s="31">
        <v>8.2949308755760001</v>
      </c>
      <c r="S451" s="29">
        <v>248</v>
      </c>
      <c r="T451" s="32">
        <v>3.8577777777770001</v>
      </c>
      <c r="U451" s="32">
        <v>0</v>
      </c>
      <c r="V451" s="31">
        <v>8.2949308755760001</v>
      </c>
      <c r="W451" s="35">
        <v>46095</v>
      </c>
      <c r="X451" s="35">
        <v>46097</v>
      </c>
    </row>
    <row r="452" spans="1:24" ht="15.75" thickBot="1" x14ac:dyDescent="0.3">
      <c r="A452" t="str">
        <f t="shared" si="6"/>
        <v>N1WB E28344 DA</v>
      </c>
      <c r="B452" s="22" t="s">
        <v>627</v>
      </c>
      <c r="C452" s="22" t="s">
        <v>3277</v>
      </c>
      <c r="D452" s="22" t="s">
        <v>3278</v>
      </c>
      <c r="E452" s="21"/>
      <c r="F452" s="22" t="s">
        <v>3059</v>
      </c>
      <c r="G452" s="28" t="s">
        <v>2012</v>
      </c>
      <c r="H452" s="22" t="s">
        <v>2080</v>
      </c>
      <c r="I452" s="21"/>
      <c r="J452" s="22" t="s">
        <v>261</v>
      </c>
      <c r="K452" s="22" t="s">
        <v>262</v>
      </c>
      <c r="L452" s="21"/>
      <c r="M452" s="22" t="s">
        <v>2014</v>
      </c>
      <c r="N452" s="28" t="s">
        <v>2015</v>
      </c>
      <c r="O452" s="28" t="s">
        <v>2016</v>
      </c>
      <c r="P452" s="29">
        <v>1884</v>
      </c>
      <c r="Q452" s="28" t="s">
        <v>2017</v>
      </c>
      <c r="R452" s="31">
        <v>8.0624607718199996</v>
      </c>
      <c r="S452" s="29">
        <v>15022</v>
      </c>
      <c r="T452" s="32">
        <v>233.675555555556</v>
      </c>
      <c r="U452" s="32">
        <v>0</v>
      </c>
      <c r="V452" s="31">
        <v>8.0624607718199996</v>
      </c>
      <c r="W452" s="35">
        <v>46095</v>
      </c>
      <c r="X452" s="35">
        <v>46097</v>
      </c>
    </row>
    <row r="453" spans="1:24" ht="15.75" thickBot="1" x14ac:dyDescent="0.3">
      <c r="A453" t="str">
        <f t="shared" ref="A453:A516" si="7">TRIM(B453)</f>
        <v>PC.WL68425102</v>
      </c>
      <c r="B453" s="22" t="s">
        <v>1765</v>
      </c>
      <c r="C453" s="22" t="s">
        <v>3279</v>
      </c>
      <c r="D453" s="22" t="s">
        <v>3280</v>
      </c>
      <c r="E453" s="22" t="s">
        <v>3281</v>
      </c>
      <c r="F453" s="22" t="s">
        <v>2139</v>
      </c>
      <c r="G453" s="28" t="s">
        <v>2012</v>
      </c>
      <c r="H453" s="22" t="s">
        <v>2022</v>
      </c>
      <c r="I453" s="21"/>
      <c r="J453" s="22" t="s">
        <v>1117</v>
      </c>
      <c r="K453" s="22" t="s">
        <v>924</v>
      </c>
      <c r="L453" s="21"/>
      <c r="M453" s="22" t="s">
        <v>2014</v>
      </c>
      <c r="N453" s="28" t="s">
        <v>2015</v>
      </c>
      <c r="O453" s="28" t="s">
        <v>2016</v>
      </c>
      <c r="P453" s="29">
        <v>5228</v>
      </c>
      <c r="Q453" s="28" t="s">
        <v>2017</v>
      </c>
      <c r="R453" s="31">
        <v>10.341098901098</v>
      </c>
      <c r="S453" s="29">
        <v>32500</v>
      </c>
      <c r="T453" s="32">
        <v>505.55555555555497</v>
      </c>
      <c r="U453" s="32">
        <v>0</v>
      </c>
      <c r="V453" s="31">
        <v>10.341098901098</v>
      </c>
      <c r="W453" s="36">
        <v>46097</v>
      </c>
      <c r="X453" s="36">
        <v>46097</v>
      </c>
    </row>
    <row r="454" spans="1:24" ht="15.75" thickBot="1" x14ac:dyDescent="0.3">
      <c r="A454" t="str">
        <f t="shared" si="7"/>
        <v>PC.WL68426192</v>
      </c>
      <c r="B454" s="22" t="s">
        <v>1771</v>
      </c>
      <c r="C454" s="22" t="s">
        <v>3226</v>
      </c>
      <c r="D454" s="22" t="s">
        <v>3282</v>
      </c>
      <c r="E454" s="22" t="s">
        <v>3283</v>
      </c>
      <c r="F454" s="22" t="s">
        <v>3284</v>
      </c>
      <c r="G454" s="28" t="s">
        <v>2012</v>
      </c>
      <c r="H454" s="22" t="s">
        <v>2022</v>
      </c>
      <c r="I454" s="21"/>
      <c r="J454" s="22" t="s">
        <v>1117</v>
      </c>
      <c r="K454" s="22" t="s">
        <v>924</v>
      </c>
      <c r="L454" s="21"/>
      <c r="M454" s="22" t="s">
        <v>2014</v>
      </c>
      <c r="N454" s="28" t="s">
        <v>2015</v>
      </c>
      <c r="O454" s="28" t="s">
        <v>2016</v>
      </c>
      <c r="P454" s="29">
        <v>5615</v>
      </c>
      <c r="Q454" s="28" t="s">
        <v>2017</v>
      </c>
      <c r="R454" s="31">
        <v>10.616596638655</v>
      </c>
      <c r="S454" s="29">
        <v>34000</v>
      </c>
      <c r="T454" s="32">
        <v>528.88888888888903</v>
      </c>
      <c r="U454" s="32">
        <v>0</v>
      </c>
      <c r="V454" s="31">
        <v>10.616596638655</v>
      </c>
      <c r="W454" s="36">
        <v>46097</v>
      </c>
      <c r="X454" s="36">
        <v>46097</v>
      </c>
    </row>
    <row r="455" spans="1:24" ht="15.75" thickBot="1" x14ac:dyDescent="0.3">
      <c r="A455" t="str">
        <f t="shared" si="7"/>
        <v>PC.WL68431601</v>
      </c>
      <c r="B455" s="22" t="s">
        <v>1775</v>
      </c>
      <c r="C455" s="22" t="s">
        <v>2177</v>
      </c>
      <c r="D455" s="22" t="s">
        <v>3285</v>
      </c>
      <c r="E455" s="22" t="s">
        <v>3286</v>
      </c>
      <c r="F455" s="22" t="s">
        <v>3287</v>
      </c>
      <c r="G455" s="28" t="s">
        <v>2012</v>
      </c>
      <c r="H455" s="22" t="s">
        <v>2022</v>
      </c>
      <c r="I455" s="21"/>
      <c r="J455" s="22" t="s">
        <v>1117</v>
      </c>
      <c r="K455" s="22" t="s">
        <v>924</v>
      </c>
      <c r="L455" s="21"/>
      <c r="M455" s="22" t="s">
        <v>2014</v>
      </c>
      <c r="N455" s="28" t="s">
        <v>2015</v>
      </c>
      <c r="O455" s="28" t="s">
        <v>2016</v>
      </c>
      <c r="P455" s="29">
        <v>5078</v>
      </c>
      <c r="Q455" s="28" t="s">
        <v>2017</v>
      </c>
      <c r="R455" s="31">
        <v>9.7155612244890008</v>
      </c>
      <c r="S455" s="29">
        <v>33600</v>
      </c>
      <c r="T455" s="32">
        <v>522.66666666666697</v>
      </c>
      <c r="U455" s="32">
        <v>0</v>
      </c>
      <c r="V455" s="31">
        <v>9.7155612244890008</v>
      </c>
      <c r="W455" s="35">
        <v>46096</v>
      </c>
      <c r="X455" s="35">
        <v>46097</v>
      </c>
    </row>
    <row r="456" spans="1:24" ht="15.75" thickBot="1" x14ac:dyDescent="0.3">
      <c r="A456" t="str">
        <f t="shared" si="7"/>
        <v>PC17B810 AA5YZ9</v>
      </c>
      <c r="B456" s="22" t="s">
        <v>918</v>
      </c>
      <c r="C456" s="22" t="s">
        <v>3288</v>
      </c>
      <c r="D456" s="22" t="s">
        <v>3289</v>
      </c>
      <c r="E456" s="22" t="s">
        <v>3290</v>
      </c>
      <c r="F456" s="22" t="s">
        <v>3291</v>
      </c>
      <c r="G456" s="28" t="s">
        <v>2012</v>
      </c>
      <c r="H456" s="22" t="s">
        <v>2751</v>
      </c>
      <c r="I456" s="21"/>
      <c r="J456" s="22" t="s">
        <v>892</v>
      </c>
      <c r="K456" s="22" t="s">
        <v>262</v>
      </c>
      <c r="L456" s="21"/>
      <c r="M456" s="22" t="s">
        <v>2014</v>
      </c>
      <c r="N456" s="28" t="s">
        <v>2015</v>
      </c>
      <c r="O456" s="28" t="s">
        <v>2016</v>
      </c>
      <c r="P456" s="29">
        <v>94</v>
      </c>
      <c r="Q456" s="28" t="s">
        <v>2017</v>
      </c>
      <c r="R456" s="31">
        <v>9.6840659340649999</v>
      </c>
      <c r="S456" s="29">
        <v>624</v>
      </c>
      <c r="T456" s="32">
        <v>9.7066666666660009</v>
      </c>
      <c r="U456" s="32">
        <v>0</v>
      </c>
      <c r="V456" s="31">
        <v>9.6840659340649999</v>
      </c>
      <c r="W456" s="35">
        <v>46096</v>
      </c>
      <c r="X456" s="35">
        <v>46097</v>
      </c>
    </row>
    <row r="457" spans="1:24" ht="15.75" thickBot="1" x14ac:dyDescent="0.3">
      <c r="A457" t="str">
        <f t="shared" si="7"/>
        <v>PC24957A</v>
      </c>
      <c r="B457" s="22" t="s">
        <v>1166</v>
      </c>
      <c r="C457" s="22" t="s">
        <v>3292</v>
      </c>
      <c r="D457" s="22" t="s">
        <v>3293</v>
      </c>
      <c r="E457" s="22" t="s">
        <v>3294</v>
      </c>
      <c r="F457" s="22" t="s">
        <v>2139</v>
      </c>
      <c r="G457" s="28" t="s">
        <v>2012</v>
      </c>
      <c r="H457" s="22" t="s">
        <v>2022</v>
      </c>
      <c r="I457" s="21"/>
      <c r="J457" s="22" t="s">
        <v>1117</v>
      </c>
      <c r="K457" s="22" t="s">
        <v>924</v>
      </c>
      <c r="L457" s="21"/>
      <c r="M457" s="22" t="s">
        <v>2014</v>
      </c>
      <c r="N457" s="28" t="s">
        <v>2015</v>
      </c>
      <c r="O457" s="28" t="s">
        <v>2016</v>
      </c>
      <c r="P457" s="29">
        <v>4441</v>
      </c>
      <c r="Q457" s="28" t="s">
        <v>2017</v>
      </c>
      <c r="R457" s="31">
        <v>8.3968487394950007</v>
      </c>
      <c r="S457" s="29">
        <v>34000</v>
      </c>
      <c r="T457" s="32">
        <v>528.88888888888903</v>
      </c>
      <c r="U457" s="32">
        <v>0</v>
      </c>
      <c r="V457" s="31">
        <v>8.3968487394950007</v>
      </c>
      <c r="W457" s="35">
        <v>46095</v>
      </c>
      <c r="X457" s="35">
        <v>46097</v>
      </c>
    </row>
    <row r="458" spans="1:24" ht="15.75" thickBot="1" x14ac:dyDescent="0.3">
      <c r="A458" t="str">
        <f t="shared" si="7"/>
        <v>PC24958A</v>
      </c>
      <c r="B458" s="22" t="s">
        <v>1168</v>
      </c>
      <c r="C458" s="22" t="s">
        <v>3295</v>
      </c>
      <c r="D458" s="22" t="s">
        <v>3293</v>
      </c>
      <c r="E458" s="22" t="s">
        <v>3296</v>
      </c>
      <c r="F458" s="22" t="s">
        <v>2139</v>
      </c>
      <c r="G458" s="28" t="s">
        <v>2012</v>
      </c>
      <c r="H458" s="22" t="s">
        <v>2022</v>
      </c>
      <c r="I458" s="21"/>
      <c r="J458" s="22" t="s">
        <v>1117</v>
      </c>
      <c r="K458" s="22" t="s">
        <v>924</v>
      </c>
      <c r="L458" s="21"/>
      <c r="M458" s="22" t="s">
        <v>2014</v>
      </c>
      <c r="N458" s="28" t="s">
        <v>2015</v>
      </c>
      <c r="O458" s="28" t="s">
        <v>2016</v>
      </c>
      <c r="P458" s="29">
        <v>5802</v>
      </c>
      <c r="Q458" s="28" t="s">
        <v>2017</v>
      </c>
      <c r="R458" s="31">
        <v>10.842607973421</v>
      </c>
      <c r="S458" s="29">
        <v>34400</v>
      </c>
      <c r="T458" s="32">
        <v>535.11111111111097</v>
      </c>
      <c r="U458" s="32">
        <v>0</v>
      </c>
      <c r="V458" s="31">
        <v>10.842607973421</v>
      </c>
      <c r="W458" s="36">
        <v>46097</v>
      </c>
      <c r="X458" s="36">
        <v>46097</v>
      </c>
    </row>
    <row r="459" spans="1:24" ht="15.75" thickBot="1" x14ac:dyDescent="0.3">
      <c r="A459" t="str">
        <f t="shared" si="7"/>
        <v>PC26172B</v>
      </c>
      <c r="B459" s="22" t="s">
        <v>1172</v>
      </c>
      <c r="C459" s="22" t="s">
        <v>3297</v>
      </c>
      <c r="D459" s="22" t="s">
        <v>3298</v>
      </c>
      <c r="E459" s="22" t="s">
        <v>3299</v>
      </c>
      <c r="F459" s="22" t="s">
        <v>3300</v>
      </c>
      <c r="G459" s="28" t="s">
        <v>2012</v>
      </c>
      <c r="H459" s="22" t="s">
        <v>2022</v>
      </c>
      <c r="I459" s="21"/>
      <c r="J459" s="22" t="s">
        <v>1117</v>
      </c>
      <c r="K459" s="22" t="s">
        <v>924</v>
      </c>
      <c r="L459" s="21"/>
      <c r="M459" s="22" t="s">
        <v>2014</v>
      </c>
      <c r="N459" s="28" t="s">
        <v>2015</v>
      </c>
      <c r="O459" s="28" t="s">
        <v>2016</v>
      </c>
      <c r="P459" s="29">
        <v>4818</v>
      </c>
      <c r="Q459" s="28" t="s">
        <v>2017</v>
      </c>
      <c r="R459" s="31">
        <v>9.0829493087549995</v>
      </c>
      <c r="S459" s="29">
        <v>34100</v>
      </c>
      <c r="T459" s="32">
        <v>530.444444444444</v>
      </c>
      <c r="U459" s="32">
        <v>0</v>
      </c>
      <c r="V459" s="31">
        <v>9.0829493087549995</v>
      </c>
      <c r="W459" s="35">
        <v>46096</v>
      </c>
      <c r="X459" s="35">
        <v>46097</v>
      </c>
    </row>
    <row r="460" spans="1:24" ht="15.75" thickBot="1" x14ac:dyDescent="0.3">
      <c r="A460" t="str">
        <f t="shared" si="7"/>
        <v>PC30482A</v>
      </c>
      <c r="B460" s="22" t="s">
        <v>1178</v>
      </c>
      <c r="C460" s="22" t="s">
        <v>3301</v>
      </c>
      <c r="D460" s="22" t="s">
        <v>1179</v>
      </c>
      <c r="E460" s="22" t="s">
        <v>3302</v>
      </c>
      <c r="F460" s="22" t="s">
        <v>3303</v>
      </c>
      <c r="G460" s="28" t="s">
        <v>2012</v>
      </c>
      <c r="H460" s="22" t="s">
        <v>2022</v>
      </c>
      <c r="I460" s="21"/>
      <c r="J460" s="22" t="s">
        <v>1117</v>
      </c>
      <c r="K460" s="22" t="s">
        <v>924</v>
      </c>
      <c r="L460" s="21"/>
      <c r="M460" s="22" t="s">
        <v>2014</v>
      </c>
      <c r="N460" s="28" t="s">
        <v>2015</v>
      </c>
      <c r="O460" s="28" t="s">
        <v>2016</v>
      </c>
      <c r="P460" s="29">
        <v>5152</v>
      </c>
      <c r="Q460" s="28" t="s">
        <v>2017</v>
      </c>
      <c r="R460" s="31">
        <v>9.6842105263150007</v>
      </c>
      <c r="S460" s="29">
        <v>34200</v>
      </c>
      <c r="T460" s="32">
        <v>532</v>
      </c>
      <c r="U460" s="32">
        <v>0</v>
      </c>
      <c r="V460" s="31">
        <v>9.6842105263150007</v>
      </c>
      <c r="W460" s="35">
        <v>46096</v>
      </c>
      <c r="X460" s="35">
        <v>46097</v>
      </c>
    </row>
    <row r="461" spans="1:24" ht="15.75" thickBot="1" x14ac:dyDescent="0.3">
      <c r="A461" t="str">
        <f t="shared" si="7"/>
        <v>PC30483A</v>
      </c>
      <c r="B461" s="22" t="s">
        <v>1180</v>
      </c>
      <c r="C461" s="22" t="s">
        <v>3304</v>
      </c>
      <c r="D461" s="22" t="s">
        <v>3305</v>
      </c>
      <c r="E461" s="22" t="s">
        <v>3306</v>
      </c>
      <c r="F461" s="22" t="s">
        <v>3307</v>
      </c>
      <c r="G461" s="28" t="s">
        <v>2012</v>
      </c>
      <c r="H461" s="22" t="s">
        <v>2022</v>
      </c>
      <c r="I461" s="21"/>
      <c r="J461" s="22" t="s">
        <v>1117</v>
      </c>
      <c r="K461" s="22" t="s">
        <v>924</v>
      </c>
      <c r="L461" s="21"/>
      <c r="M461" s="22" t="s">
        <v>2014</v>
      </c>
      <c r="N461" s="28" t="s">
        <v>2015</v>
      </c>
      <c r="O461" s="28" t="s">
        <v>2016</v>
      </c>
      <c r="P461" s="29">
        <v>4883</v>
      </c>
      <c r="Q461" s="28" t="s">
        <v>2017</v>
      </c>
      <c r="R461" s="31">
        <v>9.1785714285710007</v>
      </c>
      <c r="S461" s="29">
        <v>34200</v>
      </c>
      <c r="T461" s="32">
        <v>532</v>
      </c>
      <c r="U461" s="32">
        <v>0</v>
      </c>
      <c r="V461" s="31">
        <v>9.1785714285710007</v>
      </c>
      <c r="W461" s="35">
        <v>46096</v>
      </c>
      <c r="X461" s="35">
        <v>46097</v>
      </c>
    </row>
    <row r="462" spans="1:24" ht="15.75" thickBot="1" x14ac:dyDescent="0.3">
      <c r="A462" t="str">
        <f t="shared" si="7"/>
        <v>PCP14529B</v>
      </c>
      <c r="B462" s="22" t="s">
        <v>3308</v>
      </c>
      <c r="C462" s="21"/>
      <c r="D462" s="22" t="s">
        <v>3309</v>
      </c>
      <c r="E462" s="21"/>
      <c r="F462" s="22" t="s">
        <v>2030</v>
      </c>
      <c r="G462" s="28" t="s">
        <v>2012</v>
      </c>
      <c r="H462" s="22" t="s">
        <v>3310</v>
      </c>
      <c r="I462" s="22" t="s">
        <v>3311</v>
      </c>
      <c r="J462" s="22" t="s">
        <v>261</v>
      </c>
      <c r="K462" s="22" t="s">
        <v>262</v>
      </c>
      <c r="L462" s="22" t="s">
        <v>3312</v>
      </c>
      <c r="M462" s="22" t="s">
        <v>2130</v>
      </c>
      <c r="N462" s="28" t="s">
        <v>2494</v>
      </c>
      <c r="O462" s="28" t="s">
        <v>2016</v>
      </c>
      <c r="P462" s="29">
        <v>5568</v>
      </c>
      <c r="Q462" s="28" t="s">
        <v>2017</v>
      </c>
      <c r="R462" s="31">
        <v>10.769733335625</v>
      </c>
      <c r="S462" s="29">
        <v>33236</v>
      </c>
      <c r="T462" s="32">
        <v>517.00444444444395</v>
      </c>
      <c r="U462" s="32">
        <v>0</v>
      </c>
      <c r="V462" s="31">
        <v>10.769733335625</v>
      </c>
      <c r="W462" s="36">
        <v>46097</v>
      </c>
      <c r="X462" s="36">
        <v>46097</v>
      </c>
    </row>
    <row r="463" spans="1:24" ht="15.75" thickBot="1" x14ac:dyDescent="0.3">
      <c r="A463" t="str">
        <f t="shared" si="7"/>
        <v>PCPE22600A</v>
      </c>
      <c r="B463" s="22" t="s">
        <v>3313</v>
      </c>
      <c r="C463" s="22" t="s">
        <v>3314</v>
      </c>
      <c r="D463" s="22" t="s">
        <v>3315</v>
      </c>
      <c r="E463" s="22" t="s">
        <v>3314</v>
      </c>
      <c r="F463" s="22" t="s">
        <v>2030</v>
      </c>
      <c r="G463" s="28" t="s">
        <v>2012</v>
      </c>
      <c r="H463" s="22" t="s">
        <v>3316</v>
      </c>
      <c r="I463" s="22" t="s">
        <v>3317</v>
      </c>
      <c r="J463" s="22" t="s">
        <v>261</v>
      </c>
      <c r="K463" s="22" t="s">
        <v>262</v>
      </c>
      <c r="L463" s="22" t="s">
        <v>3318</v>
      </c>
      <c r="M463" s="22" t="s">
        <v>2130</v>
      </c>
      <c r="N463" s="28" t="s">
        <v>2494</v>
      </c>
      <c r="O463" s="28" t="s">
        <v>2016</v>
      </c>
      <c r="P463" s="29">
        <v>5772</v>
      </c>
      <c r="Q463" s="28" t="s">
        <v>2017</v>
      </c>
      <c r="R463" s="31">
        <v>10.379220779220001</v>
      </c>
      <c r="S463" s="29">
        <v>35750</v>
      </c>
      <c r="T463" s="32">
        <v>556.11111111111097</v>
      </c>
      <c r="U463" s="32">
        <v>0</v>
      </c>
      <c r="V463" s="31">
        <v>10.379220779220001</v>
      </c>
      <c r="W463" s="36">
        <v>46097</v>
      </c>
      <c r="X463" s="36">
        <v>46097</v>
      </c>
    </row>
    <row r="464" spans="1:24" ht="15.75" thickBot="1" x14ac:dyDescent="0.3">
      <c r="A464" t="str">
        <f t="shared" si="7"/>
        <v>PCPE22601A</v>
      </c>
      <c r="B464" s="22" t="s">
        <v>3319</v>
      </c>
      <c r="C464" s="22" t="s">
        <v>3320</v>
      </c>
      <c r="D464" s="22" t="s">
        <v>3321</v>
      </c>
      <c r="E464" s="22" t="s">
        <v>3320</v>
      </c>
      <c r="F464" s="22" t="s">
        <v>2030</v>
      </c>
      <c r="G464" s="28" t="s">
        <v>2012</v>
      </c>
      <c r="H464" s="22" t="s">
        <v>3316</v>
      </c>
      <c r="I464" s="22" t="s">
        <v>3317</v>
      </c>
      <c r="J464" s="22" t="s">
        <v>261</v>
      </c>
      <c r="K464" s="22" t="s">
        <v>262</v>
      </c>
      <c r="L464" s="22" t="s">
        <v>3318</v>
      </c>
      <c r="M464" s="22" t="s">
        <v>2130</v>
      </c>
      <c r="N464" s="28" t="s">
        <v>2494</v>
      </c>
      <c r="O464" s="28" t="s">
        <v>2016</v>
      </c>
      <c r="P464" s="29">
        <v>5546</v>
      </c>
      <c r="Q464" s="28" t="s">
        <v>2017</v>
      </c>
      <c r="R464" s="31">
        <v>9.9678084161420006</v>
      </c>
      <c r="S464" s="29">
        <v>35768</v>
      </c>
      <c r="T464" s="32">
        <v>556.39111111111094</v>
      </c>
      <c r="U464" s="32">
        <v>0</v>
      </c>
      <c r="V464" s="31">
        <v>9.9678084161420006</v>
      </c>
      <c r="W464" s="35">
        <v>46096</v>
      </c>
      <c r="X464" s="35">
        <v>46097</v>
      </c>
    </row>
    <row r="465" spans="1:24" ht="15.75" thickBot="1" x14ac:dyDescent="0.3">
      <c r="A465" t="str">
        <f t="shared" si="7"/>
        <v>PCS10723GPIA01B</v>
      </c>
      <c r="B465" s="22" t="s">
        <v>3322</v>
      </c>
      <c r="C465" s="21"/>
      <c r="D465" s="22" t="s">
        <v>3323</v>
      </c>
      <c r="E465" s="21"/>
      <c r="F465" s="22" t="s">
        <v>2030</v>
      </c>
      <c r="G465" s="28" t="s">
        <v>2012</v>
      </c>
      <c r="H465" s="22" t="s">
        <v>2013</v>
      </c>
      <c r="I465" s="21"/>
      <c r="J465" s="22" t="s">
        <v>3324</v>
      </c>
      <c r="K465" s="22" t="s">
        <v>3324</v>
      </c>
      <c r="L465" s="22" t="s">
        <v>3325</v>
      </c>
      <c r="M465" s="22" t="s">
        <v>2130</v>
      </c>
      <c r="N465" s="28" t="s">
        <v>2494</v>
      </c>
      <c r="O465" s="28" t="s">
        <v>2016</v>
      </c>
      <c r="P465" s="29">
        <v>2506</v>
      </c>
      <c r="Q465" s="28" t="s">
        <v>2017</v>
      </c>
      <c r="R465" s="31">
        <v>10.421113914224</v>
      </c>
      <c r="S465" s="29">
        <v>15459</v>
      </c>
      <c r="T465" s="32">
        <v>240.47333333333299</v>
      </c>
      <c r="U465" s="32">
        <v>0</v>
      </c>
      <c r="V465" s="31">
        <v>10.421113914224</v>
      </c>
      <c r="W465" s="36">
        <v>46097</v>
      </c>
      <c r="X465" s="36">
        <v>46097</v>
      </c>
    </row>
    <row r="466" spans="1:24" ht="15.75" thickBot="1" x14ac:dyDescent="0.3">
      <c r="A466" t="str">
        <f t="shared" si="7"/>
        <v>PCS5804366AA</v>
      </c>
      <c r="B466" s="22" t="s">
        <v>3326</v>
      </c>
      <c r="C466" s="21"/>
      <c r="D466" s="22" t="s">
        <v>3327</v>
      </c>
      <c r="E466" s="21"/>
      <c r="F466" s="22" t="s">
        <v>3328</v>
      </c>
      <c r="G466" s="28" t="s">
        <v>2012</v>
      </c>
      <c r="H466" s="22" t="s">
        <v>3329</v>
      </c>
      <c r="I466" s="22" t="s">
        <v>3330</v>
      </c>
      <c r="J466" s="22" t="s">
        <v>261</v>
      </c>
      <c r="K466" s="22" t="s">
        <v>924</v>
      </c>
      <c r="L466" s="22" t="s">
        <v>2501</v>
      </c>
      <c r="M466" s="22" t="s">
        <v>2130</v>
      </c>
      <c r="N466" s="28" t="s">
        <v>2494</v>
      </c>
      <c r="O466" s="28" t="s">
        <v>2016</v>
      </c>
      <c r="P466" s="29">
        <v>1933</v>
      </c>
      <c r="Q466" s="28" t="s">
        <v>2017</v>
      </c>
      <c r="R466" s="31">
        <v>8.2082228492159999</v>
      </c>
      <c r="S466" s="29">
        <v>15139</v>
      </c>
      <c r="T466" s="32">
        <v>235.495555555556</v>
      </c>
      <c r="U466" s="32">
        <v>0</v>
      </c>
      <c r="V466" s="31">
        <v>8.2082228492159999</v>
      </c>
      <c r="W466" s="35">
        <v>46095</v>
      </c>
      <c r="X466" s="35">
        <v>46097</v>
      </c>
    </row>
    <row r="467" spans="1:24" ht="15.75" thickBot="1" x14ac:dyDescent="0.3">
      <c r="A467" t="str">
        <f t="shared" si="7"/>
        <v>PCSE28503AA</v>
      </c>
      <c r="B467" s="22" t="s">
        <v>3331</v>
      </c>
      <c r="C467" s="21"/>
      <c r="D467" s="22" t="s">
        <v>3332</v>
      </c>
      <c r="E467" s="21"/>
      <c r="F467" s="22" t="s">
        <v>3333</v>
      </c>
      <c r="G467" s="28" t="s">
        <v>2012</v>
      </c>
      <c r="H467" s="22" t="s">
        <v>3334</v>
      </c>
      <c r="I467" s="22" t="s">
        <v>3335</v>
      </c>
      <c r="J467" s="22" t="s">
        <v>261</v>
      </c>
      <c r="K467" s="22" t="s">
        <v>924</v>
      </c>
      <c r="L467" s="22" t="s">
        <v>3336</v>
      </c>
      <c r="M467" s="22" t="s">
        <v>2130</v>
      </c>
      <c r="N467" s="28" t="s">
        <v>2494</v>
      </c>
      <c r="O467" s="28" t="s">
        <v>2016</v>
      </c>
      <c r="P467" s="29">
        <v>3057</v>
      </c>
      <c r="Q467" s="28" t="s">
        <v>2017</v>
      </c>
      <c r="R467" s="31">
        <v>10.347045151972999</v>
      </c>
      <c r="S467" s="29">
        <v>18993</v>
      </c>
      <c r="T467" s="32">
        <v>295.446666666667</v>
      </c>
      <c r="U467" s="32">
        <v>0</v>
      </c>
      <c r="V467" s="31">
        <v>10.347045151972999</v>
      </c>
      <c r="W467" s="36">
        <v>46097</v>
      </c>
      <c r="X467" s="36">
        <v>46097</v>
      </c>
    </row>
    <row r="468" spans="1:24" ht="15.75" thickBot="1" x14ac:dyDescent="0.3">
      <c r="A468" t="str">
        <f t="shared" si="7"/>
        <v>PCSE410A76BB</v>
      </c>
      <c r="B468" s="22" t="s">
        <v>3337</v>
      </c>
      <c r="C468" s="21"/>
      <c r="D468" s="22" t="s">
        <v>3338</v>
      </c>
      <c r="E468" s="21"/>
      <c r="F468" s="22" t="s">
        <v>3339</v>
      </c>
      <c r="G468" s="28" t="s">
        <v>2012</v>
      </c>
      <c r="H468" s="22" t="s">
        <v>3329</v>
      </c>
      <c r="I468" s="22" t="s">
        <v>3330</v>
      </c>
      <c r="J468" s="22" t="s">
        <v>261</v>
      </c>
      <c r="K468" s="22" t="s">
        <v>924</v>
      </c>
      <c r="L468" s="22" t="s">
        <v>2501</v>
      </c>
      <c r="M468" s="22" t="s">
        <v>2130</v>
      </c>
      <c r="N468" s="28" t="s">
        <v>2494</v>
      </c>
      <c r="O468" s="28" t="s">
        <v>2016</v>
      </c>
      <c r="P468" s="29">
        <v>2271</v>
      </c>
      <c r="Q468" s="28" t="s">
        <v>2017</v>
      </c>
      <c r="R468" s="31">
        <v>9.4475413927939993</v>
      </c>
      <c r="S468" s="29">
        <v>15453</v>
      </c>
      <c r="T468" s="32">
        <v>240.38</v>
      </c>
      <c r="U468" s="32">
        <v>0</v>
      </c>
      <c r="V468" s="31">
        <v>9.4475413927939993</v>
      </c>
      <c r="W468" s="35">
        <v>46096</v>
      </c>
      <c r="X468" s="35">
        <v>46097</v>
      </c>
    </row>
    <row r="469" spans="1:24" ht="15.75" thickBot="1" x14ac:dyDescent="0.3">
      <c r="A469" t="str">
        <f t="shared" si="7"/>
        <v>PCSW520704S300</v>
      </c>
      <c r="B469" s="22" t="s">
        <v>3340</v>
      </c>
      <c r="C469" s="22" t="s">
        <v>3341</v>
      </c>
      <c r="D469" s="22" t="s">
        <v>2959</v>
      </c>
      <c r="E469" s="22" t="s">
        <v>3342</v>
      </c>
      <c r="F469" s="22" t="s">
        <v>2961</v>
      </c>
      <c r="G469" s="28" t="s">
        <v>2012</v>
      </c>
      <c r="H469" s="22" t="s">
        <v>2962</v>
      </c>
      <c r="I469" s="22" t="s">
        <v>2963</v>
      </c>
      <c r="J469" s="22" t="s">
        <v>494</v>
      </c>
      <c r="K469" s="22" t="s">
        <v>924</v>
      </c>
      <c r="L469" s="22" t="s">
        <v>2964</v>
      </c>
      <c r="M469" s="22" t="s">
        <v>2130</v>
      </c>
      <c r="N469" s="28" t="s">
        <v>2494</v>
      </c>
      <c r="O469" s="28" t="s">
        <v>2016</v>
      </c>
      <c r="P469" s="29">
        <v>56952</v>
      </c>
      <c r="Q469" s="28" t="s">
        <v>2017</v>
      </c>
      <c r="R469" s="31">
        <v>10.403057382755</v>
      </c>
      <c r="S469" s="29">
        <v>351935</v>
      </c>
      <c r="T469" s="32">
        <v>5474.5444444444402</v>
      </c>
      <c r="U469" s="32">
        <v>0</v>
      </c>
      <c r="V469" s="31">
        <v>10.403057382755</v>
      </c>
      <c r="W469" s="36">
        <v>46097</v>
      </c>
      <c r="X469" s="36">
        <v>46097</v>
      </c>
    </row>
    <row r="470" spans="1:24" ht="15.75" thickBot="1" x14ac:dyDescent="0.3">
      <c r="A470" t="str">
        <f t="shared" si="7"/>
        <v>PCSW520714S300</v>
      </c>
      <c r="B470" s="22" t="s">
        <v>3343</v>
      </c>
      <c r="C470" s="22" t="s">
        <v>3344</v>
      </c>
      <c r="D470" s="22" t="s">
        <v>2959</v>
      </c>
      <c r="E470" s="22" t="s">
        <v>3342</v>
      </c>
      <c r="F470" s="22" t="s">
        <v>2961</v>
      </c>
      <c r="G470" s="28" t="s">
        <v>2012</v>
      </c>
      <c r="H470" s="22" t="s">
        <v>2962</v>
      </c>
      <c r="I470" s="22" t="s">
        <v>2963</v>
      </c>
      <c r="J470" s="22" t="s">
        <v>261</v>
      </c>
      <c r="K470" s="22" t="s">
        <v>924</v>
      </c>
      <c r="L470" s="22" t="s">
        <v>2964</v>
      </c>
      <c r="M470" s="22" t="s">
        <v>2130</v>
      </c>
      <c r="N470" s="28" t="s">
        <v>2494</v>
      </c>
      <c r="O470" s="28" t="s">
        <v>2016</v>
      </c>
      <c r="P470" s="29">
        <v>46878</v>
      </c>
      <c r="Q470" s="28" t="s">
        <v>2017</v>
      </c>
      <c r="R470" s="31">
        <v>9.9845463904099994</v>
      </c>
      <c r="S470" s="29">
        <v>301825</v>
      </c>
      <c r="T470" s="32">
        <v>4695.0555555555502</v>
      </c>
      <c r="U470" s="32">
        <v>0</v>
      </c>
      <c r="V470" s="31">
        <v>9.9845463904099994</v>
      </c>
      <c r="W470" s="35">
        <v>46096</v>
      </c>
      <c r="X470" s="35">
        <v>46097</v>
      </c>
    </row>
    <row r="471" spans="1:24" ht="15.75" thickBot="1" x14ac:dyDescent="0.3">
      <c r="A471" t="str">
        <f t="shared" si="7"/>
        <v>PCSW520721S300</v>
      </c>
      <c r="B471" s="22" t="s">
        <v>3345</v>
      </c>
      <c r="C471" s="22" t="s">
        <v>3346</v>
      </c>
      <c r="D471" s="22" t="s">
        <v>2959</v>
      </c>
      <c r="E471" s="22" t="s">
        <v>2960</v>
      </c>
      <c r="F471" s="22" t="s">
        <v>2961</v>
      </c>
      <c r="G471" s="28" t="s">
        <v>2012</v>
      </c>
      <c r="H471" s="22" t="s">
        <v>2962</v>
      </c>
      <c r="I471" s="22" t="s">
        <v>2963</v>
      </c>
      <c r="J471" s="22" t="s">
        <v>494</v>
      </c>
      <c r="K471" s="22" t="s">
        <v>924</v>
      </c>
      <c r="L471" s="22" t="s">
        <v>2964</v>
      </c>
      <c r="M471" s="22" t="s">
        <v>2130</v>
      </c>
      <c r="N471" s="28" t="s">
        <v>2494</v>
      </c>
      <c r="O471" s="28" t="s">
        <v>2016</v>
      </c>
      <c r="P471" s="29">
        <v>44899</v>
      </c>
      <c r="Q471" s="28" t="s">
        <v>2017</v>
      </c>
      <c r="R471" s="31">
        <v>9.4286498274049997</v>
      </c>
      <c r="S471" s="29">
        <v>306127</v>
      </c>
      <c r="T471" s="32">
        <v>4761.9755555555503</v>
      </c>
      <c r="U471" s="32">
        <v>0</v>
      </c>
      <c r="V471" s="31">
        <v>9.4286498274049997</v>
      </c>
      <c r="W471" s="35">
        <v>46096</v>
      </c>
      <c r="X471" s="35">
        <v>46097</v>
      </c>
    </row>
    <row r="472" spans="1:24" ht="15.75" thickBot="1" x14ac:dyDescent="0.3">
      <c r="A472" t="str">
        <f t="shared" si="7"/>
        <v>PCSW702961 S300</v>
      </c>
      <c r="B472" s="22" t="s">
        <v>3347</v>
      </c>
      <c r="C472" s="22" t="s">
        <v>3348</v>
      </c>
      <c r="D472" s="22" t="s">
        <v>3349</v>
      </c>
      <c r="E472" s="22" t="s">
        <v>3350</v>
      </c>
      <c r="F472" s="22" t="s">
        <v>2030</v>
      </c>
      <c r="G472" s="28" t="s">
        <v>2012</v>
      </c>
      <c r="H472" s="22" t="s">
        <v>3351</v>
      </c>
      <c r="I472" s="22" t="s">
        <v>3352</v>
      </c>
      <c r="J472" s="22" t="s">
        <v>364</v>
      </c>
      <c r="K472" s="22" t="s">
        <v>924</v>
      </c>
      <c r="L472" s="22" t="s">
        <v>3353</v>
      </c>
      <c r="M472" s="22" t="s">
        <v>2130</v>
      </c>
      <c r="N472" s="28" t="s">
        <v>2494</v>
      </c>
      <c r="O472" s="28" t="s">
        <v>2016</v>
      </c>
      <c r="P472" s="29">
        <v>22496</v>
      </c>
      <c r="Q472" s="28" t="s">
        <v>2017</v>
      </c>
      <c r="R472" s="31">
        <v>9.4731522898690006</v>
      </c>
      <c r="S472" s="29">
        <v>152660</v>
      </c>
      <c r="T472" s="32">
        <v>2374.7111111111099</v>
      </c>
      <c r="U472" s="32">
        <v>0</v>
      </c>
      <c r="V472" s="31">
        <v>9.4731522898690006</v>
      </c>
      <c r="W472" s="35">
        <v>46096</v>
      </c>
      <c r="X472" s="35">
        <v>46097</v>
      </c>
    </row>
    <row r="473" spans="1:24" ht="15.75" thickBot="1" x14ac:dyDescent="0.3">
      <c r="A473" t="str">
        <f t="shared" si="7"/>
        <v>PCSW713624S300</v>
      </c>
      <c r="B473" s="22" t="s">
        <v>3354</v>
      </c>
      <c r="C473" s="22" t="s">
        <v>3355</v>
      </c>
      <c r="D473" s="22" t="s">
        <v>3356</v>
      </c>
      <c r="E473" s="22" t="s">
        <v>3357</v>
      </c>
      <c r="F473" s="22" t="s">
        <v>2961</v>
      </c>
      <c r="G473" s="28" t="s">
        <v>2012</v>
      </c>
      <c r="H473" s="22" t="s">
        <v>2962</v>
      </c>
      <c r="I473" s="22" t="s">
        <v>2963</v>
      </c>
      <c r="J473" s="22" t="s">
        <v>364</v>
      </c>
      <c r="K473" s="22" t="s">
        <v>924</v>
      </c>
      <c r="L473" s="22" t="s">
        <v>3353</v>
      </c>
      <c r="M473" s="22" t="s">
        <v>2130</v>
      </c>
      <c r="N473" s="28" t="s">
        <v>2494</v>
      </c>
      <c r="O473" s="28" t="s">
        <v>2016</v>
      </c>
      <c r="P473" s="29">
        <v>11470</v>
      </c>
      <c r="Q473" s="28" t="s">
        <v>2017</v>
      </c>
      <c r="R473" s="31">
        <v>9.7051324478400005</v>
      </c>
      <c r="S473" s="29">
        <v>75976</v>
      </c>
      <c r="T473" s="32">
        <v>1181.8488888888901</v>
      </c>
      <c r="U473" s="32">
        <v>0</v>
      </c>
      <c r="V473" s="31">
        <v>9.7051324478400005</v>
      </c>
      <c r="W473" s="35">
        <v>46096</v>
      </c>
      <c r="X473" s="35">
        <v>46097</v>
      </c>
    </row>
    <row r="474" spans="1:24" ht="15.75" thickBot="1" x14ac:dyDescent="0.3">
      <c r="A474" t="str">
        <f t="shared" si="7"/>
        <v>PURS41225 A</v>
      </c>
      <c r="B474" s="22" t="s">
        <v>3358</v>
      </c>
      <c r="C474" s="22" t="s">
        <v>3359</v>
      </c>
      <c r="D474" s="22" t="s">
        <v>3360</v>
      </c>
      <c r="E474" s="22" t="s">
        <v>3361</v>
      </c>
      <c r="F474" s="22" t="s">
        <v>3362</v>
      </c>
      <c r="G474" s="28" t="s">
        <v>2012</v>
      </c>
      <c r="H474" s="22" t="s">
        <v>3363</v>
      </c>
      <c r="I474" s="21"/>
      <c r="J474" s="22" t="s">
        <v>364</v>
      </c>
      <c r="K474" s="22" t="s">
        <v>924</v>
      </c>
      <c r="L474" s="21"/>
      <c r="M474" s="22" t="s">
        <v>2014</v>
      </c>
      <c r="N474" s="28" t="s">
        <v>2015</v>
      </c>
      <c r="O474" s="28" t="s">
        <v>2016</v>
      </c>
      <c r="P474" s="29">
        <v>7093</v>
      </c>
      <c r="Q474" s="28" t="s">
        <v>2017</v>
      </c>
      <c r="R474" s="31">
        <v>10.410469667318999</v>
      </c>
      <c r="S474" s="29">
        <v>43800</v>
      </c>
      <c r="T474" s="32">
        <v>681.33333333333303</v>
      </c>
      <c r="U474" s="32">
        <v>0</v>
      </c>
      <c r="V474" s="31">
        <v>10.410469667318999</v>
      </c>
      <c r="W474" s="36">
        <v>46097</v>
      </c>
      <c r="X474" s="36">
        <v>46097</v>
      </c>
    </row>
    <row r="475" spans="1:24" ht="15.75" thickBot="1" x14ac:dyDescent="0.3">
      <c r="A475" t="str">
        <f t="shared" si="7"/>
        <v>PURS45130 A</v>
      </c>
      <c r="B475" s="22" t="s">
        <v>1630</v>
      </c>
      <c r="C475" s="22" t="s">
        <v>3364</v>
      </c>
      <c r="D475" s="22" t="s">
        <v>1631</v>
      </c>
      <c r="E475" s="22" t="s">
        <v>3365</v>
      </c>
      <c r="F475" s="22" t="s">
        <v>3366</v>
      </c>
      <c r="G475" s="28" t="s">
        <v>2012</v>
      </c>
      <c r="H475" s="22" t="s">
        <v>3367</v>
      </c>
      <c r="I475" s="21"/>
      <c r="J475" s="22" t="s">
        <v>364</v>
      </c>
      <c r="K475" s="22" t="s">
        <v>924</v>
      </c>
      <c r="L475" s="21"/>
      <c r="M475" s="22" t="s">
        <v>2014</v>
      </c>
      <c r="N475" s="28" t="s">
        <v>2015</v>
      </c>
      <c r="O475" s="28" t="s">
        <v>2016</v>
      </c>
      <c r="P475" s="29">
        <v>7225</v>
      </c>
      <c r="Q475" s="28" t="s">
        <v>2017</v>
      </c>
      <c r="R475" s="31">
        <v>10.801495016611</v>
      </c>
      <c r="S475" s="29">
        <v>43000</v>
      </c>
      <c r="T475" s="32">
        <v>668.88888888888903</v>
      </c>
      <c r="U475" s="32">
        <v>0</v>
      </c>
      <c r="V475" s="31">
        <v>10.801495016611</v>
      </c>
      <c r="W475" s="36">
        <v>46097</v>
      </c>
      <c r="X475" s="36">
        <v>46097</v>
      </c>
    </row>
    <row r="476" spans="1:24" ht="15.75" thickBot="1" x14ac:dyDescent="0.3">
      <c r="A476" t="str">
        <f t="shared" si="7"/>
        <v>PURS45131 A</v>
      </c>
      <c r="B476" s="22" t="s">
        <v>1632</v>
      </c>
      <c r="C476" s="22" t="s">
        <v>3368</v>
      </c>
      <c r="D476" s="22" t="s">
        <v>1633</v>
      </c>
      <c r="E476" s="22" t="s">
        <v>3369</v>
      </c>
      <c r="F476" s="22" t="s">
        <v>3370</v>
      </c>
      <c r="G476" s="28" t="s">
        <v>2012</v>
      </c>
      <c r="H476" s="22" t="s">
        <v>3367</v>
      </c>
      <c r="I476" s="21"/>
      <c r="J476" s="22" t="s">
        <v>364</v>
      </c>
      <c r="K476" s="22" t="s">
        <v>924</v>
      </c>
      <c r="L476" s="21"/>
      <c r="M476" s="22" t="s">
        <v>2014</v>
      </c>
      <c r="N476" s="28" t="s">
        <v>2015</v>
      </c>
      <c r="O476" s="28" t="s">
        <v>2016</v>
      </c>
      <c r="P476" s="29">
        <v>7245</v>
      </c>
      <c r="Q476" s="28" t="s">
        <v>2017</v>
      </c>
      <c r="R476" s="31">
        <v>10.831395348837001</v>
      </c>
      <c r="S476" s="29">
        <v>43000</v>
      </c>
      <c r="T476" s="32">
        <v>668.88888888888903</v>
      </c>
      <c r="U476" s="32">
        <v>0</v>
      </c>
      <c r="V476" s="31">
        <v>10.831395348837001</v>
      </c>
      <c r="W476" s="36">
        <v>46097</v>
      </c>
      <c r="X476" s="36">
        <v>46097</v>
      </c>
    </row>
    <row r="477" spans="1:24" ht="15.75" thickBot="1" x14ac:dyDescent="0.3">
      <c r="A477" t="str">
        <f t="shared" si="7"/>
        <v>REPACK2K004AA</v>
      </c>
      <c r="B477" s="22" t="s">
        <v>3371</v>
      </c>
      <c r="C477" s="21"/>
      <c r="D477" s="22" t="s">
        <v>2164</v>
      </c>
      <c r="E477" s="21"/>
      <c r="F477" s="22" t="s">
        <v>3372</v>
      </c>
      <c r="G477" s="28" t="s">
        <v>2012</v>
      </c>
      <c r="H477" s="22" t="s">
        <v>2013</v>
      </c>
      <c r="I477" s="21"/>
      <c r="J477" s="22" t="s">
        <v>494</v>
      </c>
      <c r="K477" s="22" t="s">
        <v>924</v>
      </c>
      <c r="L477" s="21"/>
      <c r="M477" s="22" t="s">
        <v>2034</v>
      </c>
      <c r="N477" s="28" t="s">
        <v>2015</v>
      </c>
      <c r="O477" s="28" t="s">
        <v>2016</v>
      </c>
      <c r="P477" s="29">
        <v>8399</v>
      </c>
      <c r="Q477" s="28" t="s">
        <v>2017</v>
      </c>
      <c r="R477" s="31">
        <v>9.2560937082900008</v>
      </c>
      <c r="S477" s="29">
        <v>58333</v>
      </c>
      <c r="T477" s="32">
        <v>907.40222222222201</v>
      </c>
      <c r="U477" s="32">
        <v>0</v>
      </c>
      <c r="V477" s="31">
        <v>9.2560937082900008</v>
      </c>
      <c r="W477" s="35">
        <v>46096</v>
      </c>
      <c r="X477" s="35">
        <v>46097</v>
      </c>
    </row>
    <row r="478" spans="1:24" ht="15.75" thickBot="1" x14ac:dyDescent="0.3">
      <c r="A478" t="str">
        <f t="shared" si="7"/>
        <v>REPACK2K005AA</v>
      </c>
      <c r="B478" s="22" t="s">
        <v>3373</v>
      </c>
      <c r="C478" s="21"/>
      <c r="D478" s="22" t="s">
        <v>3374</v>
      </c>
      <c r="E478" s="21"/>
      <c r="F478" s="22" t="s">
        <v>3375</v>
      </c>
      <c r="G478" s="28" t="s">
        <v>2012</v>
      </c>
      <c r="H478" s="22" t="s">
        <v>2013</v>
      </c>
      <c r="I478" s="21"/>
      <c r="J478" s="22" t="s">
        <v>494</v>
      </c>
      <c r="K478" s="22" t="s">
        <v>924</v>
      </c>
      <c r="L478" s="21"/>
      <c r="M478" s="22" t="s">
        <v>2034</v>
      </c>
      <c r="N478" s="28" t="s">
        <v>2015</v>
      </c>
      <c r="O478" s="28" t="s">
        <v>2016</v>
      </c>
      <c r="P478" s="29">
        <v>7344</v>
      </c>
      <c r="Q478" s="28" t="s">
        <v>2017</v>
      </c>
      <c r="R478" s="31">
        <v>8.2809634061999997</v>
      </c>
      <c r="S478" s="29">
        <v>57012</v>
      </c>
      <c r="T478" s="32">
        <v>886.85333333333301</v>
      </c>
      <c r="U478" s="32">
        <v>0</v>
      </c>
      <c r="V478" s="31">
        <v>8.2809634061999997</v>
      </c>
      <c r="W478" s="35">
        <v>46095</v>
      </c>
      <c r="X478" s="35">
        <v>46097</v>
      </c>
    </row>
    <row r="479" spans="1:24" ht="15.75" thickBot="1" x14ac:dyDescent="0.3">
      <c r="A479" t="str">
        <f t="shared" si="7"/>
        <v>RMP1342P JA6</v>
      </c>
      <c r="B479" s="22" t="s">
        <v>3376</v>
      </c>
      <c r="C479" s="21"/>
      <c r="D479" s="22" t="s">
        <v>3377</v>
      </c>
      <c r="E479" s="22" t="s">
        <v>3117</v>
      </c>
      <c r="F479" s="22" t="s">
        <v>2030</v>
      </c>
      <c r="G479" s="28" t="s">
        <v>2012</v>
      </c>
      <c r="H479" s="22" t="s">
        <v>3378</v>
      </c>
      <c r="I479" s="22" t="s">
        <v>3379</v>
      </c>
      <c r="J479" s="22" t="s">
        <v>261</v>
      </c>
      <c r="K479" s="22" t="s">
        <v>262</v>
      </c>
      <c r="L479" s="22" t="s">
        <v>3380</v>
      </c>
      <c r="M479" s="22" t="s">
        <v>2523</v>
      </c>
      <c r="N479" s="28" t="s">
        <v>2494</v>
      </c>
      <c r="O479" s="28" t="s">
        <v>2016</v>
      </c>
      <c r="P479" s="29">
        <v>884.24</v>
      </c>
      <c r="Q479" s="28" t="s">
        <v>1164</v>
      </c>
      <c r="R479" s="31">
        <v>9.3291494068750005</v>
      </c>
      <c r="S479" s="34">
        <v>6093.16</v>
      </c>
      <c r="T479" s="32">
        <v>94.782488888887997</v>
      </c>
      <c r="U479" s="32">
        <v>0</v>
      </c>
      <c r="V479" s="31">
        <v>9.3291494068750005</v>
      </c>
      <c r="W479" s="35">
        <v>46096</v>
      </c>
      <c r="X479" s="35">
        <v>46097</v>
      </c>
    </row>
    <row r="480" spans="1:24" ht="15.75" thickBot="1" x14ac:dyDescent="0.3">
      <c r="A480" t="str">
        <f t="shared" si="7"/>
        <v>RMS2102892RL P703</v>
      </c>
      <c r="B480" s="22" t="s">
        <v>3381</v>
      </c>
      <c r="C480" s="22" t="s">
        <v>3382</v>
      </c>
      <c r="D480" s="22" t="s">
        <v>3383</v>
      </c>
      <c r="E480" s="22" t="s">
        <v>2527</v>
      </c>
      <c r="F480" s="22" t="s">
        <v>3384</v>
      </c>
      <c r="G480" s="28" t="s">
        <v>2012</v>
      </c>
      <c r="H480" s="22" t="s">
        <v>2549</v>
      </c>
      <c r="I480" s="22" t="s">
        <v>2550</v>
      </c>
      <c r="J480" s="22" t="s">
        <v>261</v>
      </c>
      <c r="K480" s="22" t="s">
        <v>924</v>
      </c>
      <c r="L480" s="22" t="s">
        <v>2531</v>
      </c>
      <c r="M480" s="22" t="s">
        <v>2532</v>
      </c>
      <c r="N480" s="28" t="s">
        <v>2494</v>
      </c>
      <c r="O480" s="28" t="s">
        <v>2016</v>
      </c>
      <c r="P480" s="29">
        <v>8888.6080000000002</v>
      </c>
      <c r="Q480" s="28" t="s">
        <v>1164</v>
      </c>
      <c r="R480" s="31">
        <v>9.4685876071109991</v>
      </c>
      <c r="S480" s="34">
        <v>60348.02</v>
      </c>
      <c r="T480" s="32">
        <v>938.74697777777806</v>
      </c>
      <c r="U480" s="32">
        <v>0</v>
      </c>
      <c r="V480" s="31">
        <v>9.4685876071109991</v>
      </c>
      <c r="W480" s="35">
        <v>46096</v>
      </c>
      <c r="X480" s="35">
        <v>46097</v>
      </c>
    </row>
    <row r="481" spans="1:24" ht="15.75" thickBot="1" x14ac:dyDescent="0.3">
      <c r="A481" t="str">
        <f t="shared" si="7"/>
        <v>RMS21410A48RLAA</v>
      </c>
      <c r="B481" s="22" t="s">
        <v>3385</v>
      </c>
      <c r="C481" s="22" t="s">
        <v>3386</v>
      </c>
      <c r="D481" s="22" t="s">
        <v>3387</v>
      </c>
      <c r="E481" s="22" t="s">
        <v>2527</v>
      </c>
      <c r="F481" s="22" t="s">
        <v>3388</v>
      </c>
      <c r="G481" s="28" t="s">
        <v>2012</v>
      </c>
      <c r="H481" s="22" t="s">
        <v>2852</v>
      </c>
      <c r="I481" s="22" t="s">
        <v>2853</v>
      </c>
      <c r="J481" s="22" t="s">
        <v>261</v>
      </c>
      <c r="K481" s="22" t="s">
        <v>924</v>
      </c>
      <c r="L481" s="22" t="s">
        <v>2531</v>
      </c>
      <c r="M481" s="22" t="s">
        <v>2532</v>
      </c>
      <c r="N481" s="28" t="s">
        <v>2494</v>
      </c>
      <c r="O481" s="28" t="s">
        <v>2016</v>
      </c>
      <c r="P481" s="29">
        <v>5527.56</v>
      </c>
      <c r="Q481" s="28" t="s">
        <v>1164</v>
      </c>
      <c r="R481" s="31">
        <v>8.6845699149140003</v>
      </c>
      <c r="S481" s="34">
        <v>40916.608</v>
      </c>
      <c r="T481" s="32">
        <v>636.48056888888902</v>
      </c>
      <c r="U481" s="32">
        <v>0</v>
      </c>
      <c r="V481" s="31">
        <v>8.6845699149140003</v>
      </c>
      <c r="W481" s="35">
        <v>46095</v>
      </c>
      <c r="X481" s="35">
        <v>46097</v>
      </c>
    </row>
    <row r="482" spans="1:24" ht="15.75" thickBot="1" x14ac:dyDescent="0.3">
      <c r="A482" t="str">
        <f t="shared" si="7"/>
        <v>RMS26410A36RLAA</v>
      </c>
      <c r="B482" s="22" t="s">
        <v>3389</v>
      </c>
      <c r="C482" s="22" t="s">
        <v>3390</v>
      </c>
      <c r="D482" s="22" t="s">
        <v>3391</v>
      </c>
      <c r="E482" s="22" t="s">
        <v>2527</v>
      </c>
      <c r="F482" s="22" t="s">
        <v>3392</v>
      </c>
      <c r="G482" s="28" t="s">
        <v>2012</v>
      </c>
      <c r="H482" s="22" t="s">
        <v>2529</v>
      </c>
      <c r="I482" s="22" t="s">
        <v>2530</v>
      </c>
      <c r="J482" s="22" t="s">
        <v>261</v>
      </c>
      <c r="K482" s="22" t="s">
        <v>924</v>
      </c>
      <c r="L482" s="22" t="s">
        <v>2531</v>
      </c>
      <c r="M482" s="22" t="s">
        <v>2532</v>
      </c>
      <c r="N482" s="28" t="s">
        <v>2494</v>
      </c>
      <c r="O482" s="28" t="s">
        <v>2016</v>
      </c>
      <c r="P482" s="29">
        <v>2778.32</v>
      </c>
      <c r="Q482" s="28" t="s">
        <v>1164</v>
      </c>
      <c r="R482" s="31">
        <v>8.2267919456859993</v>
      </c>
      <c r="S482" s="34">
        <v>21710.32</v>
      </c>
      <c r="T482" s="32">
        <v>337.71608888888898</v>
      </c>
      <c r="U482" s="32">
        <v>0</v>
      </c>
      <c r="V482" s="31">
        <v>8.2267919456859993</v>
      </c>
      <c r="W482" s="35">
        <v>46095</v>
      </c>
      <c r="X482" s="35">
        <v>46097</v>
      </c>
    </row>
    <row r="483" spans="1:24" ht="15.75" thickBot="1" x14ac:dyDescent="0.3">
      <c r="A483" t="str">
        <f t="shared" si="7"/>
        <v>RMSBR5810776B</v>
      </c>
      <c r="B483" s="22" t="s">
        <v>3393</v>
      </c>
      <c r="C483" s="22" t="s">
        <v>3394</v>
      </c>
      <c r="D483" s="22" t="s">
        <v>3395</v>
      </c>
      <c r="E483" s="22" t="s">
        <v>2527</v>
      </c>
      <c r="F483" s="22" t="s">
        <v>3396</v>
      </c>
      <c r="G483" s="28" t="s">
        <v>2012</v>
      </c>
      <c r="H483" s="22" t="s">
        <v>2858</v>
      </c>
      <c r="I483" s="22" t="s">
        <v>2859</v>
      </c>
      <c r="J483" s="22" t="s">
        <v>364</v>
      </c>
      <c r="K483" s="22" t="s">
        <v>924</v>
      </c>
      <c r="L483" s="22" t="s">
        <v>2531</v>
      </c>
      <c r="M483" s="22" t="s">
        <v>2532</v>
      </c>
      <c r="N483" s="28" t="s">
        <v>2494</v>
      </c>
      <c r="O483" s="28" t="s">
        <v>2016</v>
      </c>
      <c r="P483" s="29">
        <v>78573.16</v>
      </c>
      <c r="Q483" s="28" t="s">
        <v>1164</v>
      </c>
      <c r="R483" s="31">
        <v>8.9916131820890008</v>
      </c>
      <c r="S483" s="34">
        <v>561760.34400000004</v>
      </c>
      <c r="T483" s="32">
        <v>8738.49424</v>
      </c>
      <c r="U483" s="32">
        <v>0</v>
      </c>
      <c r="V483" s="31">
        <v>8.9916131820890008</v>
      </c>
      <c r="W483" s="35">
        <v>46095</v>
      </c>
      <c r="X483" s="35">
        <v>46097</v>
      </c>
    </row>
    <row r="484" spans="1:24" ht="15.75" thickBot="1" x14ac:dyDescent="0.3">
      <c r="A484" t="str">
        <f t="shared" si="7"/>
        <v>RMSE22868RL</v>
      </c>
      <c r="B484" s="22" t="s">
        <v>3397</v>
      </c>
      <c r="C484" s="22" t="s">
        <v>3398</v>
      </c>
      <c r="D484" s="22" t="s">
        <v>3399</v>
      </c>
      <c r="E484" s="22" t="s">
        <v>2527</v>
      </c>
      <c r="F484" s="22" t="s">
        <v>3384</v>
      </c>
      <c r="G484" s="28" t="s">
        <v>2012</v>
      </c>
      <c r="H484" s="22" t="s">
        <v>2543</v>
      </c>
      <c r="I484" s="22" t="s">
        <v>2544</v>
      </c>
      <c r="J484" s="22" t="s">
        <v>261</v>
      </c>
      <c r="K484" s="22" t="s">
        <v>924</v>
      </c>
      <c r="L484" s="22" t="s">
        <v>2531</v>
      </c>
      <c r="M484" s="22" t="s">
        <v>2532</v>
      </c>
      <c r="N484" s="28" t="s">
        <v>2494</v>
      </c>
      <c r="O484" s="28" t="s">
        <v>2016</v>
      </c>
      <c r="P484" s="29">
        <v>34277.186999999998</v>
      </c>
      <c r="Q484" s="28" t="s">
        <v>1164</v>
      </c>
      <c r="R484" s="31">
        <v>10.498777257635</v>
      </c>
      <c r="S484" s="34">
        <v>209884.77</v>
      </c>
      <c r="T484" s="32">
        <v>3264.8742000000002</v>
      </c>
      <c r="U484" s="32">
        <v>0</v>
      </c>
      <c r="V484" s="31">
        <v>10.498777257635</v>
      </c>
      <c r="W484" s="36">
        <v>46097</v>
      </c>
      <c r="X484" s="36">
        <v>46097</v>
      </c>
    </row>
    <row r="485" spans="1:24" ht="15.75" thickBot="1" x14ac:dyDescent="0.3">
      <c r="A485" t="str">
        <f t="shared" si="7"/>
        <v>RMSE279A30RL</v>
      </c>
      <c r="B485" s="22" t="s">
        <v>3400</v>
      </c>
      <c r="C485" s="22" t="s">
        <v>3401</v>
      </c>
      <c r="D485" s="22" t="s">
        <v>3402</v>
      </c>
      <c r="E485" s="22" t="s">
        <v>2527</v>
      </c>
      <c r="F485" s="22" t="s">
        <v>2570</v>
      </c>
      <c r="G485" s="28" t="s">
        <v>2012</v>
      </c>
      <c r="H485" s="22" t="s">
        <v>2716</v>
      </c>
      <c r="I485" s="22" t="s">
        <v>2717</v>
      </c>
      <c r="J485" s="22" t="s">
        <v>261</v>
      </c>
      <c r="K485" s="22" t="s">
        <v>924</v>
      </c>
      <c r="L485" s="22" t="s">
        <v>2531</v>
      </c>
      <c r="M485" s="22" t="s">
        <v>2532</v>
      </c>
      <c r="N485" s="28" t="s">
        <v>2494</v>
      </c>
      <c r="O485" s="28" t="s">
        <v>2016</v>
      </c>
      <c r="P485" s="29">
        <v>9327.2160000000003</v>
      </c>
      <c r="Q485" s="28" t="s">
        <v>1164</v>
      </c>
      <c r="R485" s="31">
        <v>10.794060619762</v>
      </c>
      <c r="S485" s="34">
        <v>55549.692000000003</v>
      </c>
      <c r="T485" s="32">
        <v>864.10631999999998</v>
      </c>
      <c r="U485" s="32">
        <v>0</v>
      </c>
      <c r="V485" s="31">
        <v>10.794060619762</v>
      </c>
      <c r="W485" s="36">
        <v>46097</v>
      </c>
      <c r="X485" s="36">
        <v>46097</v>
      </c>
    </row>
    <row r="486" spans="1:24" ht="15.75" thickBot="1" x14ac:dyDescent="0.3">
      <c r="A486" t="str">
        <f t="shared" si="7"/>
        <v>RMSE405K02</v>
      </c>
      <c r="B486" s="22" t="s">
        <v>3403</v>
      </c>
      <c r="C486" s="22" t="s">
        <v>3404</v>
      </c>
      <c r="D486" s="22" t="s">
        <v>3405</v>
      </c>
      <c r="E486" s="22" t="s">
        <v>2527</v>
      </c>
      <c r="F486" s="22" t="s">
        <v>2570</v>
      </c>
      <c r="G486" s="28" t="s">
        <v>2012</v>
      </c>
      <c r="H486" s="22" t="s">
        <v>2536</v>
      </c>
      <c r="I486" s="22" t="s">
        <v>2537</v>
      </c>
      <c r="J486" s="22" t="s">
        <v>261</v>
      </c>
      <c r="K486" s="22" t="s">
        <v>924</v>
      </c>
      <c r="L486" s="22" t="s">
        <v>2531</v>
      </c>
      <c r="M486" s="22" t="s">
        <v>2532</v>
      </c>
      <c r="N486" s="28" t="s">
        <v>2494</v>
      </c>
      <c r="O486" s="28" t="s">
        <v>2016</v>
      </c>
      <c r="P486" s="29">
        <v>1066.18</v>
      </c>
      <c r="Q486" s="28" t="s">
        <v>1164</v>
      </c>
      <c r="R486" s="31">
        <v>8.7183895889799992</v>
      </c>
      <c r="S486" s="34">
        <v>7861.56</v>
      </c>
      <c r="T486" s="32">
        <v>122.290933333333</v>
      </c>
      <c r="U486" s="32">
        <v>0</v>
      </c>
      <c r="V486" s="31">
        <v>8.7183895889799992</v>
      </c>
      <c r="W486" s="35">
        <v>46095</v>
      </c>
      <c r="X486" s="35">
        <v>46097</v>
      </c>
    </row>
    <row r="487" spans="1:24" ht="15.75" thickBot="1" x14ac:dyDescent="0.3">
      <c r="A487" t="str">
        <f t="shared" si="7"/>
        <v>RMSWL68424957/8-A</v>
      </c>
      <c r="B487" s="22" t="s">
        <v>3406</v>
      </c>
      <c r="C487" s="22" t="s">
        <v>3407</v>
      </c>
      <c r="D487" s="22" t="s">
        <v>3408</v>
      </c>
      <c r="E487" s="22" t="s">
        <v>2527</v>
      </c>
      <c r="F487" s="22" t="s">
        <v>3409</v>
      </c>
      <c r="G487" s="28" t="s">
        <v>2012</v>
      </c>
      <c r="H487" s="22" t="s">
        <v>3410</v>
      </c>
      <c r="I487" s="22" t="s">
        <v>3411</v>
      </c>
      <c r="J487" s="22" t="s">
        <v>1117</v>
      </c>
      <c r="K487" s="22" t="s">
        <v>924</v>
      </c>
      <c r="L487" s="22" t="s">
        <v>2531</v>
      </c>
      <c r="M487" s="22" t="s">
        <v>2532</v>
      </c>
      <c r="N487" s="28" t="s">
        <v>2494</v>
      </c>
      <c r="O487" s="28" t="s">
        <v>2016</v>
      </c>
      <c r="P487" s="29">
        <v>37430</v>
      </c>
      <c r="Q487" s="28" t="s">
        <v>1164</v>
      </c>
      <c r="R487" s="31">
        <v>8.5043646468459997</v>
      </c>
      <c r="S487" s="34">
        <v>282938.74800000002</v>
      </c>
      <c r="T487" s="32">
        <v>4401.2694133333298</v>
      </c>
      <c r="U487" s="32">
        <v>0</v>
      </c>
      <c r="V487" s="31">
        <v>8.5043646468459997</v>
      </c>
      <c r="W487" s="35">
        <v>46095</v>
      </c>
      <c r="X487" s="35">
        <v>46097</v>
      </c>
    </row>
    <row r="488" spans="1:24" ht="15.75" thickBot="1" x14ac:dyDescent="0.3">
      <c r="A488" t="str">
        <f t="shared" si="7"/>
        <v>ZINCS444A20</v>
      </c>
      <c r="B488" s="22" t="s">
        <v>3412</v>
      </c>
      <c r="C488" s="21"/>
      <c r="D488" s="22" t="s">
        <v>2032</v>
      </c>
      <c r="E488" s="21"/>
      <c r="F488" s="22" t="s">
        <v>3413</v>
      </c>
      <c r="G488" s="28" t="s">
        <v>2012</v>
      </c>
      <c r="H488" s="22" t="s">
        <v>2013</v>
      </c>
      <c r="I488" s="21"/>
      <c r="J488" s="22" t="s">
        <v>364</v>
      </c>
      <c r="K488" s="22" t="s">
        <v>924</v>
      </c>
      <c r="L488" s="21"/>
      <c r="M488" s="22" t="s">
        <v>2034</v>
      </c>
      <c r="N488" s="28" t="s">
        <v>2015</v>
      </c>
      <c r="O488" s="28" t="s">
        <v>2016</v>
      </c>
      <c r="P488" s="29">
        <v>5598</v>
      </c>
      <c r="Q488" s="28" t="s">
        <v>2017</v>
      </c>
      <c r="R488" s="31">
        <v>8.9613882307740003</v>
      </c>
      <c r="S488" s="29">
        <v>40158</v>
      </c>
      <c r="T488" s="32">
        <v>624.67999999999995</v>
      </c>
      <c r="U488" s="32">
        <v>0</v>
      </c>
      <c r="V488" s="31">
        <v>8.9613882307740003</v>
      </c>
      <c r="W488" s="35">
        <v>46095</v>
      </c>
      <c r="X488" s="35">
        <v>46097</v>
      </c>
    </row>
    <row r="489" spans="1:24" ht="15.75" thickBot="1" x14ac:dyDescent="0.3">
      <c r="A489" t="str">
        <f t="shared" si="7"/>
        <v>87868129</v>
      </c>
      <c r="B489" s="22" t="s">
        <v>483</v>
      </c>
      <c r="C489" s="22" t="s">
        <v>3414</v>
      </c>
      <c r="D489" s="22" t="s">
        <v>3415</v>
      </c>
      <c r="E489" s="22" t="s">
        <v>3416</v>
      </c>
      <c r="F489" s="22" t="s">
        <v>3417</v>
      </c>
      <c r="G489" s="28" t="s">
        <v>2012</v>
      </c>
      <c r="H489" s="22" t="s">
        <v>2027</v>
      </c>
      <c r="I489" s="21"/>
      <c r="J489" s="22" t="s">
        <v>404</v>
      </c>
      <c r="K489" s="22" t="s">
        <v>262</v>
      </c>
      <c r="L489" s="21"/>
      <c r="M489" s="22" t="s">
        <v>2014</v>
      </c>
      <c r="N489" s="28" t="s">
        <v>2015</v>
      </c>
      <c r="O489" s="28" t="s">
        <v>2016</v>
      </c>
      <c r="P489" s="29">
        <v>220</v>
      </c>
      <c r="Q489" s="28" t="s">
        <v>2017</v>
      </c>
      <c r="R489" s="31">
        <v>11.904761904760999</v>
      </c>
      <c r="S489" s="29">
        <v>1188</v>
      </c>
      <c r="T489" s="32">
        <v>18.48</v>
      </c>
      <c r="U489" s="32">
        <v>0</v>
      </c>
      <c r="V489" s="31">
        <v>11.904761904760999</v>
      </c>
      <c r="W489" s="36">
        <v>46098</v>
      </c>
      <c r="X489" s="36">
        <v>46098</v>
      </c>
    </row>
    <row r="490" spans="1:24" ht="15.75" thickBot="1" x14ac:dyDescent="0.3">
      <c r="A490" t="str">
        <f t="shared" si="7"/>
        <v>ASYPW8B852OS</v>
      </c>
      <c r="B490" s="22" t="s">
        <v>1856</v>
      </c>
      <c r="C490" s="22" t="s">
        <v>2172</v>
      </c>
      <c r="D490" s="22" t="s">
        <v>3418</v>
      </c>
      <c r="E490" s="22" t="s">
        <v>3419</v>
      </c>
      <c r="F490" s="22" t="s">
        <v>3420</v>
      </c>
      <c r="G490" s="28" t="s">
        <v>2012</v>
      </c>
      <c r="H490" s="22" t="s">
        <v>2013</v>
      </c>
      <c r="I490" s="21"/>
      <c r="J490" s="22" t="s">
        <v>364</v>
      </c>
      <c r="K490" s="22" t="s">
        <v>924</v>
      </c>
      <c r="L490" s="21"/>
      <c r="M490" s="22" t="s">
        <v>2034</v>
      </c>
      <c r="N490" s="28" t="s">
        <v>2015</v>
      </c>
      <c r="O490" s="28" t="s">
        <v>2016</v>
      </c>
      <c r="P490" s="29">
        <v>7554</v>
      </c>
      <c r="Q490" s="28" t="s">
        <v>2017</v>
      </c>
      <c r="R490" s="31">
        <v>11.818883511348</v>
      </c>
      <c r="S490" s="29">
        <v>41088</v>
      </c>
      <c r="T490" s="32">
        <v>639.14666666666699</v>
      </c>
      <c r="U490" s="32">
        <v>0</v>
      </c>
      <c r="V490" s="31">
        <v>11.818883511348</v>
      </c>
      <c r="W490" s="36">
        <v>46098</v>
      </c>
      <c r="X490" s="36">
        <v>46098</v>
      </c>
    </row>
    <row r="491" spans="1:24" ht="15.75" thickBot="1" x14ac:dyDescent="0.3">
      <c r="A491" t="str">
        <f t="shared" si="7"/>
        <v>C0240202</v>
      </c>
      <c r="B491" s="22" t="s">
        <v>1342</v>
      </c>
      <c r="C491" s="22" t="s">
        <v>3421</v>
      </c>
      <c r="D491" s="22" t="s">
        <v>3422</v>
      </c>
      <c r="E491" s="22" t="s">
        <v>3423</v>
      </c>
      <c r="F491" s="22" t="s">
        <v>2139</v>
      </c>
      <c r="G491" s="28" t="s">
        <v>2012</v>
      </c>
      <c r="H491" s="22" t="s">
        <v>2140</v>
      </c>
      <c r="I491" s="21"/>
      <c r="J491" s="22" t="s">
        <v>404</v>
      </c>
      <c r="K491" s="22" t="s">
        <v>924</v>
      </c>
      <c r="L491" s="21"/>
      <c r="M491" s="22" t="s">
        <v>2014</v>
      </c>
      <c r="N491" s="28" t="s">
        <v>2015</v>
      </c>
      <c r="O491" s="28" t="s">
        <v>2016</v>
      </c>
      <c r="P491" s="29">
        <v>32374</v>
      </c>
      <c r="Q491" s="28" t="s">
        <v>2017</v>
      </c>
      <c r="R491" s="31">
        <v>11.435086342229001</v>
      </c>
      <c r="S491" s="29">
        <v>182000</v>
      </c>
      <c r="T491" s="32">
        <v>2831.1111111111099</v>
      </c>
      <c r="U491" s="32">
        <v>0</v>
      </c>
      <c r="V491" s="31">
        <v>11.435086342229001</v>
      </c>
      <c r="W491" s="36">
        <v>46098</v>
      </c>
      <c r="X491" s="36">
        <v>46098</v>
      </c>
    </row>
    <row r="492" spans="1:24" ht="15.75" thickBot="1" x14ac:dyDescent="0.3">
      <c r="A492" t="str">
        <f t="shared" si="7"/>
        <v>DET21044C30MB</v>
      </c>
      <c r="B492" s="22" t="s">
        <v>1413</v>
      </c>
      <c r="C492" s="22" t="s">
        <v>3424</v>
      </c>
      <c r="D492" s="22" t="s">
        <v>3425</v>
      </c>
      <c r="E492" s="21"/>
      <c r="F492" s="22" t="s">
        <v>3426</v>
      </c>
      <c r="G492" s="28" t="s">
        <v>2012</v>
      </c>
      <c r="H492" s="22" t="s">
        <v>2013</v>
      </c>
      <c r="I492" s="21"/>
      <c r="J492" s="22" t="s">
        <v>261</v>
      </c>
      <c r="K492" s="22" t="s">
        <v>924</v>
      </c>
      <c r="L492" s="21"/>
      <c r="M492" s="22" t="s">
        <v>2034</v>
      </c>
      <c r="N492" s="28" t="s">
        <v>2015</v>
      </c>
      <c r="O492" s="28" t="s">
        <v>2016</v>
      </c>
      <c r="P492" s="29">
        <v>3366</v>
      </c>
      <c r="Q492" s="28" t="s">
        <v>2017</v>
      </c>
      <c r="R492" s="31">
        <v>11.365989824861</v>
      </c>
      <c r="S492" s="29">
        <v>19038</v>
      </c>
      <c r="T492" s="32">
        <v>296.14666666666699</v>
      </c>
      <c r="U492" s="32">
        <v>0</v>
      </c>
      <c r="V492" s="31">
        <v>11.365989824861</v>
      </c>
      <c r="W492" s="36">
        <v>46098</v>
      </c>
      <c r="X492" s="36">
        <v>46098</v>
      </c>
    </row>
    <row r="493" spans="1:24" ht="15.75" thickBot="1" x14ac:dyDescent="0.3">
      <c r="A493" t="str">
        <f t="shared" si="7"/>
        <v>DET26108A70A</v>
      </c>
      <c r="B493" s="22" t="s">
        <v>1101</v>
      </c>
      <c r="C493" s="22" t="s">
        <v>2256</v>
      </c>
      <c r="D493" s="22" t="s">
        <v>3427</v>
      </c>
      <c r="E493" s="22" t="s">
        <v>2256</v>
      </c>
      <c r="F493" s="22" t="s">
        <v>3428</v>
      </c>
      <c r="G493" s="28" t="s">
        <v>2012</v>
      </c>
      <c r="H493" s="22" t="s">
        <v>2080</v>
      </c>
      <c r="I493" s="21"/>
      <c r="J493" s="22" t="s">
        <v>494</v>
      </c>
      <c r="K493" s="22" t="s">
        <v>924</v>
      </c>
      <c r="L493" s="21"/>
      <c r="M493" s="22" t="s">
        <v>2034</v>
      </c>
      <c r="N493" s="28" t="s">
        <v>2015</v>
      </c>
      <c r="O493" s="28" t="s">
        <v>2016</v>
      </c>
      <c r="P493" s="29">
        <v>3020</v>
      </c>
      <c r="Q493" s="28" t="s">
        <v>2017</v>
      </c>
      <c r="R493" s="31">
        <v>11.072365526567999</v>
      </c>
      <c r="S493" s="29">
        <v>17534</v>
      </c>
      <c r="T493" s="32">
        <v>272.75111111111102</v>
      </c>
      <c r="U493" s="32">
        <v>0</v>
      </c>
      <c r="V493" s="31">
        <v>11.072365526567999</v>
      </c>
      <c r="W493" s="36">
        <v>46098</v>
      </c>
      <c r="X493" s="36">
        <v>46098</v>
      </c>
    </row>
    <row r="494" spans="1:24" ht="15.75" thickBot="1" x14ac:dyDescent="0.3">
      <c r="A494" t="str">
        <f t="shared" si="7"/>
        <v>DET26108A71A</v>
      </c>
      <c r="B494" s="22" t="s">
        <v>1103</v>
      </c>
      <c r="C494" s="22" t="s">
        <v>2256</v>
      </c>
      <c r="D494" s="22" t="s">
        <v>3429</v>
      </c>
      <c r="E494" s="22" t="s">
        <v>2256</v>
      </c>
      <c r="F494" s="22" t="s">
        <v>3430</v>
      </c>
      <c r="G494" s="28" t="s">
        <v>2012</v>
      </c>
      <c r="H494" s="22" t="s">
        <v>2080</v>
      </c>
      <c r="I494" s="21"/>
      <c r="J494" s="22" t="s">
        <v>494</v>
      </c>
      <c r="K494" s="22" t="s">
        <v>924</v>
      </c>
      <c r="L494" s="21"/>
      <c r="M494" s="22" t="s">
        <v>2034</v>
      </c>
      <c r="N494" s="28" t="s">
        <v>2015</v>
      </c>
      <c r="O494" s="28" t="s">
        <v>2016</v>
      </c>
      <c r="P494" s="29">
        <v>3170</v>
      </c>
      <c r="Q494" s="28" t="s">
        <v>2017</v>
      </c>
      <c r="R494" s="31">
        <v>11.622317456696001</v>
      </c>
      <c r="S494" s="29">
        <v>17534</v>
      </c>
      <c r="T494" s="32">
        <v>272.75111111111102</v>
      </c>
      <c r="U494" s="32">
        <v>0</v>
      </c>
      <c r="V494" s="31">
        <v>11.622317456696001</v>
      </c>
      <c r="W494" s="36">
        <v>46098</v>
      </c>
      <c r="X494" s="36">
        <v>46098</v>
      </c>
    </row>
    <row r="495" spans="1:24" ht="15.75" thickBot="1" x14ac:dyDescent="0.3">
      <c r="A495" t="str">
        <f t="shared" si="7"/>
        <v>DET2611150A</v>
      </c>
      <c r="B495" s="22" t="s">
        <v>1201</v>
      </c>
      <c r="C495" s="22" t="s">
        <v>2159</v>
      </c>
      <c r="D495" s="22" t="s">
        <v>3431</v>
      </c>
      <c r="E495" s="22" t="s">
        <v>2159</v>
      </c>
      <c r="F495" s="22" t="s">
        <v>3432</v>
      </c>
      <c r="G495" s="28" t="s">
        <v>2012</v>
      </c>
      <c r="H495" s="22" t="s">
        <v>2080</v>
      </c>
      <c r="I495" s="21"/>
      <c r="J495" s="22" t="s">
        <v>494</v>
      </c>
      <c r="K495" s="22" t="s">
        <v>924</v>
      </c>
      <c r="L495" s="21"/>
      <c r="M495" s="22" t="s">
        <v>2034</v>
      </c>
      <c r="N495" s="28" t="s">
        <v>2015</v>
      </c>
      <c r="O495" s="28" t="s">
        <v>2016</v>
      </c>
      <c r="P495" s="29">
        <v>3031</v>
      </c>
      <c r="Q495" s="28" t="s">
        <v>2017</v>
      </c>
      <c r="R495" s="31">
        <v>11.112695334778</v>
      </c>
      <c r="S495" s="29">
        <v>17534</v>
      </c>
      <c r="T495" s="32">
        <v>272.75111111111102</v>
      </c>
      <c r="U495" s="32">
        <v>0</v>
      </c>
      <c r="V495" s="31">
        <v>11.112695334778</v>
      </c>
      <c r="W495" s="36">
        <v>46098</v>
      </c>
      <c r="X495" s="36">
        <v>46098</v>
      </c>
    </row>
    <row r="496" spans="1:24" ht="15.75" thickBot="1" x14ac:dyDescent="0.3">
      <c r="A496" t="str">
        <f t="shared" si="7"/>
        <v>DET26112A56A</v>
      </c>
      <c r="B496" s="22" t="s">
        <v>1527</v>
      </c>
      <c r="C496" s="22" t="s">
        <v>2159</v>
      </c>
      <c r="D496" s="22" t="s">
        <v>3433</v>
      </c>
      <c r="E496" s="22" t="s">
        <v>2159</v>
      </c>
      <c r="F496" s="22" t="s">
        <v>3434</v>
      </c>
      <c r="G496" s="28" t="s">
        <v>2012</v>
      </c>
      <c r="H496" s="22" t="s">
        <v>2080</v>
      </c>
      <c r="I496" s="21"/>
      <c r="J496" s="22" t="s">
        <v>494</v>
      </c>
      <c r="K496" s="22" t="s">
        <v>924</v>
      </c>
      <c r="L496" s="21"/>
      <c r="M496" s="22" t="s">
        <v>2034</v>
      </c>
      <c r="N496" s="28" t="s">
        <v>2015</v>
      </c>
      <c r="O496" s="28" t="s">
        <v>2016</v>
      </c>
      <c r="P496" s="29">
        <v>3232</v>
      </c>
      <c r="Q496" s="28" t="s">
        <v>2017</v>
      </c>
      <c r="R496" s="31">
        <v>11.849630921149</v>
      </c>
      <c r="S496" s="29">
        <v>17534</v>
      </c>
      <c r="T496" s="32">
        <v>272.75111111111102</v>
      </c>
      <c r="U496" s="32">
        <v>0</v>
      </c>
      <c r="V496" s="31">
        <v>11.849630921149</v>
      </c>
      <c r="W496" s="36">
        <v>46098</v>
      </c>
      <c r="X496" s="36">
        <v>46098</v>
      </c>
    </row>
    <row r="497" spans="1:24" ht="15.75" thickBot="1" x14ac:dyDescent="0.3">
      <c r="A497" t="str">
        <f t="shared" si="7"/>
        <v>DET26281A31AC</v>
      </c>
      <c r="B497" s="22" t="s">
        <v>1207</v>
      </c>
      <c r="C497" s="22" t="s">
        <v>3004</v>
      </c>
      <c r="D497" s="22" t="s">
        <v>3216</v>
      </c>
      <c r="E497" s="22" t="s">
        <v>3435</v>
      </c>
      <c r="F497" s="22" t="s">
        <v>3436</v>
      </c>
      <c r="G497" s="28" t="s">
        <v>2012</v>
      </c>
      <c r="H497" s="22" t="s">
        <v>2080</v>
      </c>
      <c r="I497" s="21"/>
      <c r="J497" s="22" t="s">
        <v>494</v>
      </c>
      <c r="K497" s="22" t="s">
        <v>924</v>
      </c>
      <c r="L497" s="21"/>
      <c r="M497" s="22" t="s">
        <v>2034</v>
      </c>
      <c r="N497" s="28" t="s">
        <v>2015</v>
      </c>
      <c r="O497" s="28" t="s">
        <v>2016</v>
      </c>
      <c r="P497" s="29">
        <v>2739</v>
      </c>
      <c r="Q497" s="28" t="s">
        <v>2017</v>
      </c>
      <c r="R497" s="31">
        <v>11.765239304327</v>
      </c>
      <c r="S497" s="29">
        <v>14966</v>
      </c>
      <c r="T497" s="32">
        <v>232.80444444444399</v>
      </c>
      <c r="U497" s="32">
        <v>0</v>
      </c>
      <c r="V497" s="31">
        <v>11.765239304327</v>
      </c>
      <c r="W497" s="36">
        <v>46098</v>
      </c>
      <c r="X497" s="36">
        <v>46098</v>
      </c>
    </row>
    <row r="498" spans="1:24" ht="15.75" thickBot="1" x14ac:dyDescent="0.3">
      <c r="A498" t="str">
        <f t="shared" si="7"/>
        <v>DET7P026OS</v>
      </c>
      <c r="B498" s="22" t="s">
        <v>1592</v>
      </c>
      <c r="C498" s="22" t="s">
        <v>3437</v>
      </c>
      <c r="D498" s="22" t="s">
        <v>2274</v>
      </c>
      <c r="E498" s="21"/>
      <c r="F498" s="22" t="s">
        <v>3438</v>
      </c>
      <c r="G498" s="28" t="s">
        <v>2012</v>
      </c>
      <c r="H498" s="22" t="s">
        <v>2037</v>
      </c>
      <c r="I498" s="21"/>
      <c r="J498" s="22" t="s">
        <v>364</v>
      </c>
      <c r="K498" s="22" t="s">
        <v>924</v>
      </c>
      <c r="L498" s="21"/>
      <c r="M498" s="22" t="s">
        <v>2034</v>
      </c>
      <c r="N498" s="28" t="s">
        <v>2015</v>
      </c>
      <c r="O498" s="28" t="s">
        <v>2016</v>
      </c>
      <c r="P498" s="29">
        <v>3761</v>
      </c>
      <c r="Q498" s="28" t="s">
        <v>2017</v>
      </c>
      <c r="R498" s="31">
        <v>11.905582599397</v>
      </c>
      <c r="S498" s="29">
        <v>20308</v>
      </c>
      <c r="T498" s="32">
        <v>315.90222222222201</v>
      </c>
      <c r="U498" s="32">
        <v>0</v>
      </c>
      <c r="V498" s="31">
        <v>11.905582599397</v>
      </c>
      <c r="W498" s="36">
        <v>46098</v>
      </c>
      <c r="X498" s="36">
        <v>46098</v>
      </c>
    </row>
    <row r="499" spans="1:24" ht="15.75" thickBot="1" x14ac:dyDescent="0.3">
      <c r="A499" t="str">
        <f t="shared" si="7"/>
        <v>DETE10792B</v>
      </c>
      <c r="B499" s="22" t="s">
        <v>1129</v>
      </c>
      <c r="C499" s="22" t="s">
        <v>3439</v>
      </c>
      <c r="D499" s="22" t="s">
        <v>3440</v>
      </c>
      <c r="E499" s="21"/>
      <c r="F499" s="22" t="s">
        <v>3441</v>
      </c>
      <c r="G499" s="28" t="s">
        <v>2012</v>
      </c>
      <c r="H499" s="22" t="s">
        <v>2080</v>
      </c>
      <c r="I499" s="21"/>
      <c r="J499" s="22" t="s">
        <v>261</v>
      </c>
      <c r="K499" s="22" t="s">
        <v>924</v>
      </c>
      <c r="L499" s="21"/>
      <c r="M499" s="22" t="s">
        <v>2034</v>
      </c>
      <c r="N499" s="28" t="s">
        <v>2015</v>
      </c>
      <c r="O499" s="28" t="s">
        <v>2016</v>
      </c>
      <c r="P499" s="29">
        <v>3191</v>
      </c>
      <c r="Q499" s="28" t="s">
        <v>2017</v>
      </c>
      <c r="R499" s="31">
        <v>11.953599107611</v>
      </c>
      <c r="S499" s="29">
        <v>17161</v>
      </c>
      <c r="T499" s="32">
        <v>266.94888888888897</v>
      </c>
      <c r="U499" s="32">
        <v>0</v>
      </c>
      <c r="V499" s="31">
        <v>11.953599107611</v>
      </c>
      <c r="W499" s="36">
        <v>46098</v>
      </c>
      <c r="X499" s="36">
        <v>46098</v>
      </c>
    </row>
    <row r="500" spans="1:24" ht="15.75" thickBot="1" x14ac:dyDescent="0.3">
      <c r="A500" t="str">
        <f t="shared" si="7"/>
        <v>DETE41040B</v>
      </c>
      <c r="B500" s="22" t="s">
        <v>1291</v>
      </c>
      <c r="C500" s="22" t="s">
        <v>2185</v>
      </c>
      <c r="D500" s="22" t="s">
        <v>3442</v>
      </c>
      <c r="E500" s="22" t="s">
        <v>3443</v>
      </c>
      <c r="F500" s="22" t="s">
        <v>3444</v>
      </c>
      <c r="G500" s="28" t="s">
        <v>2012</v>
      </c>
      <c r="H500" s="22" t="s">
        <v>2080</v>
      </c>
      <c r="I500" s="21"/>
      <c r="J500" s="22" t="s">
        <v>261</v>
      </c>
      <c r="K500" s="22" t="s">
        <v>924</v>
      </c>
      <c r="L500" s="21"/>
      <c r="M500" s="22" t="s">
        <v>2034</v>
      </c>
      <c r="N500" s="28" t="s">
        <v>2015</v>
      </c>
      <c r="O500" s="28" t="s">
        <v>2016</v>
      </c>
      <c r="P500" s="29">
        <v>3280</v>
      </c>
      <c r="Q500" s="28" t="s">
        <v>2017</v>
      </c>
      <c r="R500" s="31">
        <v>11.120570795693</v>
      </c>
      <c r="S500" s="29">
        <v>18961</v>
      </c>
      <c r="T500" s="32">
        <v>294.94888888888897</v>
      </c>
      <c r="U500" s="32">
        <v>0</v>
      </c>
      <c r="V500" s="31">
        <v>11.120570795693</v>
      </c>
      <c r="W500" s="36">
        <v>46098</v>
      </c>
      <c r="X500" s="36">
        <v>46098</v>
      </c>
    </row>
    <row r="501" spans="1:24" ht="15.75" thickBot="1" x14ac:dyDescent="0.3">
      <c r="A501" t="str">
        <f t="shared" si="7"/>
        <v>DETE41059AB</v>
      </c>
      <c r="B501" s="22" t="s">
        <v>1297</v>
      </c>
      <c r="C501" s="22" t="s">
        <v>3445</v>
      </c>
      <c r="D501" s="22" t="s">
        <v>3246</v>
      </c>
      <c r="E501" s="22" t="s">
        <v>3446</v>
      </c>
      <c r="F501" s="22" t="s">
        <v>3447</v>
      </c>
      <c r="G501" s="28" t="s">
        <v>2012</v>
      </c>
      <c r="H501" s="22" t="s">
        <v>2080</v>
      </c>
      <c r="I501" s="21"/>
      <c r="J501" s="22" t="s">
        <v>261</v>
      </c>
      <c r="K501" s="22" t="s">
        <v>924</v>
      </c>
      <c r="L501" s="21"/>
      <c r="M501" s="22" t="s">
        <v>2034</v>
      </c>
      <c r="N501" s="28" t="s">
        <v>2015</v>
      </c>
      <c r="O501" s="28" t="s">
        <v>2016</v>
      </c>
      <c r="P501" s="29">
        <v>3171</v>
      </c>
      <c r="Q501" s="28" t="s">
        <v>2017</v>
      </c>
      <c r="R501" s="31">
        <v>11.769630484987999</v>
      </c>
      <c r="S501" s="29">
        <v>17320</v>
      </c>
      <c r="T501" s="32">
        <v>269.42222222222199</v>
      </c>
      <c r="U501" s="32">
        <v>0</v>
      </c>
      <c r="V501" s="31">
        <v>11.769630484987999</v>
      </c>
      <c r="W501" s="36">
        <v>46098</v>
      </c>
      <c r="X501" s="36">
        <v>46098</v>
      </c>
    </row>
    <row r="502" spans="1:24" ht="15.75" thickBot="1" x14ac:dyDescent="0.3">
      <c r="A502" t="str">
        <f t="shared" si="7"/>
        <v>DETS517C84</v>
      </c>
      <c r="B502" s="22" t="s">
        <v>1499</v>
      </c>
      <c r="C502" s="22" t="s">
        <v>3448</v>
      </c>
      <c r="D502" s="22" t="s">
        <v>2779</v>
      </c>
      <c r="E502" s="21"/>
      <c r="F502" s="22" t="s">
        <v>3449</v>
      </c>
      <c r="G502" s="28" t="s">
        <v>2012</v>
      </c>
      <c r="H502" s="22" t="s">
        <v>2055</v>
      </c>
      <c r="I502" s="21"/>
      <c r="J502" s="22" t="s">
        <v>364</v>
      </c>
      <c r="K502" s="22" t="s">
        <v>924</v>
      </c>
      <c r="L502" s="21"/>
      <c r="M502" s="22" t="s">
        <v>2034</v>
      </c>
      <c r="N502" s="28" t="s">
        <v>2015</v>
      </c>
      <c r="O502" s="28" t="s">
        <v>2016</v>
      </c>
      <c r="P502" s="29">
        <v>14171</v>
      </c>
      <c r="Q502" s="28" t="s">
        <v>2017</v>
      </c>
      <c r="R502" s="31">
        <v>11.895963138454</v>
      </c>
      <c r="S502" s="29">
        <v>76580</v>
      </c>
      <c r="T502" s="32">
        <v>1191.24444444444</v>
      </c>
      <c r="U502" s="32">
        <v>0</v>
      </c>
      <c r="V502" s="31">
        <v>11.895963138454</v>
      </c>
      <c r="W502" s="36">
        <v>46098</v>
      </c>
      <c r="X502" s="36">
        <v>46098</v>
      </c>
    </row>
    <row r="503" spans="1:24" ht="15.75" thickBot="1" x14ac:dyDescent="0.3">
      <c r="A503" t="str">
        <f t="shared" si="7"/>
        <v>MLDE23942-A-INSERT</v>
      </c>
      <c r="B503" s="22" t="s">
        <v>679</v>
      </c>
      <c r="C503" s="22" t="s">
        <v>3268</v>
      </c>
      <c r="D503" s="22" t="s">
        <v>3450</v>
      </c>
      <c r="E503" s="21"/>
      <c r="F503" s="22" t="s">
        <v>2415</v>
      </c>
      <c r="G503" s="28" t="s">
        <v>2012</v>
      </c>
      <c r="H503" s="22" t="s">
        <v>2013</v>
      </c>
      <c r="I503" s="21"/>
      <c r="J503" s="22" t="s">
        <v>261</v>
      </c>
      <c r="K503" s="22" t="s">
        <v>262</v>
      </c>
      <c r="L503" s="21"/>
      <c r="M503" s="22" t="s">
        <v>2034</v>
      </c>
      <c r="N503" s="28" t="s">
        <v>2015</v>
      </c>
      <c r="O503" s="28" t="s">
        <v>2016</v>
      </c>
      <c r="P503" s="29">
        <v>1000</v>
      </c>
      <c r="Q503" s="28" t="s">
        <v>2017</v>
      </c>
      <c r="R503" s="31">
        <v>11.977960552582999</v>
      </c>
      <c r="S503" s="29">
        <v>5367</v>
      </c>
      <c r="T503" s="32">
        <v>83.486666666665997</v>
      </c>
      <c r="U503" s="32">
        <v>0</v>
      </c>
      <c r="V503" s="31">
        <v>11.977960552582999</v>
      </c>
      <c r="W503" s="36">
        <v>46098</v>
      </c>
      <c r="X503" s="36">
        <v>46098</v>
      </c>
    </row>
    <row r="504" spans="1:24" ht="15.75" thickBot="1" x14ac:dyDescent="0.3">
      <c r="A504" t="str">
        <f t="shared" si="7"/>
        <v>MLDE23943APIA30</v>
      </c>
      <c r="B504" s="22" t="s">
        <v>751</v>
      </c>
      <c r="C504" s="22" t="s">
        <v>3451</v>
      </c>
      <c r="D504" s="22" t="s">
        <v>3452</v>
      </c>
      <c r="E504" s="22" t="s">
        <v>2927</v>
      </c>
      <c r="F504" s="22" t="s">
        <v>2928</v>
      </c>
      <c r="G504" s="28" t="s">
        <v>2012</v>
      </c>
      <c r="H504" s="22" t="s">
        <v>2013</v>
      </c>
      <c r="I504" s="21"/>
      <c r="J504" s="22" t="s">
        <v>261</v>
      </c>
      <c r="K504" s="22" t="s">
        <v>262</v>
      </c>
      <c r="L504" s="21"/>
      <c r="M504" s="22" t="s">
        <v>2034</v>
      </c>
      <c r="N504" s="28" t="s">
        <v>2015</v>
      </c>
      <c r="O504" s="28" t="s">
        <v>2016</v>
      </c>
      <c r="P504" s="29">
        <v>2270</v>
      </c>
      <c r="Q504" s="28" t="s">
        <v>2017</v>
      </c>
      <c r="R504" s="31">
        <v>11.669617867137999</v>
      </c>
      <c r="S504" s="29">
        <v>12505</v>
      </c>
      <c r="T504" s="32">
        <v>194.52222222222201</v>
      </c>
      <c r="U504" s="32">
        <v>0</v>
      </c>
      <c r="V504" s="31">
        <v>11.669617867137999</v>
      </c>
      <c r="W504" s="36">
        <v>46098</v>
      </c>
      <c r="X504" s="36">
        <v>46098</v>
      </c>
    </row>
    <row r="505" spans="1:24" ht="15.75" thickBot="1" x14ac:dyDescent="0.3">
      <c r="A505" t="str">
        <f t="shared" si="7"/>
        <v>N1WB E50230 AA</v>
      </c>
      <c r="B505" s="22" t="s">
        <v>1967</v>
      </c>
      <c r="C505" s="22" t="s">
        <v>3453</v>
      </c>
      <c r="D505" s="22" t="s">
        <v>2634</v>
      </c>
      <c r="E505" s="21"/>
      <c r="F505" s="22" t="s">
        <v>2030</v>
      </c>
      <c r="G505" s="28" t="s">
        <v>2012</v>
      </c>
      <c r="H505" s="22" t="s">
        <v>2080</v>
      </c>
      <c r="I505" s="21"/>
      <c r="J505" s="22" t="s">
        <v>261</v>
      </c>
      <c r="K505" s="22" t="s">
        <v>924</v>
      </c>
      <c r="L505" s="21"/>
      <c r="M505" s="22" t="s">
        <v>2014</v>
      </c>
      <c r="N505" s="28" t="s">
        <v>2015</v>
      </c>
      <c r="O505" s="28" t="s">
        <v>2016</v>
      </c>
      <c r="P505" s="29">
        <v>231</v>
      </c>
      <c r="Q505" s="28" t="s">
        <v>2017</v>
      </c>
      <c r="R505" s="31">
        <v>11.785714285714</v>
      </c>
      <c r="S505" s="29">
        <v>1260</v>
      </c>
      <c r="T505" s="32">
        <v>19.600000000000001</v>
      </c>
      <c r="U505" s="32">
        <v>0</v>
      </c>
      <c r="V505" s="31">
        <v>11.785714285714</v>
      </c>
      <c r="W505" s="36">
        <v>46098</v>
      </c>
      <c r="X505" s="36">
        <v>46098</v>
      </c>
    </row>
    <row r="506" spans="1:24" ht="15.75" thickBot="1" x14ac:dyDescent="0.3">
      <c r="A506" t="str">
        <f t="shared" si="7"/>
        <v>PC.WL68425118B</v>
      </c>
      <c r="B506" s="22" t="s">
        <v>1760</v>
      </c>
      <c r="C506" s="22" t="s">
        <v>2627</v>
      </c>
      <c r="D506" s="22" t="s">
        <v>3454</v>
      </c>
      <c r="E506" s="22" t="s">
        <v>3455</v>
      </c>
      <c r="F506" s="22" t="s">
        <v>3456</v>
      </c>
      <c r="G506" s="28" t="s">
        <v>2012</v>
      </c>
      <c r="H506" s="22" t="s">
        <v>2022</v>
      </c>
      <c r="I506" s="21"/>
      <c r="J506" s="22" t="s">
        <v>1117</v>
      </c>
      <c r="K506" s="22" t="s">
        <v>924</v>
      </c>
      <c r="L506" s="21"/>
      <c r="M506" s="22" t="s">
        <v>2014</v>
      </c>
      <c r="N506" s="28" t="s">
        <v>2015</v>
      </c>
      <c r="O506" s="28" t="s">
        <v>2016</v>
      </c>
      <c r="P506" s="29">
        <v>5884</v>
      </c>
      <c r="Q506" s="28" t="s">
        <v>2017</v>
      </c>
      <c r="R506" s="31">
        <v>11.125210084033</v>
      </c>
      <c r="S506" s="29">
        <v>34000</v>
      </c>
      <c r="T506" s="32">
        <v>528.88888888888903</v>
      </c>
      <c r="U506" s="32">
        <v>0</v>
      </c>
      <c r="V506" s="31">
        <v>11.125210084033</v>
      </c>
      <c r="W506" s="36">
        <v>46098</v>
      </c>
      <c r="X506" s="36">
        <v>46098</v>
      </c>
    </row>
    <row r="507" spans="1:24" ht="15.75" thickBot="1" x14ac:dyDescent="0.3">
      <c r="A507" t="str">
        <f t="shared" si="7"/>
        <v>PCPE23942IN03.H</v>
      </c>
      <c r="B507" s="22" t="s">
        <v>3457</v>
      </c>
      <c r="C507" s="21"/>
      <c r="D507" s="22" t="s">
        <v>3458</v>
      </c>
      <c r="E507" s="21"/>
      <c r="F507" s="22" t="s">
        <v>2030</v>
      </c>
      <c r="G507" s="28" t="s">
        <v>2012</v>
      </c>
      <c r="H507" s="22" t="s">
        <v>3459</v>
      </c>
      <c r="I507" s="22" t="s">
        <v>3460</v>
      </c>
      <c r="J507" s="22" t="s">
        <v>261</v>
      </c>
      <c r="K507" s="22" t="s">
        <v>262</v>
      </c>
      <c r="L507" s="22" t="s">
        <v>3318</v>
      </c>
      <c r="M507" s="22" t="s">
        <v>2130</v>
      </c>
      <c r="N507" s="28" t="s">
        <v>2494</v>
      </c>
      <c r="O507" s="28" t="s">
        <v>2016</v>
      </c>
      <c r="P507" s="29">
        <v>451</v>
      </c>
      <c r="Q507" s="28" t="s">
        <v>2017</v>
      </c>
      <c r="R507" s="31">
        <v>11.237541528238999</v>
      </c>
      <c r="S507" s="29">
        <v>2580</v>
      </c>
      <c r="T507" s="32">
        <v>40.133333333332999</v>
      </c>
      <c r="U507" s="32">
        <v>0</v>
      </c>
      <c r="V507" s="31">
        <v>11.237541528238999</v>
      </c>
      <c r="W507" s="36">
        <v>46098</v>
      </c>
      <c r="X507" s="36">
        <v>46098</v>
      </c>
    </row>
    <row r="508" spans="1:24" ht="15.75" thickBot="1" x14ac:dyDescent="0.3">
      <c r="A508" t="str">
        <f t="shared" si="7"/>
        <v>PCS100N00A</v>
      </c>
      <c r="B508" s="22" t="s">
        <v>3461</v>
      </c>
      <c r="C508" s="21"/>
      <c r="D508" s="22" t="s">
        <v>3462</v>
      </c>
      <c r="E508" s="21"/>
      <c r="F508" s="22" t="s">
        <v>2030</v>
      </c>
      <c r="G508" s="28" t="s">
        <v>2012</v>
      </c>
      <c r="H508" s="22" t="s">
        <v>3463</v>
      </c>
      <c r="I508" s="22" t="s">
        <v>3464</v>
      </c>
      <c r="J508" s="22" t="s">
        <v>364</v>
      </c>
      <c r="K508" s="22" t="s">
        <v>924</v>
      </c>
      <c r="L508" s="22" t="s">
        <v>2829</v>
      </c>
      <c r="M508" s="22" t="s">
        <v>2830</v>
      </c>
      <c r="N508" s="28" t="s">
        <v>2494</v>
      </c>
      <c r="O508" s="28" t="s">
        <v>2016</v>
      </c>
      <c r="P508" s="29">
        <v>10584</v>
      </c>
      <c r="Q508" s="28" t="s">
        <v>2017</v>
      </c>
      <c r="R508" s="31">
        <v>11.155012705959001</v>
      </c>
      <c r="S508" s="29">
        <v>60995</v>
      </c>
      <c r="T508" s="32">
        <v>948.81111111111102</v>
      </c>
      <c r="U508" s="32">
        <v>0</v>
      </c>
      <c r="V508" s="31">
        <v>11.155012705959001</v>
      </c>
      <c r="W508" s="36">
        <v>46098</v>
      </c>
      <c r="X508" s="36">
        <v>46098</v>
      </c>
    </row>
    <row r="509" spans="1:24" ht="15.75" thickBot="1" x14ac:dyDescent="0.3">
      <c r="A509" t="str">
        <f t="shared" si="7"/>
        <v>PCSE28502AA</v>
      </c>
      <c r="B509" s="22" t="s">
        <v>3465</v>
      </c>
      <c r="C509" s="21"/>
      <c r="D509" s="22" t="s">
        <v>3466</v>
      </c>
      <c r="E509" s="21"/>
      <c r="F509" s="22" t="s">
        <v>3467</v>
      </c>
      <c r="G509" s="28" t="s">
        <v>2012</v>
      </c>
      <c r="H509" s="22" t="s">
        <v>3334</v>
      </c>
      <c r="I509" s="22" t="s">
        <v>3335</v>
      </c>
      <c r="J509" s="22" t="s">
        <v>261</v>
      </c>
      <c r="K509" s="22" t="s">
        <v>924</v>
      </c>
      <c r="L509" s="22" t="s">
        <v>3336</v>
      </c>
      <c r="M509" s="22" t="s">
        <v>2130</v>
      </c>
      <c r="N509" s="28" t="s">
        <v>2494</v>
      </c>
      <c r="O509" s="28" t="s">
        <v>2016</v>
      </c>
      <c r="P509" s="29">
        <v>3260</v>
      </c>
      <c r="Q509" s="28" t="s">
        <v>2017</v>
      </c>
      <c r="R509" s="31">
        <v>11.052762437183</v>
      </c>
      <c r="S509" s="29">
        <v>18961</v>
      </c>
      <c r="T509" s="32">
        <v>294.94888888888897</v>
      </c>
      <c r="U509" s="32">
        <v>0</v>
      </c>
      <c r="V509" s="31">
        <v>11.052762437183</v>
      </c>
      <c r="W509" s="36">
        <v>46098</v>
      </c>
      <c r="X509" s="36">
        <v>46098</v>
      </c>
    </row>
    <row r="510" spans="1:24" ht="15.75" thickBot="1" x14ac:dyDescent="0.3">
      <c r="A510" t="str">
        <f t="shared" si="7"/>
        <v>PUR58112A56 A</v>
      </c>
      <c r="B510" s="22" t="s">
        <v>1335</v>
      </c>
      <c r="C510" s="22" t="s">
        <v>3468</v>
      </c>
      <c r="D510" s="22" t="s">
        <v>3469</v>
      </c>
      <c r="E510" s="22" t="s">
        <v>3470</v>
      </c>
      <c r="F510" s="22" t="s">
        <v>3471</v>
      </c>
      <c r="G510" s="28" t="s">
        <v>2012</v>
      </c>
      <c r="H510" s="22" t="s">
        <v>3367</v>
      </c>
      <c r="I510" s="21"/>
      <c r="J510" s="22" t="s">
        <v>364</v>
      </c>
      <c r="K510" s="22" t="s">
        <v>924</v>
      </c>
      <c r="L510" s="21"/>
      <c r="M510" s="22" t="s">
        <v>2014</v>
      </c>
      <c r="N510" s="28" t="s">
        <v>2015</v>
      </c>
      <c r="O510" s="28" t="s">
        <v>2016</v>
      </c>
      <c r="P510" s="29">
        <v>7774</v>
      </c>
      <c r="Q510" s="28" t="s">
        <v>2017</v>
      </c>
      <c r="R510" s="31">
        <v>11.568452380951999</v>
      </c>
      <c r="S510" s="29">
        <v>43200</v>
      </c>
      <c r="T510" s="32">
        <v>672</v>
      </c>
      <c r="U510" s="32">
        <v>0</v>
      </c>
      <c r="V510" s="31">
        <v>11.568452380951999</v>
      </c>
      <c r="W510" s="36">
        <v>46098</v>
      </c>
      <c r="X510" s="36">
        <v>46098</v>
      </c>
    </row>
    <row r="511" spans="1:24" ht="15.75" thickBot="1" x14ac:dyDescent="0.3">
      <c r="A511" t="str">
        <f t="shared" si="7"/>
        <v>PURS41224 B</v>
      </c>
      <c r="B511" s="22" t="s">
        <v>3472</v>
      </c>
      <c r="C511" s="22" t="s">
        <v>3473</v>
      </c>
      <c r="D511" s="22" t="s">
        <v>3474</v>
      </c>
      <c r="E511" s="22" t="s">
        <v>3475</v>
      </c>
      <c r="F511" s="22" t="s">
        <v>3476</v>
      </c>
      <c r="G511" s="28" t="s">
        <v>2012</v>
      </c>
      <c r="H511" s="22" t="s">
        <v>3363</v>
      </c>
      <c r="I511" s="21"/>
      <c r="J511" s="22" t="s">
        <v>364</v>
      </c>
      <c r="K511" s="22" t="s">
        <v>924</v>
      </c>
      <c r="L511" s="21"/>
      <c r="M511" s="22" t="s">
        <v>2014</v>
      </c>
      <c r="N511" s="28" t="s">
        <v>2015</v>
      </c>
      <c r="O511" s="28" t="s">
        <v>2016</v>
      </c>
      <c r="P511" s="29">
        <v>7590</v>
      </c>
      <c r="Q511" s="28" t="s">
        <v>2017</v>
      </c>
      <c r="R511" s="31">
        <v>11.139921722113</v>
      </c>
      <c r="S511" s="29">
        <v>43800</v>
      </c>
      <c r="T511" s="32">
        <v>681.33333333333303</v>
      </c>
      <c r="U511" s="32">
        <v>0</v>
      </c>
      <c r="V511" s="31">
        <v>11.139921722113</v>
      </c>
      <c r="W511" s="36">
        <v>46098</v>
      </c>
      <c r="X511" s="36">
        <v>46098</v>
      </c>
    </row>
    <row r="512" spans="1:24" ht="15.75" thickBot="1" x14ac:dyDescent="0.3">
      <c r="A512" t="str">
        <f t="shared" si="7"/>
        <v>RMS21000K50A</v>
      </c>
      <c r="B512" s="22" t="s">
        <v>3477</v>
      </c>
      <c r="C512" s="22" t="s">
        <v>3478</v>
      </c>
      <c r="D512" s="22" t="s">
        <v>3479</v>
      </c>
      <c r="E512" s="22" t="s">
        <v>3123</v>
      </c>
      <c r="F512" s="22" t="s">
        <v>3480</v>
      </c>
      <c r="G512" s="28" t="s">
        <v>2012</v>
      </c>
      <c r="H512" s="22" t="s">
        <v>3481</v>
      </c>
      <c r="I512" s="22" t="s">
        <v>3482</v>
      </c>
      <c r="J512" s="22" t="s">
        <v>261</v>
      </c>
      <c r="K512" s="22" t="s">
        <v>924</v>
      </c>
      <c r="L512" s="22" t="s">
        <v>2558</v>
      </c>
      <c r="M512" s="22" t="s">
        <v>2532</v>
      </c>
      <c r="N512" s="28" t="s">
        <v>2494</v>
      </c>
      <c r="O512" s="28" t="s">
        <v>2016</v>
      </c>
      <c r="P512" s="29">
        <v>51375</v>
      </c>
      <c r="Q512" s="28" t="s">
        <v>1164</v>
      </c>
      <c r="R512" s="31">
        <v>11.782320942881</v>
      </c>
      <c r="S512" s="34">
        <v>280307.97899999999</v>
      </c>
      <c r="T512" s="32">
        <v>4360.3463400000001</v>
      </c>
      <c r="U512" s="32">
        <v>0</v>
      </c>
      <c r="V512" s="31">
        <v>11.782320942881</v>
      </c>
      <c r="W512" s="36">
        <v>46098</v>
      </c>
      <c r="X512" s="36">
        <v>46098</v>
      </c>
    </row>
    <row r="513" spans="1:24" ht="15.75" thickBot="1" x14ac:dyDescent="0.3">
      <c r="A513" t="str">
        <f t="shared" si="7"/>
        <v>RMS2628286AA</v>
      </c>
      <c r="B513" s="22" t="s">
        <v>3483</v>
      </c>
      <c r="C513" s="22" t="s">
        <v>3484</v>
      </c>
      <c r="D513" s="22" t="s">
        <v>3485</v>
      </c>
      <c r="E513" s="22" t="s">
        <v>2527</v>
      </c>
      <c r="F513" s="22" t="s">
        <v>3486</v>
      </c>
      <c r="G513" s="28" t="s">
        <v>2012</v>
      </c>
      <c r="H513" s="22" t="s">
        <v>2529</v>
      </c>
      <c r="I513" s="22" t="s">
        <v>2530</v>
      </c>
      <c r="J513" s="22" t="s">
        <v>261</v>
      </c>
      <c r="K513" s="22" t="s">
        <v>924</v>
      </c>
      <c r="L513" s="22" t="s">
        <v>2531</v>
      </c>
      <c r="M513" s="22" t="s">
        <v>2532</v>
      </c>
      <c r="N513" s="28" t="s">
        <v>2494</v>
      </c>
      <c r="O513" s="28" t="s">
        <v>2016</v>
      </c>
      <c r="P513" s="29">
        <v>1165.384</v>
      </c>
      <c r="Q513" s="28" t="s">
        <v>1164</v>
      </c>
      <c r="R513" s="31">
        <v>11.600500896876</v>
      </c>
      <c r="S513" s="34">
        <v>6458.13</v>
      </c>
      <c r="T513" s="32">
        <v>100.4598</v>
      </c>
      <c r="U513" s="32">
        <v>0</v>
      </c>
      <c r="V513" s="31">
        <v>11.600500896876</v>
      </c>
      <c r="W513" s="36">
        <v>46098</v>
      </c>
      <c r="X513" s="36">
        <v>46098</v>
      </c>
    </row>
    <row r="514" spans="1:24" ht="15.75" thickBot="1" x14ac:dyDescent="0.3">
      <c r="A514" t="str">
        <f t="shared" si="7"/>
        <v>RMS2641058RLAA</v>
      </c>
      <c r="B514" s="22" t="s">
        <v>3487</v>
      </c>
      <c r="C514" s="22" t="s">
        <v>3488</v>
      </c>
      <c r="D514" s="22" t="s">
        <v>3489</v>
      </c>
      <c r="E514" s="22" t="s">
        <v>2527</v>
      </c>
      <c r="F514" s="22" t="s">
        <v>3490</v>
      </c>
      <c r="G514" s="28" t="s">
        <v>2012</v>
      </c>
      <c r="H514" s="22" t="s">
        <v>2858</v>
      </c>
      <c r="I514" s="22" t="s">
        <v>2859</v>
      </c>
      <c r="J514" s="22" t="s">
        <v>261</v>
      </c>
      <c r="K514" s="22" t="s">
        <v>924</v>
      </c>
      <c r="L514" s="22" t="s">
        <v>2531</v>
      </c>
      <c r="M514" s="22" t="s">
        <v>2532</v>
      </c>
      <c r="N514" s="28" t="s">
        <v>2494</v>
      </c>
      <c r="O514" s="28" t="s">
        <v>2016</v>
      </c>
      <c r="P514" s="29">
        <v>43185.375</v>
      </c>
      <c r="Q514" s="28" t="s">
        <v>1164</v>
      </c>
      <c r="R514" s="31">
        <v>11.111641529246</v>
      </c>
      <c r="S514" s="34">
        <v>249846.31400000001</v>
      </c>
      <c r="T514" s="32">
        <v>3886.4982177777802</v>
      </c>
      <c r="U514" s="32">
        <v>0</v>
      </c>
      <c r="V514" s="31">
        <v>11.111641529246</v>
      </c>
      <c r="W514" s="36">
        <v>46098</v>
      </c>
      <c r="X514" s="36">
        <v>46098</v>
      </c>
    </row>
    <row r="515" spans="1:24" ht="15.75" thickBot="1" x14ac:dyDescent="0.3">
      <c r="A515" t="str">
        <f t="shared" si="7"/>
        <v>RMSE268A04RL</v>
      </c>
      <c r="B515" s="22" t="s">
        <v>3491</v>
      </c>
      <c r="C515" s="22" t="s">
        <v>3492</v>
      </c>
      <c r="D515" s="22" t="s">
        <v>3493</v>
      </c>
      <c r="E515" s="22" t="s">
        <v>2527</v>
      </c>
      <c r="F515" s="22" t="s">
        <v>3384</v>
      </c>
      <c r="G515" s="28" t="s">
        <v>2012</v>
      </c>
      <c r="H515" s="22" t="s">
        <v>2543</v>
      </c>
      <c r="I515" s="22" t="s">
        <v>2544</v>
      </c>
      <c r="J515" s="22" t="s">
        <v>261</v>
      </c>
      <c r="K515" s="22" t="s">
        <v>924</v>
      </c>
      <c r="L515" s="22" t="s">
        <v>2531</v>
      </c>
      <c r="M515" s="22" t="s">
        <v>2532</v>
      </c>
      <c r="N515" s="28" t="s">
        <v>2494</v>
      </c>
      <c r="O515" s="28" t="s">
        <v>2016</v>
      </c>
      <c r="P515" s="29">
        <v>32605</v>
      </c>
      <c r="Q515" s="28" t="s">
        <v>1164</v>
      </c>
      <c r="R515" s="31">
        <v>11.784298314595</v>
      </c>
      <c r="S515" s="34">
        <v>177866.82399999999</v>
      </c>
      <c r="T515" s="32">
        <v>2766.8172622222201</v>
      </c>
      <c r="U515" s="32">
        <v>0</v>
      </c>
      <c r="V515" s="31">
        <v>11.784298314595</v>
      </c>
      <c r="W515" s="36">
        <v>46098</v>
      </c>
      <c r="X515" s="36">
        <v>46098</v>
      </c>
    </row>
    <row r="516" spans="1:24" ht="15.75" thickBot="1" x14ac:dyDescent="0.3">
      <c r="A516" t="str">
        <f t="shared" si="7"/>
        <v>85163289</v>
      </c>
      <c r="B516" s="22" t="s">
        <v>849</v>
      </c>
      <c r="C516" s="22" t="s">
        <v>3494</v>
      </c>
      <c r="D516" s="22" t="s">
        <v>3495</v>
      </c>
      <c r="E516" s="22" t="s">
        <v>3496</v>
      </c>
      <c r="F516" s="22" t="s">
        <v>3497</v>
      </c>
      <c r="G516" s="28" t="s">
        <v>2012</v>
      </c>
      <c r="H516" s="22" t="s">
        <v>2027</v>
      </c>
      <c r="I516" s="21"/>
      <c r="J516" s="22" t="s">
        <v>404</v>
      </c>
      <c r="K516" s="22" t="s">
        <v>262</v>
      </c>
      <c r="L516" s="21"/>
      <c r="M516" s="22" t="s">
        <v>2014</v>
      </c>
      <c r="N516" s="28" t="s">
        <v>2015</v>
      </c>
      <c r="O516" s="28" t="s">
        <v>2016</v>
      </c>
      <c r="P516" s="29">
        <v>417</v>
      </c>
      <c r="Q516" s="28" t="s">
        <v>2017</v>
      </c>
      <c r="R516" s="31">
        <v>12.410714285714</v>
      </c>
      <c r="S516" s="29">
        <v>2160</v>
      </c>
      <c r="T516" s="32">
        <v>33.6</v>
      </c>
      <c r="U516" s="32">
        <v>0</v>
      </c>
      <c r="V516" s="31">
        <v>12.410714285714</v>
      </c>
      <c r="W516" s="36">
        <v>46099</v>
      </c>
      <c r="X516" s="36">
        <v>46099</v>
      </c>
    </row>
    <row r="517" spans="1:24" ht="15.75" thickBot="1" x14ac:dyDescent="0.3">
      <c r="A517" t="str">
        <f t="shared" ref="A517:A580" si="8">TRIM(B517)</f>
        <v>ASYX200B38</v>
      </c>
      <c r="B517" s="22" t="s">
        <v>3498</v>
      </c>
      <c r="C517" s="22" t="s">
        <v>3251</v>
      </c>
      <c r="D517" s="22" t="s">
        <v>2884</v>
      </c>
      <c r="E517" s="21"/>
      <c r="F517" s="22" t="s">
        <v>2030</v>
      </c>
      <c r="G517" s="28" t="s">
        <v>2012</v>
      </c>
      <c r="H517" s="22" t="s">
        <v>2013</v>
      </c>
      <c r="I517" s="21"/>
      <c r="J517" s="22" t="s">
        <v>364</v>
      </c>
      <c r="K517" s="22" t="s">
        <v>262</v>
      </c>
      <c r="L517" s="21"/>
      <c r="M517" s="22" t="s">
        <v>2034</v>
      </c>
      <c r="N517" s="28" t="s">
        <v>2015</v>
      </c>
      <c r="O517" s="28" t="s">
        <v>2016</v>
      </c>
      <c r="P517" s="29">
        <v>2812</v>
      </c>
      <c r="Q517" s="28" t="s">
        <v>2017</v>
      </c>
      <c r="R517" s="31">
        <v>12.891066716924</v>
      </c>
      <c r="S517" s="29">
        <v>14023</v>
      </c>
      <c r="T517" s="32">
        <v>218.13555555555601</v>
      </c>
      <c r="U517" s="32">
        <v>0</v>
      </c>
      <c r="V517" s="31">
        <v>12.891066716924</v>
      </c>
      <c r="W517" s="36">
        <v>46099</v>
      </c>
      <c r="X517" s="36">
        <v>46099</v>
      </c>
    </row>
    <row r="518" spans="1:24" ht="15.75" thickBot="1" x14ac:dyDescent="0.3">
      <c r="A518" t="str">
        <f t="shared" si="8"/>
        <v>DET26104A99MB</v>
      </c>
      <c r="B518" s="22" t="s">
        <v>1358</v>
      </c>
      <c r="C518" s="22" t="s">
        <v>3499</v>
      </c>
      <c r="D518" s="22" t="s">
        <v>2895</v>
      </c>
      <c r="E518" s="22" t="s">
        <v>3500</v>
      </c>
      <c r="F518" s="22" t="s">
        <v>3501</v>
      </c>
      <c r="G518" s="28" t="s">
        <v>2012</v>
      </c>
      <c r="H518" s="22" t="s">
        <v>2080</v>
      </c>
      <c r="I518" s="21"/>
      <c r="J518" s="22" t="s">
        <v>261</v>
      </c>
      <c r="K518" s="22" t="s">
        <v>924</v>
      </c>
      <c r="L518" s="21"/>
      <c r="M518" s="22" t="s">
        <v>2034</v>
      </c>
      <c r="N518" s="28" t="s">
        <v>2015</v>
      </c>
      <c r="O518" s="28" t="s">
        <v>2016</v>
      </c>
      <c r="P518" s="29">
        <v>3455</v>
      </c>
      <c r="Q518" s="28" t="s">
        <v>2017</v>
      </c>
      <c r="R518" s="31">
        <v>12.81190256444</v>
      </c>
      <c r="S518" s="29">
        <v>17336</v>
      </c>
      <c r="T518" s="32">
        <v>269.67111111111097</v>
      </c>
      <c r="U518" s="32">
        <v>0</v>
      </c>
      <c r="V518" s="31">
        <v>12.81190256444</v>
      </c>
      <c r="W518" s="36">
        <v>46099</v>
      </c>
      <c r="X518" s="36">
        <v>46099</v>
      </c>
    </row>
    <row r="519" spans="1:24" ht="15.75" thickBot="1" x14ac:dyDescent="0.3">
      <c r="A519" t="str">
        <f t="shared" si="8"/>
        <v>DET9A762A</v>
      </c>
      <c r="B519" s="22" t="s">
        <v>1547</v>
      </c>
      <c r="C519" s="22" t="s">
        <v>3502</v>
      </c>
      <c r="D519" s="22" t="s">
        <v>3503</v>
      </c>
      <c r="E519" s="22" t="s">
        <v>3504</v>
      </c>
      <c r="F519" s="22" t="s">
        <v>3505</v>
      </c>
      <c r="G519" s="28" t="s">
        <v>2012</v>
      </c>
      <c r="H519" s="22" t="s">
        <v>2080</v>
      </c>
      <c r="I519" s="21"/>
      <c r="J519" s="22" t="s">
        <v>494</v>
      </c>
      <c r="K519" s="22" t="s">
        <v>924</v>
      </c>
      <c r="L519" s="21"/>
      <c r="M519" s="22" t="s">
        <v>2034</v>
      </c>
      <c r="N519" s="28" t="s">
        <v>2015</v>
      </c>
      <c r="O519" s="28" t="s">
        <v>2016</v>
      </c>
      <c r="P519" s="29">
        <v>9358</v>
      </c>
      <c r="Q519" s="28" t="s">
        <v>2017</v>
      </c>
      <c r="R519" s="31">
        <v>12.868418881381</v>
      </c>
      <c r="S519" s="29">
        <v>46749</v>
      </c>
      <c r="T519" s="32">
        <v>727.20666666666705</v>
      </c>
      <c r="U519" s="32">
        <v>0</v>
      </c>
      <c r="V519" s="31">
        <v>12.868418881381</v>
      </c>
      <c r="W519" s="36">
        <v>46099</v>
      </c>
      <c r="X519" s="36">
        <v>46099</v>
      </c>
    </row>
    <row r="520" spans="1:24" ht="15.75" thickBot="1" x14ac:dyDescent="0.3">
      <c r="A520" t="str">
        <f t="shared" si="8"/>
        <v>DETE40364B</v>
      </c>
      <c r="B520" s="22" t="s">
        <v>1140</v>
      </c>
      <c r="C520" s="22" t="s">
        <v>2185</v>
      </c>
      <c r="D520" s="22" t="s">
        <v>3506</v>
      </c>
      <c r="E520" s="22" t="s">
        <v>3507</v>
      </c>
      <c r="F520" s="22" t="s">
        <v>3508</v>
      </c>
      <c r="G520" s="28" t="s">
        <v>2012</v>
      </c>
      <c r="H520" s="22" t="s">
        <v>2013</v>
      </c>
      <c r="I520" s="21"/>
      <c r="J520" s="22" t="s">
        <v>261</v>
      </c>
      <c r="K520" s="22" t="s">
        <v>924</v>
      </c>
      <c r="L520" s="21"/>
      <c r="M520" s="22" t="s">
        <v>2034</v>
      </c>
      <c r="N520" s="28" t="s">
        <v>2015</v>
      </c>
      <c r="O520" s="28" t="s">
        <v>2016</v>
      </c>
      <c r="P520" s="29">
        <v>3591</v>
      </c>
      <c r="Q520" s="28" t="s">
        <v>2017</v>
      </c>
      <c r="R520" s="31">
        <v>12.174990770529</v>
      </c>
      <c r="S520" s="29">
        <v>18961</v>
      </c>
      <c r="T520" s="32">
        <v>294.94888888888897</v>
      </c>
      <c r="U520" s="32">
        <v>0</v>
      </c>
      <c r="V520" s="31">
        <v>12.174990770529</v>
      </c>
      <c r="W520" s="36">
        <v>46099</v>
      </c>
      <c r="X520" s="36">
        <v>46099</v>
      </c>
    </row>
    <row r="521" spans="1:24" ht="15.75" thickBot="1" x14ac:dyDescent="0.3">
      <c r="A521" t="str">
        <f t="shared" si="8"/>
        <v>DETE40365B</v>
      </c>
      <c r="B521" s="22" t="s">
        <v>1142</v>
      </c>
      <c r="C521" s="22" t="s">
        <v>2073</v>
      </c>
      <c r="D521" s="22" t="s">
        <v>3509</v>
      </c>
      <c r="E521" s="21"/>
      <c r="F521" s="22" t="s">
        <v>3510</v>
      </c>
      <c r="G521" s="28" t="s">
        <v>2012</v>
      </c>
      <c r="H521" s="22" t="s">
        <v>2013</v>
      </c>
      <c r="I521" s="21"/>
      <c r="J521" s="22" t="s">
        <v>261</v>
      </c>
      <c r="K521" s="22" t="s">
        <v>924</v>
      </c>
      <c r="L521" s="21"/>
      <c r="M521" s="22" t="s">
        <v>2034</v>
      </c>
      <c r="N521" s="28" t="s">
        <v>2015</v>
      </c>
      <c r="O521" s="28" t="s">
        <v>2016</v>
      </c>
      <c r="P521" s="29">
        <v>3690</v>
      </c>
      <c r="Q521" s="28" t="s">
        <v>2017</v>
      </c>
      <c r="R521" s="31">
        <v>12.482991407370999</v>
      </c>
      <c r="S521" s="29">
        <v>19003</v>
      </c>
      <c r="T521" s="32">
        <v>295.602222222222</v>
      </c>
      <c r="U521" s="32">
        <v>0</v>
      </c>
      <c r="V521" s="31">
        <v>12.482991407370999</v>
      </c>
      <c r="W521" s="36">
        <v>46099</v>
      </c>
      <c r="X521" s="36">
        <v>46099</v>
      </c>
    </row>
    <row r="522" spans="1:24" ht="15.75" thickBot="1" x14ac:dyDescent="0.3">
      <c r="A522" t="str">
        <f t="shared" si="8"/>
        <v>DETE431F92A</v>
      </c>
      <c r="B522" s="22" t="s">
        <v>1150</v>
      </c>
      <c r="C522" s="22" t="s">
        <v>3511</v>
      </c>
      <c r="D522" s="22" t="s">
        <v>1151</v>
      </c>
      <c r="E522" s="21"/>
      <c r="F522" s="22" t="s">
        <v>3512</v>
      </c>
      <c r="G522" s="28" t="s">
        <v>2012</v>
      </c>
      <c r="H522" s="22" t="s">
        <v>2080</v>
      </c>
      <c r="I522" s="21"/>
      <c r="J522" s="22" t="s">
        <v>261</v>
      </c>
      <c r="K522" s="22" t="s">
        <v>924</v>
      </c>
      <c r="L522" s="21"/>
      <c r="M522" s="22" t="s">
        <v>2034</v>
      </c>
      <c r="N522" s="28" t="s">
        <v>2015</v>
      </c>
      <c r="O522" s="28" t="s">
        <v>2016</v>
      </c>
      <c r="P522" s="29">
        <v>3407</v>
      </c>
      <c r="Q522" s="28" t="s">
        <v>2017</v>
      </c>
      <c r="R522" s="31">
        <v>12.704259197878001</v>
      </c>
      <c r="S522" s="29">
        <v>17240</v>
      </c>
      <c r="T522" s="32">
        <v>268.17777777777798</v>
      </c>
      <c r="U522" s="32">
        <v>0</v>
      </c>
      <c r="V522" s="31">
        <v>12.704259197878001</v>
      </c>
      <c r="W522" s="36">
        <v>46099</v>
      </c>
      <c r="X522" s="36">
        <v>46099</v>
      </c>
    </row>
    <row r="523" spans="1:24" ht="15.75" thickBot="1" x14ac:dyDescent="0.3">
      <c r="A523" t="str">
        <f t="shared" si="8"/>
        <v>M2DB 17E811 GC5YZ9</v>
      </c>
      <c r="B523" s="22" t="s">
        <v>382</v>
      </c>
      <c r="C523" s="22" t="s">
        <v>3513</v>
      </c>
      <c r="D523" s="22" t="s">
        <v>3514</v>
      </c>
      <c r="E523" s="21"/>
      <c r="F523" s="22" t="s">
        <v>3515</v>
      </c>
      <c r="G523" s="28" t="s">
        <v>2012</v>
      </c>
      <c r="H523" s="22" t="s">
        <v>2080</v>
      </c>
      <c r="I523" s="21"/>
      <c r="J523" s="22" t="s">
        <v>364</v>
      </c>
      <c r="K523" s="22" t="s">
        <v>262</v>
      </c>
      <c r="L523" s="21"/>
      <c r="M523" s="22" t="s">
        <v>2014</v>
      </c>
      <c r="N523" s="28" t="s">
        <v>2015</v>
      </c>
      <c r="O523" s="28" t="s">
        <v>2016</v>
      </c>
      <c r="P523" s="29">
        <v>450</v>
      </c>
      <c r="Q523" s="28" t="s">
        <v>2017</v>
      </c>
      <c r="R523" s="31">
        <v>12.165084705033999</v>
      </c>
      <c r="S523" s="29">
        <v>2378</v>
      </c>
      <c r="T523" s="32">
        <v>36.991111111111003</v>
      </c>
      <c r="U523" s="32">
        <v>0</v>
      </c>
      <c r="V523" s="31">
        <v>12.165084705033999</v>
      </c>
      <c r="W523" s="36">
        <v>46099</v>
      </c>
      <c r="X523" s="36">
        <v>46099</v>
      </c>
    </row>
    <row r="524" spans="1:24" ht="15.75" thickBot="1" x14ac:dyDescent="0.3">
      <c r="A524" t="str">
        <f t="shared" si="8"/>
        <v>N1WB 14A564 VD3ZHE</v>
      </c>
      <c r="B524" s="22" t="s">
        <v>346</v>
      </c>
      <c r="C524" s="22" t="s">
        <v>3516</v>
      </c>
      <c r="D524" s="22" t="s">
        <v>345</v>
      </c>
      <c r="E524" s="22" t="s">
        <v>3517</v>
      </c>
      <c r="F524" s="22" t="s">
        <v>3050</v>
      </c>
      <c r="G524" s="28" t="s">
        <v>2012</v>
      </c>
      <c r="H524" s="22" t="s">
        <v>2080</v>
      </c>
      <c r="I524" s="21"/>
      <c r="J524" s="22" t="s">
        <v>261</v>
      </c>
      <c r="K524" s="22" t="s">
        <v>262</v>
      </c>
      <c r="L524" s="21"/>
      <c r="M524" s="22" t="s">
        <v>2014</v>
      </c>
      <c r="N524" s="28" t="s">
        <v>2015</v>
      </c>
      <c r="O524" s="28" t="s">
        <v>2016</v>
      </c>
      <c r="P524" s="29">
        <v>1049</v>
      </c>
      <c r="Q524" s="28" t="s">
        <v>2017</v>
      </c>
      <c r="R524" s="31">
        <v>12.79129633644</v>
      </c>
      <c r="S524" s="29">
        <v>5272</v>
      </c>
      <c r="T524" s="32">
        <v>82.008888888887995</v>
      </c>
      <c r="U524" s="32">
        <v>0</v>
      </c>
      <c r="V524" s="31">
        <v>12.79129633644</v>
      </c>
      <c r="W524" s="36">
        <v>46099</v>
      </c>
      <c r="X524" s="36">
        <v>46099</v>
      </c>
    </row>
    <row r="525" spans="1:24" ht="15.75" thickBot="1" x14ac:dyDescent="0.3">
      <c r="A525" t="str">
        <f t="shared" si="8"/>
        <v>N1WB E03410 AA</v>
      </c>
      <c r="B525" s="22" t="s">
        <v>1309</v>
      </c>
      <c r="C525" s="22" t="s">
        <v>3518</v>
      </c>
      <c r="D525" s="22" t="s">
        <v>3519</v>
      </c>
      <c r="E525" s="21"/>
      <c r="F525" s="22" t="s">
        <v>3520</v>
      </c>
      <c r="G525" s="28" t="s">
        <v>2012</v>
      </c>
      <c r="H525" s="22" t="s">
        <v>2080</v>
      </c>
      <c r="I525" s="21"/>
      <c r="J525" s="22" t="s">
        <v>261</v>
      </c>
      <c r="K525" s="22" t="s">
        <v>924</v>
      </c>
      <c r="L525" s="21"/>
      <c r="M525" s="22" t="s">
        <v>2014</v>
      </c>
      <c r="N525" s="28" t="s">
        <v>2015</v>
      </c>
      <c r="O525" s="28" t="s">
        <v>2016</v>
      </c>
      <c r="P525" s="29">
        <v>3195</v>
      </c>
      <c r="Q525" s="28" t="s">
        <v>2017</v>
      </c>
      <c r="R525" s="31">
        <v>12.030978042576001</v>
      </c>
      <c r="S525" s="29">
        <v>17072</v>
      </c>
      <c r="T525" s="32">
        <v>265.56444444444401</v>
      </c>
      <c r="U525" s="32">
        <v>0</v>
      </c>
      <c r="V525" s="31">
        <v>12.030978042576001</v>
      </c>
      <c r="W525" s="36">
        <v>46099</v>
      </c>
      <c r="X525" s="36">
        <v>46099</v>
      </c>
    </row>
    <row r="526" spans="1:24" ht="15.75" thickBot="1" x14ac:dyDescent="0.3">
      <c r="A526" t="str">
        <f t="shared" si="8"/>
        <v>N1WB E245A22 AA3ZHE</v>
      </c>
      <c r="B526" s="22" t="s">
        <v>590</v>
      </c>
      <c r="C526" s="22" t="s">
        <v>3521</v>
      </c>
      <c r="D526" s="22" t="s">
        <v>3522</v>
      </c>
      <c r="E526" s="21"/>
      <c r="F526" s="22" t="s">
        <v>3523</v>
      </c>
      <c r="G526" s="28" t="s">
        <v>2012</v>
      </c>
      <c r="H526" s="22" t="s">
        <v>2080</v>
      </c>
      <c r="I526" s="21"/>
      <c r="J526" s="22" t="s">
        <v>261</v>
      </c>
      <c r="K526" s="22" t="s">
        <v>262</v>
      </c>
      <c r="L526" s="21"/>
      <c r="M526" s="22" t="s">
        <v>2014</v>
      </c>
      <c r="N526" s="28" t="s">
        <v>2015</v>
      </c>
      <c r="O526" s="28" t="s">
        <v>2016</v>
      </c>
      <c r="P526" s="29">
        <v>2203</v>
      </c>
      <c r="Q526" s="28" t="s">
        <v>2017</v>
      </c>
      <c r="R526" s="31">
        <v>12.884045539613</v>
      </c>
      <c r="S526" s="29">
        <v>10992</v>
      </c>
      <c r="T526" s="32">
        <v>170.98666666666699</v>
      </c>
      <c r="U526" s="32">
        <v>0</v>
      </c>
      <c r="V526" s="31">
        <v>12.884045539613</v>
      </c>
      <c r="W526" s="36">
        <v>46099</v>
      </c>
      <c r="X526" s="36">
        <v>46099</v>
      </c>
    </row>
    <row r="527" spans="1:24" ht="15.75" thickBot="1" x14ac:dyDescent="0.3">
      <c r="A527" t="str">
        <f t="shared" si="8"/>
        <v>PC30467B</v>
      </c>
      <c r="B527" s="22" t="s">
        <v>1323</v>
      </c>
      <c r="C527" s="22" t="s">
        <v>3524</v>
      </c>
      <c r="D527" s="22" t="s">
        <v>3525</v>
      </c>
      <c r="E527" s="22" t="s">
        <v>3526</v>
      </c>
      <c r="F527" s="22" t="s">
        <v>2139</v>
      </c>
      <c r="G527" s="28" t="s">
        <v>2012</v>
      </c>
      <c r="H527" s="22" t="s">
        <v>2022</v>
      </c>
      <c r="I527" s="21"/>
      <c r="J527" s="22" t="s">
        <v>1117</v>
      </c>
      <c r="K527" s="22" t="s">
        <v>924</v>
      </c>
      <c r="L527" s="21"/>
      <c r="M527" s="22" t="s">
        <v>2014</v>
      </c>
      <c r="N527" s="28" t="s">
        <v>2015</v>
      </c>
      <c r="O527" s="28" t="s">
        <v>2016</v>
      </c>
      <c r="P527" s="29">
        <v>6494</v>
      </c>
      <c r="Q527" s="28" t="s">
        <v>2017</v>
      </c>
      <c r="R527" s="31">
        <v>12.206766917293001</v>
      </c>
      <c r="S527" s="29">
        <v>34200</v>
      </c>
      <c r="T527" s="32">
        <v>532</v>
      </c>
      <c r="U527" s="32">
        <v>0</v>
      </c>
      <c r="V527" s="31">
        <v>12.206766917293001</v>
      </c>
      <c r="W527" s="36">
        <v>46099</v>
      </c>
      <c r="X527" s="36">
        <v>46099</v>
      </c>
    </row>
    <row r="528" spans="1:24" ht="15.75" thickBot="1" x14ac:dyDescent="0.3">
      <c r="A528" t="str">
        <f t="shared" si="8"/>
        <v>PC31592A</v>
      </c>
      <c r="B528" s="22" t="s">
        <v>1184</v>
      </c>
      <c r="C528" s="22" t="s">
        <v>3527</v>
      </c>
      <c r="D528" s="22" t="s">
        <v>3528</v>
      </c>
      <c r="E528" s="22" t="s">
        <v>3529</v>
      </c>
      <c r="F528" s="22" t="s">
        <v>2139</v>
      </c>
      <c r="G528" s="28" t="s">
        <v>2012</v>
      </c>
      <c r="H528" s="22" t="s">
        <v>2022</v>
      </c>
      <c r="I528" s="21"/>
      <c r="J528" s="22" t="s">
        <v>1117</v>
      </c>
      <c r="K528" s="22" t="s">
        <v>924</v>
      </c>
      <c r="L528" s="21"/>
      <c r="M528" s="22" t="s">
        <v>2014</v>
      </c>
      <c r="N528" s="28" t="s">
        <v>2015</v>
      </c>
      <c r="O528" s="28" t="s">
        <v>2016</v>
      </c>
      <c r="P528" s="29">
        <v>6661</v>
      </c>
      <c r="Q528" s="28" t="s">
        <v>2017</v>
      </c>
      <c r="R528" s="31">
        <v>12.594327731091999</v>
      </c>
      <c r="S528" s="29">
        <v>34000</v>
      </c>
      <c r="T528" s="32">
        <v>528.88888888888903</v>
      </c>
      <c r="U528" s="32">
        <v>0</v>
      </c>
      <c r="V528" s="31">
        <v>12.594327731091999</v>
      </c>
      <c r="W528" s="36">
        <v>46099</v>
      </c>
      <c r="X528" s="36">
        <v>46099</v>
      </c>
    </row>
    <row r="529" spans="1:24" ht="15.75" thickBot="1" x14ac:dyDescent="0.3">
      <c r="A529" t="str">
        <f t="shared" si="8"/>
        <v>PC66241A</v>
      </c>
      <c r="B529" s="22" t="s">
        <v>1512</v>
      </c>
      <c r="C529" s="22" t="s">
        <v>3530</v>
      </c>
      <c r="D529" s="22" t="s">
        <v>3531</v>
      </c>
      <c r="E529" s="22" t="s">
        <v>3532</v>
      </c>
      <c r="F529" s="22" t="s">
        <v>3533</v>
      </c>
      <c r="G529" s="28" t="s">
        <v>2012</v>
      </c>
      <c r="H529" s="22" t="s">
        <v>2022</v>
      </c>
      <c r="I529" s="21"/>
      <c r="J529" s="22" t="s">
        <v>1117</v>
      </c>
      <c r="K529" s="22" t="s">
        <v>924</v>
      </c>
      <c r="L529" s="21"/>
      <c r="M529" s="22" t="s">
        <v>2014</v>
      </c>
      <c r="N529" s="28" t="s">
        <v>2015</v>
      </c>
      <c r="O529" s="28" t="s">
        <v>2016</v>
      </c>
      <c r="P529" s="29">
        <v>7702</v>
      </c>
      <c r="Q529" s="28" t="s">
        <v>2017</v>
      </c>
      <c r="R529" s="31">
        <v>12.378214285714</v>
      </c>
      <c r="S529" s="29">
        <v>40000</v>
      </c>
      <c r="T529" s="32">
        <v>622.22222222222194</v>
      </c>
      <c r="U529" s="32">
        <v>0</v>
      </c>
      <c r="V529" s="31">
        <v>12.378214285714</v>
      </c>
      <c r="W529" s="36">
        <v>46099</v>
      </c>
      <c r="X529" s="36">
        <v>46099</v>
      </c>
    </row>
    <row r="530" spans="1:24" ht="15.75" thickBot="1" x14ac:dyDescent="0.3">
      <c r="A530" t="str">
        <f t="shared" si="8"/>
        <v>PCPE23943AR01.HA</v>
      </c>
      <c r="B530" s="22" t="s">
        <v>3534</v>
      </c>
      <c r="C530" s="21"/>
      <c r="D530" s="22" t="s">
        <v>3535</v>
      </c>
      <c r="E530" s="21"/>
      <c r="F530" s="22" t="s">
        <v>2030</v>
      </c>
      <c r="G530" s="28" t="s">
        <v>2012</v>
      </c>
      <c r="H530" s="22" t="s">
        <v>3459</v>
      </c>
      <c r="I530" s="22" t="s">
        <v>3460</v>
      </c>
      <c r="J530" s="22" t="s">
        <v>261</v>
      </c>
      <c r="K530" s="22" t="s">
        <v>262</v>
      </c>
      <c r="L530" s="22" t="s">
        <v>3318</v>
      </c>
      <c r="M530" s="22" t="s">
        <v>2130</v>
      </c>
      <c r="N530" s="28" t="s">
        <v>2494</v>
      </c>
      <c r="O530" s="28" t="s">
        <v>2016</v>
      </c>
      <c r="P530" s="29">
        <v>913</v>
      </c>
      <c r="Q530" s="28" t="s">
        <v>2017</v>
      </c>
      <c r="R530" s="31">
        <v>12.056872872402</v>
      </c>
      <c r="S530" s="29">
        <v>4868</v>
      </c>
      <c r="T530" s="32">
        <v>75.724444444444003</v>
      </c>
      <c r="U530" s="32">
        <v>0</v>
      </c>
      <c r="V530" s="31">
        <v>12.056872872402</v>
      </c>
      <c r="W530" s="36">
        <v>46099</v>
      </c>
      <c r="X530" s="36">
        <v>46099</v>
      </c>
    </row>
    <row r="531" spans="1:24" ht="15.75" thickBot="1" x14ac:dyDescent="0.3">
      <c r="A531" t="str">
        <f t="shared" si="8"/>
        <v>PCPE23943IN03.H</v>
      </c>
      <c r="B531" s="22" t="s">
        <v>3536</v>
      </c>
      <c r="C531" s="21"/>
      <c r="D531" s="22" t="s">
        <v>3537</v>
      </c>
      <c r="E531" s="21"/>
      <c r="F531" s="22" t="s">
        <v>2030</v>
      </c>
      <c r="G531" s="28" t="s">
        <v>2012</v>
      </c>
      <c r="H531" s="22" t="s">
        <v>3459</v>
      </c>
      <c r="I531" s="22" t="s">
        <v>3460</v>
      </c>
      <c r="J531" s="22" t="s">
        <v>261</v>
      </c>
      <c r="K531" s="22" t="s">
        <v>262</v>
      </c>
      <c r="L531" s="22" t="s">
        <v>3318</v>
      </c>
      <c r="M531" s="22" t="s">
        <v>2130</v>
      </c>
      <c r="N531" s="28" t="s">
        <v>2494</v>
      </c>
      <c r="O531" s="28" t="s">
        <v>2016</v>
      </c>
      <c r="P531" s="29">
        <v>497</v>
      </c>
      <c r="Q531" s="28" t="s">
        <v>2017</v>
      </c>
      <c r="R531" s="31">
        <v>12.369337979094</v>
      </c>
      <c r="S531" s="29">
        <v>2583</v>
      </c>
      <c r="T531" s="32">
        <v>40.18</v>
      </c>
      <c r="U531" s="32">
        <v>0</v>
      </c>
      <c r="V531" s="31">
        <v>12.369337979094</v>
      </c>
      <c r="W531" s="36">
        <v>46099</v>
      </c>
      <c r="X531" s="36">
        <v>46099</v>
      </c>
    </row>
    <row r="532" spans="1:24" ht="15.75" thickBot="1" x14ac:dyDescent="0.3">
      <c r="A532" t="str">
        <f t="shared" si="8"/>
        <v>PCPE27407AR02.HA</v>
      </c>
      <c r="B532" s="22" t="s">
        <v>3538</v>
      </c>
      <c r="C532" s="21"/>
      <c r="D532" s="22" t="s">
        <v>3539</v>
      </c>
      <c r="E532" s="21"/>
      <c r="F532" s="22" t="s">
        <v>2030</v>
      </c>
      <c r="G532" s="28" t="s">
        <v>2012</v>
      </c>
      <c r="H532" s="22" t="s">
        <v>3459</v>
      </c>
      <c r="I532" s="22" t="s">
        <v>3460</v>
      </c>
      <c r="J532" s="22" t="s">
        <v>261</v>
      </c>
      <c r="K532" s="22" t="s">
        <v>262</v>
      </c>
      <c r="L532" s="22" t="s">
        <v>3318</v>
      </c>
      <c r="M532" s="22" t="s">
        <v>2130</v>
      </c>
      <c r="N532" s="28" t="s">
        <v>2494</v>
      </c>
      <c r="O532" s="28" t="s">
        <v>2016</v>
      </c>
      <c r="P532" s="29">
        <v>1148</v>
      </c>
      <c r="Q532" s="28" t="s">
        <v>2017</v>
      </c>
      <c r="R532" s="31">
        <v>12.619699042406999</v>
      </c>
      <c r="S532" s="29">
        <v>5848</v>
      </c>
      <c r="T532" s="32">
        <v>90.968888888888003</v>
      </c>
      <c r="U532" s="32">
        <v>0</v>
      </c>
      <c r="V532" s="31">
        <v>12.619699042406999</v>
      </c>
      <c r="W532" s="36">
        <v>46099</v>
      </c>
      <c r="X532" s="36">
        <v>46099</v>
      </c>
    </row>
    <row r="533" spans="1:24" ht="15.75" thickBot="1" x14ac:dyDescent="0.3">
      <c r="A533" t="str">
        <f t="shared" si="8"/>
        <v>PCPE41018APIA04</v>
      </c>
      <c r="B533" s="22" t="s">
        <v>3540</v>
      </c>
      <c r="C533" s="22" t="s">
        <v>3541</v>
      </c>
      <c r="D533" s="22" t="s">
        <v>3542</v>
      </c>
      <c r="E533" s="21"/>
      <c r="F533" s="22" t="s">
        <v>2030</v>
      </c>
      <c r="G533" s="28" t="s">
        <v>2012</v>
      </c>
      <c r="H533" s="22" t="s">
        <v>3543</v>
      </c>
      <c r="I533" s="22" t="s">
        <v>3544</v>
      </c>
      <c r="J533" s="22" t="s">
        <v>261</v>
      </c>
      <c r="K533" s="22" t="s">
        <v>924</v>
      </c>
      <c r="L533" s="22" t="s">
        <v>3545</v>
      </c>
      <c r="M533" s="22" t="s">
        <v>2130</v>
      </c>
      <c r="N533" s="28" t="s">
        <v>2494</v>
      </c>
      <c r="O533" s="28" t="s">
        <v>2016</v>
      </c>
      <c r="P533" s="29">
        <v>6641</v>
      </c>
      <c r="Q533" s="28" t="s">
        <v>2017</v>
      </c>
      <c r="R533" s="31">
        <v>12.338056429438</v>
      </c>
      <c r="S533" s="29">
        <v>34602</v>
      </c>
      <c r="T533" s="32">
        <v>538.25333333333299</v>
      </c>
      <c r="U533" s="32">
        <v>0</v>
      </c>
      <c r="V533" s="31">
        <v>12.338056429438</v>
      </c>
      <c r="W533" s="36">
        <v>46099</v>
      </c>
      <c r="X533" s="36">
        <v>46099</v>
      </c>
    </row>
    <row r="534" spans="1:24" ht="15.75" thickBot="1" x14ac:dyDescent="0.3">
      <c r="A534" t="str">
        <f t="shared" si="8"/>
        <v>PCSW520771S300</v>
      </c>
      <c r="B534" s="22" t="s">
        <v>3546</v>
      </c>
      <c r="C534" s="22" t="s">
        <v>3547</v>
      </c>
      <c r="D534" s="22" t="s">
        <v>2959</v>
      </c>
      <c r="E534" s="22" t="s">
        <v>2960</v>
      </c>
      <c r="F534" s="22" t="s">
        <v>2961</v>
      </c>
      <c r="G534" s="28" t="s">
        <v>2012</v>
      </c>
      <c r="H534" s="22" t="s">
        <v>2962</v>
      </c>
      <c r="I534" s="22" t="s">
        <v>2963</v>
      </c>
      <c r="J534" s="22" t="s">
        <v>261</v>
      </c>
      <c r="K534" s="22" t="s">
        <v>924</v>
      </c>
      <c r="L534" s="22" t="s">
        <v>2964</v>
      </c>
      <c r="M534" s="22" t="s">
        <v>2130</v>
      </c>
      <c r="N534" s="28" t="s">
        <v>2494</v>
      </c>
      <c r="O534" s="28" t="s">
        <v>2016</v>
      </c>
      <c r="P534" s="29">
        <v>99221</v>
      </c>
      <c r="Q534" s="28" t="s">
        <v>2017</v>
      </c>
      <c r="R534" s="31">
        <v>12.324851761812999</v>
      </c>
      <c r="S534" s="29">
        <v>517531</v>
      </c>
      <c r="T534" s="32">
        <v>8050.4822222222201</v>
      </c>
      <c r="U534" s="32">
        <v>0</v>
      </c>
      <c r="V534" s="31">
        <v>12.324851761812999</v>
      </c>
      <c r="W534" s="36">
        <v>46099</v>
      </c>
      <c r="X534" s="36">
        <v>46099</v>
      </c>
    </row>
    <row r="535" spans="1:24" ht="15.75" thickBot="1" x14ac:dyDescent="0.3">
      <c r="A535" t="str">
        <f t="shared" si="8"/>
        <v>RMSDT68566220RL</v>
      </c>
      <c r="B535" s="22" t="s">
        <v>3548</v>
      </c>
      <c r="C535" s="22" t="s">
        <v>3549</v>
      </c>
      <c r="D535" s="22" t="s">
        <v>3550</v>
      </c>
      <c r="E535" s="22" t="s">
        <v>3123</v>
      </c>
      <c r="F535" s="22" t="s">
        <v>3551</v>
      </c>
      <c r="G535" s="28" t="s">
        <v>2012</v>
      </c>
      <c r="H535" s="22" t="s">
        <v>3552</v>
      </c>
      <c r="I535" s="22" t="s">
        <v>3553</v>
      </c>
      <c r="J535" s="22" t="s">
        <v>394</v>
      </c>
      <c r="K535" s="22" t="s">
        <v>924</v>
      </c>
      <c r="L535" s="22" t="s">
        <v>2558</v>
      </c>
      <c r="M535" s="22" t="s">
        <v>2532</v>
      </c>
      <c r="N535" s="28" t="s">
        <v>2494</v>
      </c>
      <c r="O535" s="28" t="s">
        <v>2016</v>
      </c>
      <c r="P535" s="29">
        <v>206920</v>
      </c>
      <c r="Q535" s="28" t="s">
        <v>3554</v>
      </c>
      <c r="R535" s="31">
        <v>12.771777241194</v>
      </c>
      <c r="S535" s="34">
        <v>1041515.19</v>
      </c>
      <c r="T535" s="32">
        <v>16201.347400000001</v>
      </c>
      <c r="U535" s="32">
        <v>0</v>
      </c>
      <c r="V535" s="31">
        <v>12.771777241194</v>
      </c>
      <c r="W535" s="36">
        <v>46099</v>
      </c>
      <c r="X535" s="36">
        <v>46099</v>
      </c>
    </row>
    <row r="536" spans="1:24" ht="15.75" thickBot="1" x14ac:dyDescent="0.3">
      <c r="A536" t="str">
        <f t="shared" si="8"/>
        <v>RMSE10665</v>
      </c>
      <c r="B536" s="22" t="s">
        <v>3555</v>
      </c>
      <c r="C536" s="22" t="s">
        <v>3556</v>
      </c>
      <c r="D536" s="22" t="s">
        <v>3557</v>
      </c>
      <c r="E536" s="22" t="s">
        <v>2527</v>
      </c>
      <c r="F536" s="22" t="s">
        <v>3558</v>
      </c>
      <c r="G536" s="28" t="s">
        <v>2012</v>
      </c>
      <c r="H536" s="22" t="s">
        <v>2549</v>
      </c>
      <c r="I536" s="22" t="s">
        <v>2550</v>
      </c>
      <c r="J536" s="22" t="s">
        <v>261</v>
      </c>
      <c r="K536" s="22" t="s">
        <v>924</v>
      </c>
      <c r="L536" s="22" t="s">
        <v>2531</v>
      </c>
      <c r="M536" s="22" t="s">
        <v>2532</v>
      </c>
      <c r="N536" s="28" t="s">
        <v>2494</v>
      </c>
      <c r="O536" s="28" t="s">
        <v>2016</v>
      </c>
      <c r="P536" s="29">
        <v>12916.69</v>
      </c>
      <c r="Q536" s="28" t="s">
        <v>1164</v>
      </c>
      <c r="R536" s="31">
        <v>12.289352033059</v>
      </c>
      <c r="S536" s="34">
        <v>67567.324999999997</v>
      </c>
      <c r="T536" s="32">
        <v>1051.04727777778</v>
      </c>
      <c r="U536" s="32">
        <v>0</v>
      </c>
      <c r="V536" s="31">
        <v>12.289352033059</v>
      </c>
      <c r="W536" s="36">
        <v>46099</v>
      </c>
      <c r="X536" s="36">
        <v>46099</v>
      </c>
    </row>
    <row r="537" spans="1:24" ht="15.75" thickBot="1" x14ac:dyDescent="0.3">
      <c r="A537" t="str">
        <f t="shared" si="8"/>
        <v>RMSE10832</v>
      </c>
      <c r="B537" s="22" t="s">
        <v>3559</v>
      </c>
      <c r="C537" s="22" t="s">
        <v>3560</v>
      </c>
      <c r="D537" s="22" t="s">
        <v>3561</v>
      </c>
      <c r="E537" s="22" t="s">
        <v>2527</v>
      </c>
      <c r="F537" s="22" t="s">
        <v>3558</v>
      </c>
      <c r="G537" s="28" t="s">
        <v>2012</v>
      </c>
      <c r="H537" s="22" t="s">
        <v>2549</v>
      </c>
      <c r="I537" s="22" t="s">
        <v>2550</v>
      </c>
      <c r="J537" s="22" t="s">
        <v>261</v>
      </c>
      <c r="K537" s="22" t="s">
        <v>924</v>
      </c>
      <c r="L537" s="22" t="s">
        <v>2531</v>
      </c>
      <c r="M537" s="22" t="s">
        <v>2532</v>
      </c>
      <c r="N537" s="28" t="s">
        <v>2494</v>
      </c>
      <c r="O537" s="28" t="s">
        <v>2016</v>
      </c>
      <c r="P537" s="29">
        <v>7145.57</v>
      </c>
      <c r="Q537" s="28" t="s">
        <v>1164</v>
      </c>
      <c r="R537" s="31">
        <v>12.682706631401</v>
      </c>
      <c r="S537" s="34">
        <v>36219.245999999999</v>
      </c>
      <c r="T537" s="32">
        <v>563.41049333333297</v>
      </c>
      <c r="U537" s="32">
        <v>0</v>
      </c>
      <c r="V537" s="31">
        <v>12.682706631401</v>
      </c>
      <c r="W537" s="36">
        <v>46099</v>
      </c>
      <c r="X537" s="36">
        <v>46099</v>
      </c>
    </row>
    <row r="538" spans="1:24" ht="15.75" thickBot="1" x14ac:dyDescent="0.3">
      <c r="A538" t="str">
        <f t="shared" si="8"/>
        <v>RMSF10738/9</v>
      </c>
      <c r="B538" s="22" t="s">
        <v>3562</v>
      </c>
      <c r="C538" s="22" t="s">
        <v>3563</v>
      </c>
      <c r="D538" s="22" t="s">
        <v>3564</v>
      </c>
      <c r="E538" s="22" t="s">
        <v>2527</v>
      </c>
      <c r="F538" s="22" t="s">
        <v>3565</v>
      </c>
      <c r="G538" s="28" t="s">
        <v>2012</v>
      </c>
      <c r="H538" s="22" t="s">
        <v>2013</v>
      </c>
      <c r="I538" s="21"/>
      <c r="J538" s="22" t="s">
        <v>364</v>
      </c>
      <c r="K538" s="22" t="s">
        <v>924</v>
      </c>
      <c r="L538" s="22" t="s">
        <v>2531</v>
      </c>
      <c r="M538" s="22" t="s">
        <v>2532</v>
      </c>
      <c r="N538" s="28" t="s">
        <v>2494</v>
      </c>
      <c r="O538" s="28" t="s">
        <v>2016</v>
      </c>
      <c r="P538" s="29">
        <v>67320</v>
      </c>
      <c r="Q538" s="28" t="s">
        <v>1164</v>
      </c>
      <c r="R538" s="31">
        <v>12.598994072507001</v>
      </c>
      <c r="S538" s="34">
        <v>343496.81099999999</v>
      </c>
      <c r="T538" s="32">
        <v>5343.2837266666702</v>
      </c>
      <c r="U538" s="32">
        <v>0</v>
      </c>
      <c r="V538" s="31">
        <v>12.598994072507001</v>
      </c>
      <c r="W538" s="36">
        <v>46099</v>
      </c>
      <c r="X538" s="36">
        <v>46099</v>
      </c>
    </row>
    <row r="539" spans="1:24" ht="15.75" thickBot="1" x14ac:dyDescent="0.3">
      <c r="A539" t="str">
        <f t="shared" si="8"/>
        <v>RMSWL68436048/9</v>
      </c>
      <c r="B539" s="22" t="s">
        <v>3566</v>
      </c>
      <c r="C539" s="22" t="s">
        <v>3567</v>
      </c>
      <c r="D539" s="22" t="s">
        <v>3568</v>
      </c>
      <c r="E539" s="22" t="s">
        <v>2527</v>
      </c>
      <c r="F539" s="22" t="s">
        <v>3569</v>
      </c>
      <c r="G539" s="28" t="s">
        <v>2012</v>
      </c>
      <c r="H539" s="22" t="s">
        <v>3570</v>
      </c>
      <c r="I539" s="22" t="s">
        <v>3571</v>
      </c>
      <c r="J539" s="22" t="s">
        <v>1117</v>
      </c>
      <c r="K539" s="22" t="s">
        <v>924</v>
      </c>
      <c r="L539" s="22" t="s">
        <v>2531</v>
      </c>
      <c r="M539" s="22" t="s">
        <v>2532</v>
      </c>
      <c r="N539" s="28" t="s">
        <v>2494</v>
      </c>
      <c r="O539" s="28" t="s">
        <v>2016</v>
      </c>
      <c r="P539" s="29">
        <v>7384.94</v>
      </c>
      <c r="Q539" s="28" t="s">
        <v>1164</v>
      </c>
      <c r="R539" s="31">
        <v>12.986987762975</v>
      </c>
      <c r="S539" s="34">
        <v>36555.523999999998</v>
      </c>
      <c r="T539" s="32">
        <v>568.64148444444402</v>
      </c>
      <c r="U539" s="32">
        <v>0</v>
      </c>
      <c r="V539" s="31">
        <v>12.986987762975</v>
      </c>
      <c r="W539" s="36">
        <v>46099</v>
      </c>
      <c r="X539" s="36">
        <v>46099</v>
      </c>
    </row>
    <row r="540" spans="1:24" ht="15.75" thickBot="1" x14ac:dyDescent="0.3">
      <c r="A540" t="str">
        <f t="shared" si="8"/>
        <v>ASYHS54367W16</v>
      </c>
      <c r="B540" s="22" t="s">
        <v>1720</v>
      </c>
      <c r="C540" s="22" t="s">
        <v>2997</v>
      </c>
      <c r="D540" s="22" t="s">
        <v>2998</v>
      </c>
      <c r="E540" s="22" t="s">
        <v>3572</v>
      </c>
      <c r="F540" s="22" t="s">
        <v>3573</v>
      </c>
      <c r="G540" s="28" t="s">
        <v>2012</v>
      </c>
      <c r="H540" s="22" t="s">
        <v>2055</v>
      </c>
      <c r="I540" s="21"/>
      <c r="J540" s="22" t="s">
        <v>261</v>
      </c>
      <c r="K540" s="22" t="s">
        <v>924</v>
      </c>
      <c r="L540" s="21"/>
      <c r="M540" s="22" t="s">
        <v>2034</v>
      </c>
      <c r="N540" s="28" t="s">
        <v>2015</v>
      </c>
      <c r="O540" s="28" t="s">
        <v>2016</v>
      </c>
      <c r="P540" s="29">
        <v>3402</v>
      </c>
      <c r="Q540" s="28" t="s">
        <v>2017</v>
      </c>
      <c r="R540" s="31">
        <v>13.001605136436</v>
      </c>
      <c r="S540" s="29">
        <v>16821</v>
      </c>
      <c r="T540" s="32">
        <v>261.66000000000003</v>
      </c>
      <c r="U540" s="32">
        <v>0</v>
      </c>
      <c r="V540" s="31">
        <v>13.001605136436</v>
      </c>
      <c r="W540" s="36">
        <v>46100</v>
      </c>
      <c r="X540" s="36">
        <v>46100</v>
      </c>
    </row>
    <row r="541" spans="1:24" ht="15.75" thickBot="1" x14ac:dyDescent="0.3">
      <c r="A541" t="str">
        <f t="shared" si="8"/>
        <v>DET26112A57A</v>
      </c>
      <c r="B541" s="22" t="s">
        <v>1529</v>
      </c>
      <c r="C541" s="22" t="s">
        <v>2159</v>
      </c>
      <c r="D541" s="22" t="s">
        <v>3433</v>
      </c>
      <c r="E541" s="22" t="s">
        <v>2159</v>
      </c>
      <c r="F541" s="22" t="s">
        <v>3574</v>
      </c>
      <c r="G541" s="28" t="s">
        <v>2012</v>
      </c>
      <c r="H541" s="22" t="s">
        <v>2080</v>
      </c>
      <c r="I541" s="21"/>
      <c r="J541" s="22" t="s">
        <v>494</v>
      </c>
      <c r="K541" s="22" t="s">
        <v>924</v>
      </c>
      <c r="L541" s="21"/>
      <c r="M541" s="22" t="s">
        <v>2034</v>
      </c>
      <c r="N541" s="28" t="s">
        <v>2015</v>
      </c>
      <c r="O541" s="28" t="s">
        <v>2016</v>
      </c>
      <c r="P541" s="29">
        <v>3592</v>
      </c>
      <c r="Q541" s="28" t="s">
        <v>2017</v>
      </c>
      <c r="R541" s="31">
        <v>13.169515553455</v>
      </c>
      <c r="S541" s="29">
        <v>17534</v>
      </c>
      <c r="T541" s="32">
        <v>272.75111111111102</v>
      </c>
      <c r="U541" s="32">
        <v>0</v>
      </c>
      <c r="V541" s="31">
        <v>13.169515553455</v>
      </c>
      <c r="W541" s="36">
        <v>46100</v>
      </c>
      <c r="X541" s="36">
        <v>46100</v>
      </c>
    </row>
    <row r="542" spans="1:24" ht="15.75" thickBot="1" x14ac:dyDescent="0.3">
      <c r="A542" t="str">
        <f t="shared" si="8"/>
        <v>DET58112C05A</v>
      </c>
      <c r="B542" s="22" t="s">
        <v>1220</v>
      </c>
      <c r="C542" s="22" t="s">
        <v>2076</v>
      </c>
      <c r="D542" s="22" t="s">
        <v>3575</v>
      </c>
      <c r="E542" s="22" t="s">
        <v>3576</v>
      </c>
      <c r="F542" s="22" t="s">
        <v>3577</v>
      </c>
      <c r="G542" s="28" t="s">
        <v>2012</v>
      </c>
      <c r="H542" s="22" t="s">
        <v>2080</v>
      </c>
      <c r="I542" s="21"/>
      <c r="J542" s="22" t="s">
        <v>261</v>
      </c>
      <c r="K542" s="22" t="s">
        <v>924</v>
      </c>
      <c r="L542" s="21"/>
      <c r="M542" s="22" t="s">
        <v>2034</v>
      </c>
      <c r="N542" s="28" t="s">
        <v>2015</v>
      </c>
      <c r="O542" s="28" t="s">
        <v>2016</v>
      </c>
      <c r="P542" s="29">
        <v>12091</v>
      </c>
      <c r="Q542" s="28" t="s">
        <v>2017</v>
      </c>
      <c r="R542" s="31">
        <v>13.523768097930001</v>
      </c>
      <c r="S542" s="29">
        <v>57475</v>
      </c>
      <c r="T542" s="32">
        <v>894.05555555555497</v>
      </c>
      <c r="U542" s="32">
        <v>0</v>
      </c>
      <c r="V542" s="31">
        <v>13.523768097930001</v>
      </c>
      <c r="W542" s="36">
        <v>46100</v>
      </c>
      <c r="X542" s="36">
        <v>46100</v>
      </c>
    </row>
    <row r="543" spans="1:24" ht="15.75" thickBot="1" x14ac:dyDescent="0.3">
      <c r="A543" t="str">
        <f t="shared" si="8"/>
        <v>DETE279E12A</v>
      </c>
      <c r="B543" s="22" t="s">
        <v>1555</v>
      </c>
      <c r="C543" s="22" t="s">
        <v>3578</v>
      </c>
      <c r="D543" s="22" t="s">
        <v>1556</v>
      </c>
      <c r="E543" s="21"/>
      <c r="F543" s="22" t="s">
        <v>3579</v>
      </c>
      <c r="G543" s="28" t="s">
        <v>2012</v>
      </c>
      <c r="H543" s="22" t="s">
        <v>2080</v>
      </c>
      <c r="I543" s="21"/>
      <c r="J543" s="22" t="s">
        <v>261</v>
      </c>
      <c r="K543" s="22" t="s">
        <v>924</v>
      </c>
      <c r="L543" s="21"/>
      <c r="M543" s="22" t="s">
        <v>2034</v>
      </c>
      <c r="N543" s="28" t="s">
        <v>2015</v>
      </c>
      <c r="O543" s="28" t="s">
        <v>2016</v>
      </c>
      <c r="P543" s="29">
        <v>3883</v>
      </c>
      <c r="Q543" s="28" t="s">
        <v>2017</v>
      </c>
      <c r="R543" s="31">
        <v>13.164992804779001</v>
      </c>
      <c r="S543" s="29">
        <v>18961</v>
      </c>
      <c r="T543" s="32">
        <v>294.94888888888897</v>
      </c>
      <c r="U543" s="32">
        <v>0</v>
      </c>
      <c r="V543" s="31">
        <v>13.164992804779001</v>
      </c>
      <c r="W543" s="36">
        <v>46100</v>
      </c>
      <c r="X543" s="36">
        <v>46100</v>
      </c>
    </row>
    <row r="544" spans="1:24" ht="15.75" thickBot="1" x14ac:dyDescent="0.3">
      <c r="A544" t="str">
        <f t="shared" si="8"/>
        <v>DETE280K20AB</v>
      </c>
      <c r="B544" s="22" t="s">
        <v>1481</v>
      </c>
      <c r="C544" s="22" t="s">
        <v>3580</v>
      </c>
      <c r="D544" s="22" t="s">
        <v>3581</v>
      </c>
      <c r="E544" s="21"/>
      <c r="F544" s="22" t="s">
        <v>3582</v>
      </c>
      <c r="G544" s="28" t="s">
        <v>2012</v>
      </c>
      <c r="H544" s="22" t="s">
        <v>2013</v>
      </c>
      <c r="I544" s="21"/>
      <c r="J544" s="22" t="s">
        <v>261</v>
      </c>
      <c r="K544" s="22" t="s">
        <v>924</v>
      </c>
      <c r="L544" s="21"/>
      <c r="M544" s="22" t="s">
        <v>2034</v>
      </c>
      <c r="N544" s="28" t="s">
        <v>2015</v>
      </c>
      <c r="O544" s="28" t="s">
        <v>2016</v>
      </c>
      <c r="P544" s="29">
        <v>3488</v>
      </c>
      <c r="Q544" s="28" t="s">
        <v>2017</v>
      </c>
      <c r="R544" s="31">
        <v>13.918595371108999</v>
      </c>
      <c r="S544" s="29">
        <v>16110</v>
      </c>
      <c r="T544" s="32">
        <v>250.6</v>
      </c>
      <c r="U544" s="32">
        <v>0</v>
      </c>
      <c r="V544" s="31">
        <v>13.918595371108999</v>
      </c>
      <c r="W544" s="36">
        <v>46100</v>
      </c>
      <c r="X544" s="36">
        <v>46100</v>
      </c>
    </row>
    <row r="545" spans="1:24" ht="15.75" thickBot="1" x14ac:dyDescent="0.3">
      <c r="A545" t="str">
        <f t="shared" si="8"/>
        <v>DETE28562B</v>
      </c>
      <c r="B545" s="22" t="s">
        <v>1281</v>
      </c>
      <c r="C545" s="22" t="s">
        <v>2466</v>
      </c>
      <c r="D545" s="22" t="s">
        <v>3583</v>
      </c>
      <c r="E545" s="21"/>
      <c r="F545" s="22" t="s">
        <v>3584</v>
      </c>
      <c r="G545" s="28" t="s">
        <v>2012</v>
      </c>
      <c r="H545" s="22" t="s">
        <v>2080</v>
      </c>
      <c r="I545" s="21"/>
      <c r="J545" s="22" t="s">
        <v>261</v>
      </c>
      <c r="K545" s="22" t="s">
        <v>924</v>
      </c>
      <c r="L545" s="21"/>
      <c r="M545" s="22" t="s">
        <v>2034</v>
      </c>
      <c r="N545" s="28" t="s">
        <v>2015</v>
      </c>
      <c r="O545" s="28" t="s">
        <v>2016</v>
      </c>
      <c r="P545" s="29">
        <v>3964</v>
      </c>
      <c r="Q545" s="28" t="s">
        <v>2017</v>
      </c>
      <c r="R545" s="31">
        <v>13.439616656746001</v>
      </c>
      <c r="S545" s="29">
        <v>18961</v>
      </c>
      <c r="T545" s="32">
        <v>294.94888888888897</v>
      </c>
      <c r="U545" s="32">
        <v>0</v>
      </c>
      <c r="V545" s="31">
        <v>13.439616656746001</v>
      </c>
      <c r="W545" s="36">
        <v>46100</v>
      </c>
      <c r="X545" s="36">
        <v>46100</v>
      </c>
    </row>
    <row r="546" spans="1:24" ht="15.75" thickBot="1" x14ac:dyDescent="0.3">
      <c r="A546" t="str">
        <f t="shared" si="8"/>
        <v>DETE513D20A</v>
      </c>
      <c r="B546" s="22" t="s">
        <v>1371</v>
      </c>
      <c r="C546" s="22" t="s">
        <v>2938</v>
      </c>
      <c r="D546" s="22" t="s">
        <v>3585</v>
      </c>
      <c r="E546" s="21"/>
      <c r="F546" s="22" t="s">
        <v>3586</v>
      </c>
      <c r="G546" s="28" t="s">
        <v>2012</v>
      </c>
      <c r="H546" s="22" t="s">
        <v>2013</v>
      </c>
      <c r="I546" s="21"/>
      <c r="J546" s="22" t="s">
        <v>261</v>
      </c>
      <c r="K546" s="22" t="s">
        <v>924</v>
      </c>
      <c r="L546" s="21"/>
      <c r="M546" s="22" t="s">
        <v>2034</v>
      </c>
      <c r="N546" s="28" t="s">
        <v>2015</v>
      </c>
      <c r="O546" s="28" t="s">
        <v>2016</v>
      </c>
      <c r="P546" s="29">
        <v>3404</v>
      </c>
      <c r="Q546" s="28" t="s">
        <v>2017</v>
      </c>
      <c r="R546" s="31">
        <v>13.40943510194</v>
      </c>
      <c r="S546" s="29">
        <v>16319</v>
      </c>
      <c r="T546" s="32">
        <v>253.85111111111101</v>
      </c>
      <c r="U546" s="32">
        <v>0</v>
      </c>
      <c r="V546" s="31">
        <v>13.40943510194</v>
      </c>
      <c r="W546" s="36">
        <v>46100</v>
      </c>
      <c r="X546" s="36">
        <v>46100</v>
      </c>
    </row>
    <row r="547" spans="1:24" ht="15.75" thickBot="1" x14ac:dyDescent="0.3">
      <c r="A547" t="str">
        <f t="shared" si="8"/>
        <v>MB3B 21016A23 AA</v>
      </c>
      <c r="B547" s="22" t="s">
        <v>1238</v>
      </c>
      <c r="C547" s="22" t="s">
        <v>3587</v>
      </c>
      <c r="D547" s="22" t="s">
        <v>3588</v>
      </c>
      <c r="E547" s="21"/>
      <c r="F547" s="22" t="s">
        <v>2030</v>
      </c>
      <c r="G547" s="28" t="s">
        <v>2012</v>
      </c>
      <c r="H547" s="22" t="s">
        <v>2080</v>
      </c>
      <c r="I547" s="21"/>
      <c r="J547" s="22" t="s">
        <v>261</v>
      </c>
      <c r="K547" s="22" t="s">
        <v>924</v>
      </c>
      <c r="L547" s="21"/>
      <c r="M547" s="22" t="s">
        <v>2014</v>
      </c>
      <c r="N547" s="28" t="s">
        <v>2015</v>
      </c>
      <c r="O547" s="28" t="s">
        <v>2016</v>
      </c>
      <c r="P547" s="29">
        <v>3715</v>
      </c>
      <c r="Q547" s="28" t="s">
        <v>2017</v>
      </c>
      <c r="R547" s="31">
        <v>13.982519237203</v>
      </c>
      <c r="S547" s="29">
        <v>17080</v>
      </c>
      <c r="T547" s="32">
        <v>265.68888888888898</v>
      </c>
      <c r="U547" s="32">
        <v>0</v>
      </c>
      <c r="V547" s="31">
        <v>13.982519237203</v>
      </c>
      <c r="W547" s="36">
        <v>46100</v>
      </c>
      <c r="X547" s="36">
        <v>46100</v>
      </c>
    </row>
    <row r="548" spans="1:24" ht="15.75" thickBot="1" x14ac:dyDescent="0.3">
      <c r="A548" t="str">
        <f t="shared" si="8"/>
        <v>N1WB 14A564 SD3ZHE</v>
      </c>
      <c r="B548" s="22" t="s">
        <v>344</v>
      </c>
      <c r="C548" s="22" t="s">
        <v>3589</v>
      </c>
      <c r="D548" s="22" t="s">
        <v>345</v>
      </c>
      <c r="E548" s="22" t="s">
        <v>3590</v>
      </c>
      <c r="F548" s="22" t="s">
        <v>3050</v>
      </c>
      <c r="G548" s="28" t="s">
        <v>2012</v>
      </c>
      <c r="H548" s="22" t="s">
        <v>2080</v>
      </c>
      <c r="I548" s="21"/>
      <c r="J548" s="22" t="s">
        <v>261</v>
      </c>
      <c r="K548" s="22" t="s">
        <v>262</v>
      </c>
      <c r="L548" s="21"/>
      <c r="M548" s="22" t="s">
        <v>2014</v>
      </c>
      <c r="N548" s="28" t="s">
        <v>2015</v>
      </c>
      <c r="O548" s="28" t="s">
        <v>2016</v>
      </c>
      <c r="P548" s="29">
        <v>2462</v>
      </c>
      <c r="Q548" s="28" t="s">
        <v>2017</v>
      </c>
      <c r="R548" s="31">
        <v>13.167340147373</v>
      </c>
      <c r="S548" s="29">
        <v>12020</v>
      </c>
      <c r="T548" s="32">
        <v>186.97777777777799</v>
      </c>
      <c r="U548" s="32">
        <v>0</v>
      </c>
      <c r="V548" s="31">
        <v>13.167340147373</v>
      </c>
      <c r="W548" s="36">
        <v>46100</v>
      </c>
      <c r="X548" s="36">
        <v>46100</v>
      </c>
    </row>
    <row r="549" spans="1:24" ht="15.75" thickBot="1" x14ac:dyDescent="0.3">
      <c r="A549" t="str">
        <f t="shared" si="8"/>
        <v>N1WB 17C791 GA</v>
      </c>
      <c r="B549" s="22" t="s">
        <v>305</v>
      </c>
      <c r="C549" s="22" t="s">
        <v>3591</v>
      </c>
      <c r="D549" s="22" t="s">
        <v>3592</v>
      </c>
      <c r="E549" s="21"/>
      <c r="F549" s="22" t="s">
        <v>3593</v>
      </c>
      <c r="G549" s="28" t="s">
        <v>2012</v>
      </c>
      <c r="H549" s="22" t="s">
        <v>2080</v>
      </c>
      <c r="I549" s="21"/>
      <c r="J549" s="22" t="s">
        <v>261</v>
      </c>
      <c r="K549" s="22" t="s">
        <v>262</v>
      </c>
      <c r="L549" s="21"/>
      <c r="M549" s="22" t="s">
        <v>2014</v>
      </c>
      <c r="N549" s="28" t="s">
        <v>2015</v>
      </c>
      <c r="O549" s="28" t="s">
        <v>2016</v>
      </c>
      <c r="P549" s="29">
        <v>577</v>
      </c>
      <c r="Q549" s="28" t="s">
        <v>2017</v>
      </c>
      <c r="R549" s="31">
        <v>13.702570056467</v>
      </c>
      <c r="S549" s="29">
        <v>2707</v>
      </c>
      <c r="T549" s="32">
        <v>42.108888888888004</v>
      </c>
      <c r="U549" s="32">
        <v>0</v>
      </c>
      <c r="V549" s="31">
        <v>13.702570056467</v>
      </c>
      <c r="W549" s="36">
        <v>46100</v>
      </c>
      <c r="X549" s="36">
        <v>46100</v>
      </c>
    </row>
    <row r="550" spans="1:24" ht="15.75" thickBot="1" x14ac:dyDescent="0.3">
      <c r="A550" t="str">
        <f t="shared" si="8"/>
        <v>N1WB E22868 CB</v>
      </c>
      <c r="B550" s="22" t="s">
        <v>1311</v>
      </c>
      <c r="C550" s="22" t="s">
        <v>3594</v>
      </c>
      <c r="D550" s="22" t="s">
        <v>3595</v>
      </c>
      <c r="E550" s="21"/>
      <c r="F550" s="22" t="s">
        <v>2255</v>
      </c>
      <c r="G550" s="28" t="s">
        <v>2012</v>
      </c>
      <c r="H550" s="22" t="s">
        <v>2013</v>
      </c>
      <c r="I550" s="21"/>
      <c r="J550" s="22" t="s">
        <v>261</v>
      </c>
      <c r="K550" s="22" t="s">
        <v>924</v>
      </c>
      <c r="L550" s="21"/>
      <c r="M550" s="22" t="s">
        <v>2014</v>
      </c>
      <c r="N550" s="28" t="s">
        <v>2015</v>
      </c>
      <c r="O550" s="28" t="s">
        <v>2016</v>
      </c>
      <c r="P550" s="29">
        <v>3690</v>
      </c>
      <c r="Q550" s="28" t="s">
        <v>2017</v>
      </c>
      <c r="R550" s="31">
        <v>13.178571428571001</v>
      </c>
      <c r="S550" s="29">
        <v>18000</v>
      </c>
      <c r="T550" s="32">
        <v>280</v>
      </c>
      <c r="U550" s="32">
        <v>0</v>
      </c>
      <c r="V550" s="31">
        <v>13.178571428571001</v>
      </c>
      <c r="W550" s="36">
        <v>46100</v>
      </c>
      <c r="X550" s="36">
        <v>46100</v>
      </c>
    </row>
    <row r="551" spans="1:24" ht="15.75" thickBot="1" x14ac:dyDescent="0.3">
      <c r="A551" t="str">
        <f t="shared" si="8"/>
        <v>N1WB E40631 AE</v>
      </c>
      <c r="B551" s="22" t="s">
        <v>1796</v>
      </c>
      <c r="C551" s="22" t="s">
        <v>3596</v>
      </c>
      <c r="D551" s="22" t="s">
        <v>3597</v>
      </c>
      <c r="E551" s="22" t="s">
        <v>3598</v>
      </c>
      <c r="F551" s="22" t="s">
        <v>2255</v>
      </c>
      <c r="G551" s="28" t="s">
        <v>2012</v>
      </c>
      <c r="H551" s="22" t="s">
        <v>2013</v>
      </c>
      <c r="I551" s="21"/>
      <c r="J551" s="22" t="s">
        <v>261</v>
      </c>
      <c r="K551" s="22" t="s">
        <v>924</v>
      </c>
      <c r="L551" s="21"/>
      <c r="M551" s="22" t="s">
        <v>2014</v>
      </c>
      <c r="N551" s="28" t="s">
        <v>2015</v>
      </c>
      <c r="O551" s="28" t="s">
        <v>2016</v>
      </c>
      <c r="P551" s="29">
        <v>3644</v>
      </c>
      <c r="Q551" s="28" t="s">
        <v>2017</v>
      </c>
      <c r="R551" s="31">
        <v>13.41678939617</v>
      </c>
      <c r="S551" s="29">
        <v>17460</v>
      </c>
      <c r="T551" s="32">
        <v>271.60000000000002</v>
      </c>
      <c r="U551" s="32">
        <v>0</v>
      </c>
      <c r="V551" s="31">
        <v>13.41678939617</v>
      </c>
      <c r="W551" s="36">
        <v>46100</v>
      </c>
      <c r="X551" s="36">
        <v>46100</v>
      </c>
    </row>
    <row r="552" spans="1:24" ht="15.75" thickBot="1" x14ac:dyDescent="0.3">
      <c r="A552" t="str">
        <f t="shared" si="8"/>
        <v>PC30466B</v>
      </c>
      <c r="B552" s="22" t="s">
        <v>1321</v>
      </c>
      <c r="C552" s="22" t="s">
        <v>3599</v>
      </c>
      <c r="D552" s="22" t="s">
        <v>3600</v>
      </c>
      <c r="E552" s="22" t="s">
        <v>3601</v>
      </c>
      <c r="F552" s="22" t="s">
        <v>2139</v>
      </c>
      <c r="G552" s="28" t="s">
        <v>2012</v>
      </c>
      <c r="H552" s="22" t="s">
        <v>2022</v>
      </c>
      <c r="I552" s="21"/>
      <c r="J552" s="22" t="s">
        <v>1117</v>
      </c>
      <c r="K552" s="22" t="s">
        <v>924</v>
      </c>
      <c r="L552" s="21"/>
      <c r="M552" s="22" t="s">
        <v>2014</v>
      </c>
      <c r="N552" s="28" t="s">
        <v>2015</v>
      </c>
      <c r="O552" s="28" t="s">
        <v>2016</v>
      </c>
      <c r="P552" s="29">
        <v>7019</v>
      </c>
      <c r="Q552" s="28" t="s">
        <v>2017</v>
      </c>
      <c r="R552" s="31">
        <v>13.310366624525001</v>
      </c>
      <c r="S552" s="29">
        <v>33900</v>
      </c>
      <c r="T552" s="32">
        <v>527.33333333333303</v>
      </c>
      <c r="U552" s="32">
        <v>0</v>
      </c>
      <c r="V552" s="31">
        <v>13.310366624525001</v>
      </c>
      <c r="W552" s="36">
        <v>46100</v>
      </c>
      <c r="X552" s="36">
        <v>46100</v>
      </c>
    </row>
    <row r="553" spans="1:24" ht="15.75" thickBot="1" x14ac:dyDescent="0.3">
      <c r="A553" t="str">
        <f t="shared" si="8"/>
        <v>PCP18808BA</v>
      </c>
      <c r="B553" s="22" t="s">
        <v>3602</v>
      </c>
      <c r="C553" s="22" t="s">
        <v>3603</v>
      </c>
      <c r="D553" s="22" t="s">
        <v>3604</v>
      </c>
      <c r="E553" s="22" t="s">
        <v>3605</v>
      </c>
      <c r="F553" s="22" t="s">
        <v>2030</v>
      </c>
      <c r="G553" s="28" t="s">
        <v>2012</v>
      </c>
      <c r="H553" s="22" t="s">
        <v>3606</v>
      </c>
      <c r="I553" s="22" t="s">
        <v>3607</v>
      </c>
      <c r="J553" s="22" t="s">
        <v>261</v>
      </c>
      <c r="K553" s="22" t="s">
        <v>262</v>
      </c>
      <c r="L553" s="22" t="s">
        <v>3608</v>
      </c>
      <c r="M553" s="22" t="s">
        <v>2130</v>
      </c>
      <c r="N553" s="28" t="s">
        <v>2494</v>
      </c>
      <c r="O553" s="28" t="s">
        <v>2016</v>
      </c>
      <c r="P553" s="29">
        <v>7358</v>
      </c>
      <c r="Q553" s="28" t="s">
        <v>2017</v>
      </c>
      <c r="R553" s="31">
        <v>13.644905259167</v>
      </c>
      <c r="S553" s="29">
        <v>34666</v>
      </c>
      <c r="T553" s="32">
        <v>539.24888888888904</v>
      </c>
      <c r="U553" s="32">
        <v>0</v>
      </c>
      <c r="V553" s="31">
        <v>13.644905259167</v>
      </c>
      <c r="W553" s="36">
        <v>46100</v>
      </c>
      <c r="X553" s="36">
        <v>46100</v>
      </c>
    </row>
    <row r="554" spans="1:24" ht="15.75" thickBot="1" x14ac:dyDescent="0.3">
      <c r="A554" t="str">
        <f t="shared" si="8"/>
        <v>PCPBOXF-6</v>
      </c>
      <c r="B554" s="22" t="s">
        <v>3609</v>
      </c>
      <c r="C554" s="21"/>
      <c r="D554" s="22" t="s">
        <v>3610</v>
      </c>
      <c r="E554" s="21"/>
      <c r="F554" s="22" t="s">
        <v>2030</v>
      </c>
      <c r="G554" s="28" t="s">
        <v>2012</v>
      </c>
      <c r="H554" s="22" t="s">
        <v>3611</v>
      </c>
      <c r="I554" s="22" t="s">
        <v>3612</v>
      </c>
      <c r="J554" s="22" t="s">
        <v>364</v>
      </c>
      <c r="K554" s="22" t="s">
        <v>262</v>
      </c>
      <c r="L554" s="22" t="s">
        <v>3325</v>
      </c>
      <c r="M554" s="22" t="s">
        <v>2130</v>
      </c>
      <c r="N554" s="28" t="s">
        <v>2494</v>
      </c>
      <c r="O554" s="28" t="s">
        <v>2016</v>
      </c>
      <c r="P554" s="29">
        <v>24.214919999999999</v>
      </c>
      <c r="Q554" s="28" t="s">
        <v>3613</v>
      </c>
      <c r="R554" s="31">
        <v>13.474128086219</v>
      </c>
      <c r="S554" s="34">
        <v>115.53055000000001</v>
      </c>
      <c r="T554" s="32">
        <v>1.797141888888</v>
      </c>
      <c r="U554" s="32">
        <v>0</v>
      </c>
      <c r="V554" s="31">
        <v>13.474128086219</v>
      </c>
      <c r="W554" s="36">
        <v>46100</v>
      </c>
      <c r="X554" s="36">
        <v>46100</v>
      </c>
    </row>
    <row r="555" spans="1:24" ht="15.75" thickBot="1" x14ac:dyDescent="0.3">
      <c r="A555" t="str">
        <f t="shared" si="8"/>
        <v>PCPE27406IN03.H</v>
      </c>
      <c r="B555" s="22" t="s">
        <v>3614</v>
      </c>
      <c r="C555" s="21"/>
      <c r="D555" s="22" t="s">
        <v>3615</v>
      </c>
      <c r="E555" s="21"/>
      <c r="F555" s="22" t="s">
        <v>2030</v>
      </c>
      <c r="G555" s="28" t="s">
        <v>2012</v>
      </c>
      <c r="H555" s="22" t="s">
        <v>3459</v>
      </c>
      <c r="I555" s="22" t="s">
        <v>3460</v>
      </c>
      <c r="J555" s="22" t="s">
        <v>261</v>
      </c>
      <c r="K555" s="22" t="s">
        <v>262</v>
      </c>
      <c r="L555" s="22" t="s">
        <v>3318</v>
      </c>
      <c r="M555" s="22" t="s">
        <v>2130</v>
      </c>
      <c r="N555" s="28" t="s">
        <v>2494</v>
      </c>
      <c r="O555" s="28" t="s">
        <v>2016</v>
      </c>
      <c r="P555" s="29">
        <v>545</v>
      </c>
      <c r="Q555" s="28" t="s">
        <v>2017</v>
      </c>
      <c r="R555" s="31">
        <v>13.653824741119999</v>
      </c>
      <c r="S555" s="29">
        <v>2566</v>
      </c>
      <c r="T555" s="32">
        <v>39.915555555555002</v>
      </c>
      <c r="U555" s="32">
        <v>0</v>
      </c>
      <c r="V555" s="31">
        <v>13.653824741119999</v>
      </c>
      <c r="W555" s="36">
        <v>46100</v>
      </c>
      <c r="X555" s="36">
        <v>46100</v>
      </c>
    </row>
    <row r="556" spans="1:24" ht="15.75" thickBot="1" x14ac:dyDescent="0.3">
      <c r="A556" t="str">
        <f t="shared" si="8"/>
        <v>PCPW520802-S439MOD</v>
      </c>
      <c r="B556" s="22" t="s">
        <v>3616</v>
      </c>
      <c r="C556" s="22" t="s">
        <v>3617</v>
      </c>
      <c r="D556" s="22" t="s">
        <v>3618</v>
      </c>
      <c r="E556" s="22" t="s">
        <v>3619</v>
      </c>
      <c r="F556" s="22" t="s">
        <v>2030</v>
      </c>
      <c r="G556" s="28" t="s">
        <v>2012</v>
      </c>
      <c r="H556" s="22" t="s">
        <v>3351</v>
      </c>
      <c r="I556" s="22" t="s">
        <v>3352</v>
      </c>
      <c r="J556" s="22" t="s">
        <v>494</v>
      </c>
      <c r="K556" s="22" t="s">
        <v>262</v>
      </c>
      <c r="L556" s="22" t="s">
        <v>3620</v>
      </c>
      <c r="M556" s="22" t="s">
        <v>2130</v>
      </c>
      <c r="N556" s="28" t="s">
        <v>2494</v>
      </c>
      <c r="O556" s="28" t="s">
        <v>2016</v>
      </c>
      <c r="P556" s="29">
        <v>118106</v>
      </c>
      <c r="Q556" s="28" t="s">
        <v>2017</v>
      </c>
      <c r="R556" s="31">
        <v>13.431043454021999</v>
      </c>
      <c r="S556" s="29">
        <v>565297</v>
      </c>
      <c r="T556" s="32">
        <v>8793.5088888888895</v>
      </c>
      <c r="U556" s="32">
        <v>0</v>
      </c>
      <c r="V556" s="31">
        <v>13.431043454021999</v>
      </c>
      <c r="W556" s="36">
        <v>46100</v>
      </c>
      <c r="X556" s="36">
        <v>46100</v>
      </c>
    </row>
    <row r="557" spans="1:24" ht="15.75" thickBot="1" x14ac:dyDescent="0.3">
      <c r="A557" t="str">
        <f t="shared" si="8"/>
        <v>PCS21101A84AB</v>
      </c>
      <c r="B557" s="22" t="s">
        <v>3621</v>
      </c>
      <c r="C557" s="21"/>
      <c r="D557" s="22" t="s">
        <v>3622</v>
      </c>
      <c r="E557" s="22" t="s">
        <v>3623</v>
      </c>
      <c r="F557" s="22" t="s">
        <v>2030</v>
      </c>
      <c r="G557" s="28" t="s">
        <v>2012</v>
      </c>
      <c r="H557" s="22" t="s">
        <v>3624</v>
      </c>
      <c r="I557" s="22" t="s">
        <v>3625</v>
      </c>
      <c r="J557" s="22" t="s">
        <v>494</v>
      </c>
      <c r="K557" s="22" t="s">
        <v>924</v>
      </c>
      <c r="L557" s="22" t="s">
        <v>2501</v>
      </c>
      <c r="M557" s="22" t="s">
        <v>2130</v>
      </c>
      <c r="N557" s="28" t="s">
        <v>2494</v>
      </c>
      <c r="O557" s="28" t="s">
        <v>2016</v>
      </c>
      <c r="P557" s="29">
        <v>7533</v>
      </c>
      <c r="Q557" s="28" t="s">
        <v>2017</v>
      </c>
      <c r="R557" s="31">
        <v>13.933257156010001</v>
      </c>
      <c r="S557" s="29">
        <v>34756</v>
      </c>
      <c r="T557" s="32">
        <v>540.64888888888902</v>
      </c>
      <c r="U557" s="32">
        <v>0</v>
      </c>
      <c r="V557" s="31">
        <v>13.933257156010001</v>
      </c>
      <c r="W557" s="36">
        <v>46100</v>
      </c>
      <c r="X557" s="36">
        <v>46100</v>
      </c>
    </row>
    <row r="558" spans="1:24" ht="15.75" thickBot="1" x14ac:dyDescent="0.3">
      <c r="A558" t="str">
        <f t="shared" si="8"/>
        <v>PCS21200L58AB</v>
      </c>
      <c r="B558" s="22" t="s">
        <v>3626</v>
      </c>
      <c r="C558" s="21"/>
      <c r="D558" s="22" t="s">
        <v>3627</v>
      </c>
      <c r="E558" s="22" t="s">
        <v>3623</v>
      </c>
      <c r="F558" s="22" t="s">
        <v>2030</v>
      </c>
      <c r="G558" s="28" t="s">
        <v>2012</v>
      </c>
      <c r="H558" s="22" t="s">
        <v>3624</v>
      </c>
      <c r="I558" s="22" t="s">
        <v>3625</v>
      </c>
      <c r="J558" s="22" t="s">
        <v>494</v>
      </c>
      <c r="K558" s="22" t="s">
        <v>924</v>
      </c>
      <c r="L558" s="22" t="s">
        <v>3628</v>
      </c>
      <c r="M558" s="22" t="s">
        <v>2130</v>
      </c>
      <c r="N558" s="28" t="s">
        <v>2494</v>
      </c>
      <c r="O558" s="28" t="s">
        <v>2016</v>
      </c>
      <c r="P558" s="29">
        <v>33847</v>
      </c>
      <c r="Q558" s="28" t="s">
        <v>2017</v>
      </c>
      <c r="R558" s="31">
        <v>13.763543370412</v>
      </c>
      <c r="S558" s="29">
        <v>158090</v>
      </c>
      <c r="T558" s="32">
        <v>2459.1777777777802</v>
      </c>
      <c r="U558" s="32">
        <v>0</v>
      </c>
      <c r="V558" s="31">
        <v>13.763543370412</v>
      </c>
      <c r="W558" s="36">
        <v>46100</v>
      </c>
      <c r="X558" s="36">
        <v>46100</v>
      </c>
    </row>
    <row r="559" spans="1:24" ht="15.75" thickBot="1" x14ac:dyDescent="0.3">
      <c r="A559" t="str">
        <f t="shared" si="8"/>
        <v>PCS2661216AC</v>
      </c>
      <c r="B559" s="22" t="s">
        <v>3629</v>
      </c>
      <c r="C559" s="21"/>
      <c r="D559" s="22" t="s">
        <v>3630</v>
      </c>
      <c r="E559" s="21"/>
      <c r="F559" s="22" t="s">
        <v>2030</v>
      </c>
      <c r="G559" s="28" t="s">
        <v>2012</v>
      </c>
      <c r="H559" s="22" t="s">
        <v>3624</v>
      </c>
      <c r="I559" s="22" t="s">
        <v>3625</v>
      </c>
      <c r="J559" s="22" t="s">
        <v>494</v>
      </c>
      <c r="K559" s="22" t="s">
        <v>924</v>
      </c>
      <c r="L559" s="22" t="s">
        <v>2501</v>
      </c>
      <c r="M559" s="22" t="s">
        <v>2130</v>
      </c>
      <c r="N559" s="28" t="s">
        <v>2494</v>
      </c>
      <c r="O559" s="28" t="s">
        <v>2016</v>
      </c>
      <c r="P559" s="29">
        <v>3700</v>
      </c>
      <c r="Q559" s="28" t="s">
        <v>2017</v>
      </c>
      <c r="R559" s="31">
        <v>13.654256191569001</v>
      </c>
      <c r="S559" s="29">
        <v>17420</v>
      </c>
      <c r="T559" s="32">
        <v>270.97777777777799</v>
      </c>
      <c r="U559" s="32">
        <v>0</v>
      </c>
      <c r="V559" s="31">
        <v>13.654256191569001</v>
      </c>
      <c r="W559" s="36">
        <v>46100</v>
      </c>
      <c r="X559" s="36">
        <v>46100</v>
      </c>
    </row>
    <row r="560" spans="1:24" ht="15.75" thickBot="1" x14ac:dyDescent="0.3">
      <c r="A560" t="str">
        <f t="shared" si="8"/>
        <v>PCS2662440AB</v>
      </c>
      <c r="B560" s="22" t="s">
        <v>3631</v>
      </c>
      <c r="C560" s="21"/>
      <c r="D560" s="22" t="s">
        <v>3632</v>
      </c>
      <c r="E560" s="22" t="s">
        <v>3619</v>
      </c>
      <c r="F560" s="22" t="s">
        <v>2030</v>
      </c>
      <c r="G560" s="28" t="s">
        <v>2012</v>
      </c>
      <c r="H560" s="22" t="s">
        <v>3633</v>
      </c>
      <c r="I560" s="22" t="s">
        <v>3634</v>
      </c>
      <c r="J560" s="22" t="s">
        <v>494</v>
      </c>
      <c r="K560" s="22" t="s">
        <v>924</v>
      </c>
      <c r="L560" s="22" t="s">
        <v>3628</v>
      </c>
      <c r="M560" s="22" t="s">
        <v>2130</v>
      </c>
      <c r="N560" s="28" t="s">
        <v>2494</v>
      </c>
      <c r="O560" s="28" t="s">
        <v>2016</v>
      </c>
      <c r="P560" s="29">
        <v>3349</v>
      </c>
      <c r="Q560" s="28" t="s">
        <v>2017</v>
      </c>
      <c r="R560" s="31">
        <v>13.512386690694999</v>
      </c>
      <c r="S560" s="29">
        <v>15933</v>
      </c>
      <c r="T560" s="32">
        <v>247.84666666666701</v>
      </c>
      <c r="U560" s="32">
        <v>0</v>
      </c>
      <c r="V560" s="31">
        <v>13.512386690694999</v>
      </c>
      <c r="W560" s="36">
        <v>46100</v>
      </c>
      <c r="X560" s="36">
        <v>46100</v>
      </c>
    </row>
    <row r="561" spans="1:24" ht="15.75" thickBot="1" x14ac:dyDescent="0.3">
      <c r="A561" t="str">
        <f t="shared" si="8"/>
        <v>REPACK2101514AA</v>
      </c>
      <c r="B561" s="22" t="s">
        <v>1565</v>
      </c>
      <c r="C561" s="22" t="s">
        <v>3635</v>
      </c>
      <c r="D561" s="22" t="s">
        <v>3636</v>
      </c>
      <c r="E561" s="22" t="s">
        <v>3637</v>
      </c>
      <c r="F561" s="22" t="s">
        <v>3638</v>
      </c>
      <c r="G561" s="28" t="s">
        <v>2012</v>
      </c>
      <c r="H561" s="22" t="s">
        <v>2013</v>
      </c>
      <c r="I561" s="21"/>
      <c r="J561" s="22" t="s">
        <v>494</v>
      </c>
      <c r="K561" s="22" t="s">
        <v>924</v>
      </c>
      <c r="L561" s="21"/>
      <c r="M561" s="22" t="s">
        <v>2034</v>
      </c>
      <c r="N561" s="28" t="s">
        <v>2015</v>
      </c>
      <c r="O561" s="28" t="s">
        <v>2016</v>
      </c>
      <c r="P561" s="29">
        <v>23995</v>
      </c>
      <c r="Q561" s="28" t="s">
        <v>2017</v>
      </c>
      <c r="R561" s="31">
        <v>13.184065934065</v>
      </c>
      <c r="S561" s="29">
        <v>117000</v>
      </c>
      <c r="T561" s="32">
        <v>1820</v>
      </c>
      <c r="U561" s="32">
        <v>0</v>
      </c>
      <c r="V561" s="31">
        <v>13.184065934065</v>
      </c>
      <c r="W561" s="36">
        <v>46100</v>
      </c>
      <c r="X561" s="36">
        <v>46100</v>
      </c>
    </row>
    <row r="562" spans="1:24" ht="15.75" thickBot="1" x14ac:dyDescent="0.3">
      <c r="A562" t="str">
        <f t="shared" si="8"/>
        <v>RMPDRL1401P JA6</v>
      </c>
      <c r="B562" s="22" t="s">
        <v>3639</v>
      </c>
      <c r="C562" s="21"/>
      <c r="D562" s="22" t="s">
        <v>3640</v>
      </c>
      <c r="E562" s="22" t="s">
        <v>3117</v>
      </c>
      <c r="F562" s="22" t="s">
        <v>2030</v>
      </c>
      <c r="G562" s="28" t="s">
        <v>2012</v>
      </c>
      <c r="H562" s="22" t="s">
        <v>3378</v>
      </c>
      <c r="I562" s="22" t="s">
        <v>3379</v>
      </c>
      <c r="J562" s="22" t="s">
        <v>494</v>
      </c>
      <c r="K562" s="22" t="s">
        <v>262</v>
      </c>
      <c r="L562" s="22" t="s">
        <v>3380</v>
      </c>
      <c r="M562" s="22" t="s">
        <v>2523</v>
      </c>
      <c r="N562" s="28" t="s">
        <v>2494</v>
      </c>
      <c r="O562" s="28" t="s">
        <v>2016</v>
      </c>
      <c r="P562" s="29">
        <v>18800.866999999998</v>
      </c>
      <c r="Q562" s="28" t="s">
        <v>1164</v>
      </c>
      <c r="R562" s="31">
        <v>13.443939761844</v>
      </c>
      <c r="S562" s="34">
        <v>89901.263000000006</v>
      </c>
      <c r="T562" s="32">
        <v>1398.4640911111101</v>
      </c>
      <c r="U562" s="32">
        <v>0</v>
      </c>
      <c r="V562" s="31">
        <v>13.443939761844</v>
      </c>
      <c r="W562" s="36">
        <v>46100</v>
      </c>
      <c r="X562" s="36">
        <v>46100</v>
      </c>
    </row>
    <row r="563" spans="1:24" ht="15.75" thickBot="1" x14ac:dyDescent="0.3">
      <c r="A563" t="str">
        <f t="shared" si="8"/>
        <v>RMS2131406APIA02</v>
      </c>
      <c r="B563" s="22" t="s">
        <v>3641</v>
      </c>
      <c r="C563" s="22" t="s">
        <v>3642</v>
      </c>
      <c r="D563" s="22" t="s">
        <v>3643</v>
      </c>
      <c r="E563" s="22" t="s">
        <v>2527</v>
      </c>
      <c r="F563" s="22" t="s">
        <v>3644</v>
      </c>
      <c r="G563" s="28" t="s">
        <v>2012</v>
      </c>
      <c r="H563" s="22" t="s">
        <v>2536</v>
      </c>
      <c r="I563" s="22" t="s">
        <v>2537</v>
      </c>
      <c r="J563" s="22" t="s">
        <v>261</v>
      </c>
      <c r="K563" s="22" t="s">
        <v>924</v>
      </c>
      <c r="L563" s="22" t="s">
        <v>2531</v>
      </c>
      <c r="M563" s="22" t="s">
        <v>2532</v>
      </c>
      <c r="N563" s="28" t="s">
        <v>2494</v>
      </c>
      <c r="O563" s="28" t="s">
        <v>2016</v>
      </c>
      <c r="P563" s="29">
        <v>2100.6469999999999</v>
      </c>
      <c r="Q563" s="28" t="s">
        <v>1164</v>
      </c>
      <c r="R563" s="21"/>
      <c r="S563" s="21"/>
      <c r="T563" s="21"/>
      <c r="U563" s="32">
        <v>160</v>
      </c>
      <c r="V563" s="31">
        <v>13.129043749999999</v>
      </c>
      <c r="W563" s="36">
        <v>46100</v>
      </c>
      <c r="X563" s="36">
        <v>46100</v>
      </c>
    </row>
    <row r="564" spans="1:24" ht="15.75" thickBot="1" x14ac:dyDescent="0.3">
      <c r="A564" t="str">
        <f t="shared" si="8"/>
        <v>RMSE10032</v>
      </c>
      <c r="B564" s="22" t="s">
        <v>3645</v>
      </c>
      <c r="C564" s="22" t="s">
        <v>3646</v>
      </c>
      <c r="D564" s="22" t="s">
        <v>3647</v>
      </c>
      <c r="E564" s="22" t="s">
        <v>2527</v>
      </c>
      <c r="F564" s="22" t="s">
        <v>2570</v>
      </c>
      <c r="G564" s="28" t="s">
        <v>2012</v>
      </c>
      <c r="H564" s="22" t="s">
        <v>2716</v>
      </c>
      <c r="I564" s="22" t="s">
        <v>2717</v>
      </c>
      <c r="J564" s="22" t="s">
        <v>261</v>
      </c>
      <c r="K564" s="22" t="s">
        <v>924</v>
      </c>
      <c r="L564" s="22" t="s">
        <v>2531</v>
      </c>
      <c r="M564" s="22" t="s">
        <v>2532</v>
      </c>
      <c r="N564" s="28" t="s">
        <v>2494</v>
      </c>
      <c r="O564" s="28" t="s">
        <v>2016</v>
      </c>
      <c r="P564" s="29">
        <v>1842.912</v>
      </c>
      <c r="Q564" s="28" t="s">
        <v>1164</v>
      </c>
      <c r="R564" s="31">
        <v>13.070548365434</v>
      </c>
      <c r="S564" s="34">
        <v>9064.1119999999992</v>
      </c>
      <c r="T564" s="32">
        <v>140.99729777777799</v>
      </c>
      <c r="U564" s="32">
        <v>0</v>
      </c>
      <c r="V564" s="31">
        <v>13.070548365434</v>
      </c>
      <c r="W564" s="36">
        <v>46100</v>
      </c>
      <c r="X564" s="36">
        <v>46100</v>
      </c>
    </row>
    <row r="565" spans="1:24" ht="15.75" thickBot="1" x14ac:dyDescent="0.3">
      <c r="A565" t="str">
        <f t="shared" si="8"/>
        <v>RMSE28562RL</v>
      </c>
      <c r="B565" s="22" t="s">
        <v>3648</v>
      </c>
      <c r="C565" s="22" t="s">
        <v>3649</v>
      </c>
      <c r="D565" s="22" t="s">
        <v>3650</v>
      </c>
      <c r="E565" s="22" t="s">
        <v>3132</v>
      </c>
      <c r="F565" s="22" t="s">
        <v>3651</v>
      </c>
      <c r="G565" s="28" t="s">
        <v>2012</v>
      </c>
      <c r="H565" s="22" t="s">
        <v>3652</v>
      </c>
      <c r="I565" s="22" t="s">
        <v>3653</v>
      </c>
      <c r="J565" s="22" t="s">
        <v>261</v>
      </c>
      <c r="K565" s="22" t="s">
        <v>924</v>
      </c>
      <c r="L565" s="22" t="s">
        <v>3136</v>
      </c>
      <c r="M565" s="22" t="s">
        <v>2532</v>
      </c>
      <c r="N565" s="28" t="s">
        <v>2494</v>
      </c>
      <c r="O565" s="28" t="s">
        <v>2016</v>
      </c>
      <c r="P565" s="29">
        <v>53044.964999999997</v>
      </c>
      <c r="Q565" s="28" t="s">
        <v>1164</v>
      </c>
      <c r="R565" s="31">
        <v>13.377419793242</v>
      </c>
      <c r="S565" s="34">
        <v>254909.655</v>
      </c>
      <c r="T565" s="32">
        <v>3965.2613000000001</v>
      </c>
      <c r="U565" s="32">
        <v>0</v>
      </c>
      <c r="V565" s="31">
        <v>13.377419793242</v>
      </c>
      <c r="W565" s="36">
        <v>46100</v>
      </c>
      <c r="X565" s="36">
        <v>46100</v>
      </c>
    </row>
    <row r="566" spans="1:24" ht="15.75" thickBot="1" x14ac:dyDescent="0.3">
      <c r="A566" t="str">
        <f t="shared" si="8"/>
        <v>RMSN9BUOA7/8</v>
      </c>
      <c r="B566" s="22" t="s">
        <v>3654</v>
      </c>
      <c r="C566" s="22" t="s">
        <v>3655</v>
      </c>
      <c r="D566" s="22" t="s">
        <v>3656</v>
      </c>
      <c r="E566" s="22" t="s">
        <v>3123</v>
      </c>
      <c r="F566" s="22" t="s">
        <v>3657</v>
      </c>
      <c r="G566" s="28" t="s">
        <v>2012</v>
      </c>
      <c r="H566" s="22" t="s">
        <v>3658</v>
      </c>
      <c r="I566" s="22" t="s">
        <v>3659</v>
      </c>
      <c r="J566" s="22" t="s">
        <v>1086</v>
      </c>
      <c r="K566" s="22" t="s">
        <v>924</v>
      </c>
      <c r="L566" s="22" t="s">
        <v>2558</v>
      </c>
      <c r="M566" s="22" t="s">
        <v>2532</v>
      </c>
      <c r="N566" s="28" t="s">
        <v>2494</v>
      </c>
      <c r="O566" s="28" t="s">
        <v>2016</v>
      </c>
      <c r="P566" s="29">
        <v>51607.841500000002</v>
      </c>
      <c r="Q566" s="28" t="s">
        <v>1164</v>
      </c>
      <c r="R566" s="31">
        <v>13.986171775487</v>
      </c>
      <c r="S566" s="34">
        <v>237209.08100000001</v>
      </c>
      <c r="T566" s="32">
        <v>3689.91903777778</v>
      </c>
      <c r="U566" s="32">
        <v>0</v>
      </c>
      <c r="V566" s="31">
        <v>13.986171775487</v>
      </c>
      <c r="W566" s="36">
        <v>46100</v>
      </c>
      <c r="X566" s="36">
        <v>46100</v>
      </c>
    </row>
    <row r="567" spans="1:24" ht="15.75" thickBot="1" x14ac:dyDescent="0.3">
      <c r="A567" t="str">
        <f t="shared" si="8"/>
        <v>85033340</v>
      </c>
      <c r="B567" s="22" t="s">
        <v>474</v>
      </c>
      <c r="C567" s="22" t="s">
        <v>3660</v>
      </c>
      <c r="D567" s="22" t="s">
        <v>3661</v>
      </c>
      <c r="E567" s="22" t="s">
        <v>3662</v>
      </c>
      <c r="F567" s="22" t="s">
        <v>3663</v>
      </c>
      <c r="G567" s="28" t="s">
        <v>2012</v>
      </c>
      <c r="H567" s="22" t="s">
        <v>2027</v>
      </c>
      <c r="I567" s="21"/>
      <c r="J567" s="22" t="s">
        <v>404</v>
      </c>
      <c r="K567" s="22" t="s">
        <v>262</v>
      </c>
      <c r="L567" s="21"/>
      <c r="M567" s="22" t="s">
        <v>2014</v>
      </c>
      <c r="N567" s="28" t="s">
        <v>2015</v>
      </c>
      <c r="O567" s="28" t="s">
        <v>2016</v>
      </c>
      <c r="P567" s="29">
        <v>436</v>
      </c>
      <c r="Q567" s="28" t="s">
        <v>2017</v>
      </c>
      <c r="R567" s="31">
        <v>14.877161055505001</v>
      </c>
      <c r="S567" s="29">
        <v>1884</v>
      </c>
      <c r="T567" s="32">
        <v>29.306666666666001</v>
      </c>
      <c r="U567" s="32">
        <v>0</v>
      </c>
      <c r="V567" s="31">
        <v>14.877161055505001</v>
      </c>
      <c r="W567" s="36">
        <v>46101</v>
      </c>
      <c r="X567" s="36">
        <v>46101</v>
      </c>
    </row>
    <row r="568" spans="1:24" ht="15.75" thickBot="1" x14ac:dyDescent="0.3">
      <c r="A568" t="str">
        <f t="shared" si="8"/>
        <v>ASYHS7A040AW2</v>
      </c>
      <c r="B568" s="22" t="s">
        <v>1740</v>
      </c>
      <c r="C568" s="22" t="s">
        <v>2141</v>
      </c>
      <c r="D568" s="22" t="s">
        <v>3664</v>
      </c>
      <c r="E568" s="22" t="s">
        <v>3665</v>
      </c>
      <c r="F568" s="22" t="s">
        <v>3666</v>
      </c>
      <c r="G568" s="28" t="s">
        <v>2012</v>
      </c>
      <c r="H568" s="22" t="s">
        <v>2055</v>
      </c>
      <c r="I568" s="21"/>
      <c r="J568" s="22" t="s">
        <v>261</v>
      </c>
      <c r="K568" s="22" t="s">
        <v>924</v>
      </c>
      <c r="L568" s="21"/>
      <c r="M568" s="22" t="s">
        <v>2034</v>
      </c>
      <c r="N568" s="28" t="s">
        <v>2015</v>
      </c>
      <c r="O568" s="28" t="s">
        <v>2016</v>
      </c>
      <c r="P568" s="29">
        <v>3925</v>
      </c>
      <c r="Q568" s="28" t="s">
        <v>2017</v>
      </c>
      <c r="R568" s="31">
        <v>14.390408838338001</v>
      </c>
      <c r="S568" s="29">
        <v>17534</v>
      </c>
      <c r="T568" s="32">
        <v>272.75111111111102</v>
      </c>
      <c r="U568" s="32">
        <v>0</v>
      </c>
      <c r="V568" s="31">
        <v>14.390408838338001</v>
      </c>
      <c r="W568" s="36">
        <v>46101</v>
      </c>
      <c r="X568" s="36">
        <v>46101</v>
      </c>
    </row>
    <row r="569" spans="1:24" ht="15.75" thickBot="1" x14ac:dyDescent="0.3">
      <c r="A569" t="str">
        <f t="shared" si="8"/>
        <v>DET10718OS</v>
      </c>
      <c r="B569" s="22" t="s">
        <v>1579</v>
      </c>
      <c r="C569" s="22" t="s">
        <v>3667</v>
      </c>
      <c r="D569" s="22" t="s">
        <v>2836</v>
      </c>
      <c r="E569" s="21"/>
      <c r="F569" s="22" t="s">
        <v>3668</v>
      </c>
      <c r="G569" s="28" t="s">
        <v>2012</v>
      </c>
      <c r="H569" s="22" t="s">
        <v>2055</v>
      </c>
      <c r="I569" s="21"/>
      <c r="J569" s="22" t="s">
        <v>261</v>
      </c>
      <c r="K569" s="22" t="s">
        <v>924</v>
      </c>
      <c r="L569" s="21"/>
      <c r="M569" s="22" t="s">
        <v>2034</v>
      </c>
      <c r="N569" s="28" t="s">
        <v>2015</v>
      </c>
      <c r="O569" s="28" t="s">
        <v>2016</v>
      </c>
      <c r="P569" s="29">
        <v>4203</v>
      </c>
      <c r="Q569" s="28" t="s">
        <v>2017</v>
      </c>
      <c r="R569" s="31">
        <v>14.220676691729</v>
      </c>
      <c r="S569" s="29">
        <v>19000</v>
      </c>
      <c r="T569" s="32">
        <v>295.555555555556</v>
      </c>
      <c r="U569" s="32">
        <v>0</v>
      </c>
      <c r="V569" s="31">
        <v>14.220676691729</v>
      </c>
      <c r="W569" s="36">
        <v>46101</v>
      </c>
      <c r="X569" s="36">
        <v>46101</v>
      </c>
    </row>
    <row r="570" spans="1:24" ht="15.75" thickBot="1" x14ac:dyDescent="0.3">
      <c r="A570" t="str">
        <f t="shared" si="8"/>
        <v>DET2628286A</v>
      </c>
      <c r="B570" s="22" t="s">
        <v>1530</v>
      </c>
      <c r="C570" s="22" t="s">
        <v>2772</v>
      </c>
      <c r="D570" s="22" t="s">
        <v>3669</v>
      </c>
      <c r="E570" s="22" t="s">
        <v>3670</v>
      </c>
      <c r="F570" s="22" t="s">
        <v>3671</v>
      </c>
      <c r="G570" s="28" t="s">
        <v>2012</v>
      </c>
      <c r="H570" s="22" t="s">
        <v>2080</v>
      </c>
      <c r="I570" s="21"/>
      <c r="J570" s="22" t="s">
        <v>494</v>
      </c>
      <c r="K570" s="22" t="s">
        <v>924</v>
      </c>
      <c r="L570" s="21"/>
      <c r="M570" s="22" t="s">
        <v>2034</v>
      </c>
      <c r="N570" s="28" t="s">
        <v>2015</v>
      </c>
      <c r="O570" s="28" t="s">
        <v>2016</v>
      </c>
      <c r="P570" s="29">
        <v>4123</v>
      </c>
      <c r="Q570" s="28" t="s">
        <v>2017</v>
      </c>
      <c r="R570" s="31">
        <v>14.568790194030001</v>
      </c>
      <c r="S570" s="29">
        <v>18193</v>
      </c>
      <c r="T570" s="32">
        <v>283.00222222222197</v>
      </c>
      <c r="U570" s="32">
        <v>0</v>
      </c>
      <c r="V570" s="31">
        <v>14.568790194030001</v>
      </c>
      <c r="W570" s="36">
        <v>46101</v>
      </c>
      <c r="X570" s="36">
        <v>46101</v>
      </c>
    </row>
    <row r="571" spans="1:24" ht="15.75" thickBot="1" x14ac:dyDescent="0.3">
      <c r="A571" t="str">
        <f t="shared" si="8"/>
        <v>DET68430494</v>
      </c>
      <c r="B571" s="22" t="s">
        <v>1456</v>
      </c>
      <c r="C571" s="22" t="s">
        <v>3072</v>
      </c>
      <c r="D571" s="22" t="s">
        <v>3672</v>
      </c>
      <c r="E571" s="21"/>
      <c r="F571" s="22" t="s">
        <v>3673</v>
      </c>
      <c r="G571" s="28" t="s">
        <v>2012</v>
      </c>
      <c r="H571" s="22" t="s">
        <v>2022</v>
      </c>
      <c r="I571" s="21"/>
      <c r="J571" s="22" t="s">
        <v>1117</v>
      </c>
      <c r="K571" s="22" t="s">
        <v>924</v>
      </c>
      <c r="L571" s="21"/>
      <c r="M571" s="22" t="s">
        <v>2034</v>
      </c>
      <c r="N571" s="28" t="s">
        <v>2015</v>
      </c>
      <c r="O571" s="28" t="s">
        <v>2016</v>
      </c>
      <c r="P571" s="29">
        <v>7100</v>
      </c>
      <c r="Q571" s="28" t="s">
        <v>2017</v>
      </c>
      <c r="R571" s="31">
        <v>14.265176004142999</v>
      </c>
      <c r="S571" s="29">
        <v>31996</v>
      </c>
      <c r="T571" s="32">
        <v>497.71555555555602</v>
      </c>
      <c r="U571" s="32">
        <v>0</v>
      </c>
      <c r="V571" s="31">
        <v>14.265176004142999</v>
      </c>
      <c r="W571" s="36">
        <v>46101</v>
      </c>
      <c r="X571" s="36">
        <v>46101</v>
      </c>
    </row>
    <row r="572" spans="1:24" ht="15.75" thickBot="1" x14ac:dyDescent="0.3">
      <c r="A572" t="str">
        <f t="shared" si="8"/>
        <v>DET68612898AC</v>
      </c>
      <c r="B572" s="22" t="s">
        <v>1268</v>
      </c>
      <c r="C572" s="22" t="s">
        <v>3674</v>
      </c>
      <c r="D572" s="22" t="s">
        <v>3675</v>
      </c>
      <c r="E572" s="21"/>
      <c r="F572" s="22" t="s">
        <v>3676</v>
      </c>
      <c r="G572" s="28" t="s">
        <v>2012</v>
      </c>
      <c r="H572" s="22" t="s">
        <v>3677</v>
      </c>
      <c r="I572" s="21"/>
      <c r="J572" s="22" t="s">
        <v>1164</v>
      </c>
      <c r="K572" s="22" t="s">
        <v>924</v>
      </c>
      <c r="L572" s="21"/>
      <c r="M572" s="22" t="s">
        <v>2034</v>
      </c>
      <c r="N572" s="28" t="s">
        <v>2015</v>
      </c>
      <c r="O572" s="28" t="s">
        <v>2016</v>
      </c>
      <c r="P572" s="29">
        <v>2476</v>
      </c>
      <c r="Q572" s="28" t="s">
        <v>2017</v>
      </c>
      <c r="R572" s="31">
        <v>14.623006758973</v>
      </c>
      <c r="S572" s="29">
        <v>10885</v>
      </c>
      <c r="T572" s="32">
        <v>169.322222222222</v>
      </c>
      <c r="U572" s="32">
        <v>0</v>
      </c>
      <c r="V572" s="31">
        <v>14.623006758973</v>
      </c>
      <c r="W572" s="36">
        <v>46101</v>
      </c>
      <c r="X572" s="36">
        <v>46101</v>
      </c>
    </row>
    <row r="573" spans="1:24" ht="15.75" thickBot="1" x14ac:dyDescent="0.3">
      <c r="A573" t="str">
        <f t="shared" si="8"/>
        <v>DETE279A30C</v>
      </c>
      <c r="B573" s="22" t="s">
        <v>1137</v>
      </c>
      <c r="C573" s="22" t="s">
        <v>2879</v>
      </c>
      <c r="D573" s="22" t="s">
        <v>1138</v>
      </c>
      <c r="E573" s="21"/>
      <c r="F573" s="22" t="s">
        <v>3678</v>
      </c>
      <c r="G573" s="28" t="s">
        <v>2012</v>
      </c>
      <c r="H573" s="22" t="s">
        <v>2080</v>
      </c>
      <c r="I573" s="21"/>
      <c r="J573" s="22" t="s">
        <v>261</v>
      </c>
      <c r="K573" s="22" t="s">
        <v>924</v>
      </c>
      <c r="L573" s="21"/>
      <c r="M573" s="22" t="s">
        <v>2034</v>
      </c>
      <c r="N573" s="28" t="s">
        <v>2015</v>
      </c>
      <c r="O573" s="28" t="s">
        <v>2016</v>
      </c>
      <c r="P573" s="29">
        <v>3542</v>
      </c>
      <c r="Q573" s="28" t="s">
        <v>2017</v>
      </c>
      <c r="R573" s="31">
        <v>14.0036900369</v>
      </c>
      <c r="S573" s="29">
        <v>16260</v>
      </c>
      <c r="T573" s="32">
        <v>252.933333333333</v>
      </c>
      <c r="U573" s="32">
        <v>0</v>
      </c>
      <c r="V573" s="31">
        <v>14.0036900369</v>
      </c>
      <c r="W573" s="36">
        <v>46101</v>
      </c>
      <c r="X573" s="36">
        <v>46101</v>
      </c>
    </row>
    <row r="574" spans="1:24" ht="15.75" thickBot="1" x14ac:dyDescent="0.3">
      <c r="A574" t="str">
        <f t="shared" si="8"/>
        <v>JL34 17626 AF</v>
      </c>
      <c r="B574" s="22" t="s">
        <v>671</v>
      </c>
      <c r="C574" s="22" t="s">
        <v>3679</v>
      </c>
      <c r="D574" s="22" t="s">
        <v>3680</v>
      </c>
      <c r="E574" s="21"/>
      <c r="F574" s="22" t="s">
        <v>3681</v>
      </c>
      <c r="G574" s="28" t="s">
        <v>2012</v>
      </c>
      <c r="H574" s="22" t="s">
        <v>2794</v>
      </c>
      <c r="I574" s="21"/>
      <c r="J574" s="22" t="s">
        <v>494</v>
      </c>
      <c r="K574" s="22" t="s">
        <v>262</v>
      </c>
      <c r="L574" s="21"/>
      <c r="M574" s="22" t="s">
        <v>2014</v>
      </c>
      <c r="N574" s="28" t="s">
        <v>2015</v>
      </c>
      <c r="O574" s="28" t="s">
        <v>2016</v>
      </c>
      <c r="P574" s="29">
        <v>511</v>
      </c>
      <c r="Q574" s="28" t="s">
        <v>2017</v>
      </c>
      <c r="R574" s="31">
        <v>14.002557544757</v>
      </c>
      <c r="S574" s="29">
        <v>2346</v>
      </c>
      <c r="T574" s="32">
        <v>36.493333333332998</v>
      </c>
      <c r="U574" s="32">
        <v>0</v>
      </c>
      <c r="V574" s="31">
        <v>14.002557544757</v>
      </c>
      <c r="W574" s="36">
        <v>46101</v>
      </c>
      <c r="X574" s="36">
        <v>46101</v>
      </c>
    </row>
    <row r="575" spans="1:24" ht="15.75" thickBot="1" x14ac:dyDescent="0.3">
      <c r="A575" t="str">
        <f t="shared" si="8"/>
        <v>KB3B 9D817 AA</v>
      </c>
      <c r="B575" s="22" t="s">
        <v>1847</v>
      </c>
      <c r="C575" s="22" t="s">
        <v>3682</v>
      </c>
      <c r="D575" s="22" t="s">
        <v>3683</v>
      </c>
      <c r="E575" s="21"/>
      <c r="F575" s="22" t="s">
        <v>2030</v>
      </c>
      <c r="G575" s="28" t="s">
        <v>2012</v>
      </c>
      <c r="H575" s="22" t="s">
        <v>2080</v>
      </c>
      <c r="I575" s="21"/>
      <c r="J575" s="22" t="s">
        <v>494</v>
      </c>
      <c r="K575" s="22" t="s">
        <v>924</v>
      </c>
      <c r="L575" s="21"/>
      <c r="M575" s="22" t="s">
        <v>2014</v>
      </c>
      <c r="N575" s="28" t="s">
        <v>2015</v>
      </c>
      <c r="O575" s="28" t="s">
        <v>2016</v>
      </c>
      <c r="P575" s="29">
        <v>13731</v>
      </c>
      <c r="Q575" s="28" t="s">
        <v>2017</v>
      </c>
      <c r="R575" s="31">
        <v>14.914624608966999</v>
      </c>
      <c r="S575" s="29">
        <v>59184</v>
      </c>
      <c r="T575" s="32">
        <v>920.64</v>
      </c>
      <c r="U575" s="32">
        <v>0</v>
      </c>
      <c r="V575" s="31">
        <v>14.914624608966999</v>
      </c>
      <c r="W575" s="36">
        <v>46101</v>
      </c>
      <c r="X575" s="36">
        <v>46101</v>
      </c>
    </row>
    <row r="576" spans="1:24" ht="15.75" thickBot="1" x14ac:dyDescent="0.3">
      <c r="A576" t="str">
        <f t="shared" si="8"/>
        <v>M2DB X502D12 AD</v>
      </c>
      <c r="B576" s="22" t="s">
        <v>955</v>
      </c>
      <c r="C576" s="22" t="s">
        <v>3684</v>
      </c>
      <c r="D576" s="22" t="s">
        <v>2242</v>
      </c>
      <c r="E576" s="21"/>
      <c r="F576" s="22" t="s">
        <v>3685</v>
      </c>
      <c r="G576" s="28" t="s">
        <v>2012</v>
      </c>
      <c r="H576" s="22" t="s">
        <v>2080</v>
      </c>
      <c r="I576" s="21"/>
      <c r="J576" s="22" t="s">
        <v>364</v>
      </c>
      <c r="K576" s="22" t="s">
        <v>924</v>
      </c>
      <c r="L576" s="21"/>
      <c r="M576" s="22" t="s">
        <v>2014</v>
      </c>
      <c r="N576" s="28" t="s">
        <v>2015</v>
      </c>
      <c r="O576" s="28" t="s">
        <v>2016</v>
      </c>
      <c r="P576" s="29">
        <v>420</v>
      </c>
      <c r="Q576" s="28" t="s">
        <v>2017</v>
      </c>
      <c r="R576" s="31">
        <v>14.210526315789</v>
      </c>
      <c r="S576" s="29">
        <v>1900</v>
      </c>
      <c r="T576" s="32">
        <v>29.555555555554999</v>
      </c>
      <c r="U576" s="32">
        <v>0</v>
      </c>
      <c r="V576" s="31">
        <v>14.210526315789</v>
      </c>
      <c r="W576" s="36">
        <v>46101</v>
      </c>
      <c r="X576" s="36">
        <v>46101</v>
      </c>
    </row>
    <row r="577" spans="1:24" ht="15.75" thickBot="1" x14ac:dyDescent="0.3">
      <c r="A577" t="str">
        <f t="shared" si="8"/>
        <v>MLDE27407-M</v>
      </c>
      <c r="B577" s="22" t="s">
        <v>691</v>
      </c>
      <c r="C577" s="22" t="s">
        <v>3686</v>
      </c>
      <c r="D577" s="22" t="s">
        <v>3687</v>
      </c>
      <c r="E577" s="21"/>
      <c r="F577" s="22" t="s">
        <v>2443</v>
      </c>
      <c r="G577" s="28" t="s">
        <v>2012</v>
      </c>
      <c r="H577" s="22" t="s">
        <v>2013</v>
      </c>
      <c r="I577" s="21"/>
      <c r="J577" s="22" t="s">
        <v>261</v>
      </c>
      <c r="K577" s="22" t="s">
        <v>262</v>
      </c>
      <c r="L577" s="21"/>
      <c r="M577" s="22" t="s">
        <v>2034</v>
      </c>
      <c r="N577" s="28" t="s">
        <v>2015</v>
      </c>
      <c r="O577" s="28" t="s">
        <v>2016</v>
      </c>
      <c r="P577" s="29">
        <v>594</v>
      </c>
      <c r="Q577" s="28" t="s">
        <v>2017</v>
      </c>
      <c r="R577" s="31">
        <v>14.887218045112</v>
      </c>
      <c r="S577" s="29">
        <v>2565</v>
      </c>
      <c r="T577" s="32">
        <v>39.9</v>
      </c>
      <c r="U577" s="32">
        <v>0</v>
      </c>
      <c r="V577" s="31">
        <v>14.887218045112</v>
      </c>
      <c r="W577" s="36">
        <v>46101</v>
      </c>
      <c r="X577" s="36">
        <v>46101</v>
      </c>
    </row>
    <row r="578" spans="1:24" ht="15.75" thickBot="1" x14ac:dyDescent="0.3">
      <c r="A578" t="str">
        <f t="shared" si="8"/>
        <v>N1WB E03512 EE3ZHE</v>
      </c>
      <c r="B578" s="22" t="s">
        <v>265</v>
      </c>
      <c r="C578" s="22" t="s">
        <v>3688</v>
      </c>
      <c r="D578" s="22" t="s">
        <v>2812</v>
      </c>
      <c r="E578" s="21"/>
      <c r="F578" s="22" t="s">
        <v>2398</v>
      </c>
      <c r="G578" s="28" t="s">
        <v>2012</v>
      </c>
      <c r="H578" s="22" t="s">
        <v>2055</v>
      </c>
      <c r="I578" s="21"/>
      <c r="J578" s="22" t="s">
        <v>261</v>
      </c>
      <c r="K578" s="22" t="s">
        <v>262</v>
      </c>
      <c r="L578" s="21"/>
      <c r="M578" s="22" t="s">
        <v>2014</v>
      </c>
      <c r="N578" s="28" t="s">
        <v>2015</v>
      </c>
      <c r="O578" s="28" t="s">
        <v>2016</v>
      </c>
      <c r="P578" s="29">
        <v>587</v>
      </c>
      <c r="Q578" s="28" t="s">
        <v>2017</v>
      </c>
      <c r="R578" s="31">
        <v>14.798319327731001</v>
      </c>
      <c r="S578" s="29">
        <v>2550</v>
      </c>
      <c r="T578" s="32">
        <v>39.666666666666003</v>
      </c>
      <c r="U578" s="32">
        <v>0</v>
      </c>
      <c r="V578" s="31">
        <v>14.798319327731001</v>
      </c>
      <c r="W578" s="36">
        <v>46101</v>
      </c>
      <c r="X578" s="36">
        <v>46101</v>
      </c>
    </row>
    <row r="579" spans="1:24" ht="15.75" thickBot="1" x14ac:dyDescent="0.3">
      <c r="A579" t="str">
        <f t="shared" si="8"/>
        <v>PC.WL68425103</v>
      </c>
      <c r="B579" s="22" t="s">
        <v>1767</v>
      </c>
      <c r="C579" s="22" t="s">
        <v>3689</v>
      </c>
      <c r="D579" s="22" t="s">
        <v>3690</v>
      </c>
      <c r="E579" s="22" t="s">
        <v>3691</v>
      </c>
      <c r="F579" s="22" t="s">
        <v>2139</v>
      </c>
      <c r="G579" s="28" t="s">
        <v>2012</v>
      </c>
      <c r="H579" s="22" t="s">
        <v>2022</v>
      </c>
      <c r="I579" s="21"/>
      <c r="J579" s="22" t="s">
        <v>1117</v>
      </c>
      <c r="K579" s="22" t="s">
        <v>924</v>
      </c>
      <c r="L579" s="21"/>
      <c r="M579" s="22" t="s">
        <v>2014</v>
      </c>
      <c r="N579" s="28" t="s">
        <v>2015</v>
      </c>
      <c r="O579" s="28" t="s">
        <v>2016</v>
      </c>
      <c r="P579" s="29">
        <v>7096</v>
      </c>
      <c r="Q579" s="28" t="s">
        <v>2017</v>
      </c>
      <c r="R579" s="31">
        <v>14.166814551907001</v>
      </c>
      <c r="S579" s="29">
        <v>32200</v>
      </c>
      <c r="T579" s="32">
        <v>500.88888888888903</v>
      </c>
      <c r="U579" s="32">
        <v>0</v>
      </c>
      <c r="V579" s="31">
        <v>14.166814551907001</v>
      </c>
      <c r="W579" s="36">
        <v>46101</v>
      </c>
      <c r="X579" s="36">
        <v>46101</v>
      </c>
    </row>
    <row r="580" spans="1:24" ht="15.75" thickBot="1" x14ac:dyDescent="0.3">
      <c r="A580" t="str">
        <f t="shared" si="8"/>
        <v>PCPE23900TOP02.H</v>
      </c>
      <c r="B580" s="22" t="s">
        <v>3692</v>
      </c>
      <c r="C580" s="21"/>
      <c r="D580" s="22" t="s">
        <v>3693</v>
      </c>
      <c r="E580" s="22" t="s">
        <v>3694</v>
      </c>
      <c r="F580" s="22" t="s">
        <v>2030</v>
      </c>
      <c r="G580" s="28" t="s">
        <v>2012</v>
      </c>
      <c r="H580" s="22" t="s">
        <v>3459</v>
      </c>
      <c r="I580" s="22" t="s">
        <v>3460</v>
      </c>
      <c r="J580" s="22" t="s">
        <v>261</v>
      </c>
      <c r="K580" s="22" t="s">
        <v>262</v>
      </c>
      <c r="L580" s="22" t="s">
        <v>3318</v>
      </c>
      <c r="M580" s="22" t="s">
        <v>2130</v>
      </c>
      <c r="N580" s="28" t="s">
        <v>2494</v>
      </c>
      <c r="O580" s="28" t="s">
        <v>2016</v>
      </c>
      <c r="P580" s="29">
        <v>578</v>
      </c>
      <c r="Q580" s="28" t="s">
        <v>2017</v>
      </c>
      <c r="R580" s="31">
        <v>14.401993355481</v>
      </c>
      <c r="S580" s="29">
        <v>2580</v>
      </c>
      <c r="T580" s="32">
        <v>40.133333333332999</v>
      </c>
      <c r="U580" s="32">
        <v>0</v>
      </c>
      <c r="V580" s="31">
        <v>14.401993355481</v>
      </c>
      <c r="W580" s="36">
        <v>46101</v>
      </c>
      <c r="X580" s="36">
        <v>46101</v>
      </c>
    </row>
    <row r="581" spans="1:24" ht="15.75" thickBot="1" x14ac:dyDescent="0.3">
      <c r="A581" t="str">
        <f t="shared" ref="A581:A644" si="9">TRIM(B581)</f>
        <v>PCPE23901TOP01.H</v>
      </c>
      <c r="B581" s="22" t="s">
        <v>3695</v>
      </c>
      <c r="C581" s="21"/>
      <c r="D581" s="22" t="s">
        <v>3696</v>
      </c>
      <c r="E581" s="22" t="s">
        <v>3697</v>
      </c>
      <c r="F581" s="22" t="s">
        <v>2030</v>
      </c>
      <c r="G581" s="28" t="s">
        <v>2012</v>
      </c>
      <c r="H581" s="22" t="s">
        <v>3459</v>
      </c>
      <c r="I581" s="22" t="s">
        <v>3460</v>
      </c>
      <c r="J581" s="22" t="s">
        <v>261</v>
      </c>
      <c r="K581" s="22" t="s">
        <v>262</v>
      </c>
      <c r="L581" s="22" t="s">
        <v>3318</v>
      </c>
      <c r="M581" s="22" t="s">
        <v>2130</v>
      </c>
      <c r="N581" s="28" t="s">
        <v>2494</v>
      </c>
      <c r="O581" s="28" t="s">
        <v>2016</v>
      </c>
      <c r="P581" s="29">
        <v>357</v>
      </c>
      <c r="Q581" s="28" t="s">
        <v>2017</v>
      </c>
      <c r="R581" s="31">
        <v>14.960886571055999</v>
      </c>
      <c r="S581" s="29">
        <v>1534</v>
      </c>
      <c r="T581" s="32">
        <v>23.862222222222002</v>
      </c>
      <c r="U581" s="32">
        <v>0</v>
      </c>
      <c r="V581" s="31">
        <v>14.960886571055999</v>
      </c>
      <c r="W581" s="36">
        <v>46101</v>
      </c>
      <c r="X581" s="36">
        <v>46101</v>
      </c>
    </row>
    <row r="582" spans="1:24" ht="15.75" thickBot="1" x14ac:dyDescent="0.3">
      <c r="A582" t="str">
        <f t="shared" si="9"/>
        <v>PCPE23901TOP02.H</v>
      </c>
      <c r="B582" s="22" t="s">
        <v>3698</v>
      </c>
      <c r="C582" s="21"/>
      <c r="D582" s="22" t="s">
        <v>3699</v>
      </c>
      <c r="E582" s="22" t="s">
        <v>3694</v>
      </c>
      <c r="F582" s="22" t="s">
        <v>2030</v>
      </c>
      <c r="G582" s="28" t="s">
        <v>2012</v>
      </c>
      <c r="H582" s="22" t="s">
        <v>3459</v>
      </c>
      <c r="I582" s="22" t="s">
        <v>3460</v>
      </c>
      <c r="J582" s="22" t="s">
        <v>261</v>
      </c>
      <c r="K582" s="22" t="s">
        <v>262</v>
      </c>
      <c r="L582" s="22" t="s">
        <v>3318</v>
      </c>
      <c r="M582" s="22" t="s">
        <v>2130</v>
      </c>
      <c r="N582" s="28" t="s">
        <v>2494</v>
      </c>
      <c r="O582" s="28" t="s">
        <v>2016</v>
      </c>
      <c r="P582" s="29">
        <v>582</v>
      </c>
      <c r="Q582" s="28" t="s">
        <v>2017</v>
      </c>
      <c r="R582" s="31">
        <v>14.983694719377</v>
      </c>
      <c r="S582" s="29">
        <v>2497</v>
      </c>
      <c r="T582" s="32">
        <v>38.842222222221999</v>
      </c>
      <c r="U582" s="32">
        <v>0</v>
      </c>
      <c r="V582" s="31">
        <v>14.983694719377</v>
      </c>
      <c r="W582" s="36">
        <v>46101</v>
      </c>
      <c r="X582" s="36">
        <v>46101</v>
      </c>
    </row>
    <row r="583" spans="1:24" ht="15.75" thickBot="1" x14ac:dyDescent="0.3">
      <c r="A583" t="str">
        <f t="shared" si="9"/>
        <v>PCPE23943IN01.H</v>
      </c>
      <c r="B583" s="22" t="s">
        <v>3700</v>
      </c>
      <c r="C583" s="21"/>
      <c r="D583" s="22" t="s">
        <v>3701</v>
      </c>
      <c r="E583" s="21"/>
      <c r="F583" s="22" t="s">
        <v>2030</v>
      </c>
      <c r="G583" s="28" t="s">
        <v>2012</v>
      </c>
      <c r="H583" s="22" t="s">
        <v>3459</v>
      </c>
      <c r="I583" s="22" t="s">
        <v>3460</v>
      </c>
      <c r="J583" s="22" t="s">
        <v>261</v>
      </c>
      <c r="K583" s="22" t="s">
        <v>262</v>
      </c>
      <c r="L583" s="22" t="s">
        <v>3318</v>
      </c>
      <c r="M583" s="22" t="s">
        <v>2130</v>
      </c>
      <c r="N583" s="28" t="s">
        <v>2494</v>
      </c>
      <c r="O583" s="28" t="s">
        <v>2016</v>
      </c>
      <c r="P583" s="29">
        <v>611</v>
      </c>
      <c r="Q583" s="28" t="s">
        <v>2017</v>
      </c>
      <c r="R583" s="31">
        <v>14.018048332823</v>
      </c>
      <c r="S583" s="29">
        <v>2802</v>
      </c>
      <c r="T583" s="32">
        <v>43.586666666665998</v>
      </c>
      <c r="U583" s="32">
        <v>0</v>
      </c>
      <c r="V583" s="31">
        <v>14.018048332823</v>
      </c>
      <c r="W583" s="36">
        <v>46101</v>
      </c>
      <c r="X583" s="36">
        <v>46101</v>
      </c>
    </row>
    <row r="584" spans="1:24" ht="15.75" thickBot="1" x14ac:dyDescent="0.3">
      <c r="A584" t="str">
        <f t="shared" si="9"/>
        <v>PCPE27407IN03.H</v>
      </c>
      <c r="B584" s="22" t="s">
        <v>3702</v>
      </c>
      <c r="C584" s="21"/>
      <c r="D584" s="22" t="s">
        <v>3703</v>
      </c>
      <c r="E584" s="21"/>
      <c r="F584" s="22" t="s">
        <v>2030</v>
      </c>
      <c r="G584" s="28" t="s">
        <v>2012</v>
      </c>
      <c r="H584" s="22" t="s">
        <v>3459</v>
      </c>
      <c r="I584" s="22" t="s">
        <v>3460</v>
      </c>
      <c r="J584" s="22" t="s">
        <v>261</v>
      </c>
      <c r="K584" s="22" t="s">
        <v>262</v>
      </c>
      <c r="L584" s="22" t="s">
        <v>3318</v>
      </c>
      <c r="M584" s="22" t="s">
        <v>2130</v>
      </c>
      <c r="N584" s="28" t="s">
        <v>2494</v>
      </c>
      <c r="O584" s="28" t="s">
        <v>2016</v>
      </c>
      <c r="P584" s="29">
        <v>563</v>
      </c>
      <c r="Q584" s="28" t="s">
        <v>2017</v>
      </c>
      <c r="R584" s="31">
        <v>14.110275689223</v>
      </c>
      <c r="S584" s="29">
        <v>2565</v>
      </c>
      <c r="T584" s="32">
        <v>39.9</v>
      </c>
      <c r="U584" s="32">
        <v>0</v>
      </c>
      <c r="V584" s="31">
        <v>14.110275689223</v>
      </c>
      <c r="W584" s="36">
        <v>46101</v>
      </c>
      <c r="X584" s="36">
        <v>46101</v>
      </c>
    </row>
    <row r="585" spans="1:24" ht="15.75" thickBot="1" x14ac:dyDescent="0.3">
      <c r="A585" t="str">
        <f t="shared" si="9"/>
        <v>PCPW506945-S450</v>
      </c>
      <c r="B585" s="22" t="s">
        <v>3704</v>
      </c>
      <c r="C585" s="22" t="s">
        <v>3705</v>
      </c>
      <c r="D585" s="22" t="s">
        <v>3706</v>
      </c>
      <c r="E585" s="22" t="s">
        <v>3619</v>
      </c>
      <c r="F585" s="22" t="s">
        <v>2030</v>
      </c>
      <c r="G585" s="28" t="s">
        <v>2012</v>
      </c>
      <c r="H585" s="22" t="s">
        <v>3707</v>
      </c>
      <c r="I585" s="22" t="s">
        <v>3708</v>
      </c>
      <c r="J585" s="22" t="s">
        <v>364</v>
      </c>
      <c r="K585" s="22" t="s">
        <v>262</v>
      </c>
      <c r="L585" s="22" t="s">
        <v>3709</v>
      </c>
      <c r="M585" s="22" t="s">
        <v>2830</v>
      </c>
      <c r="N585" s="28" t="s">
        <v>2494</v>
      </c>
      <c r="O585" s="28" t="s">
        <v>2016</v>
      </c>
      <c r="P585" s="29">
        <v>9982</v>
      </c>
      <c r="Q585" s="28" t="s">
        <v>2017</v>
      </c>
      <c r="R585" s="31">
        <v>14.195018360394</v>
      </c>
      <c r="S585" s="29">
        <v>45206</v>
      </c>
      <c r="T585" s="32">
        <v>703.20444444444399</v>
      </c>
      <c r="U585" s="32">
        <v>0</v>
      </c>
      <c r="V585" s="31">
        <v>14.195018360394</v>
      </c>
      <c r="W585" s="36">
        <v>46101</v>
      </c>
      <c r="X585" s="36">
        <v>46101</v>
      </c>
    </row>
    <row r="586" spans="1:24" ht="15.75" thickBot="1" x14ac:dyDescent="0.3">
      <c r="A586" t="str">
        <f t="shared" si="9"/>
        <v>PCPW713610-S300</v>
      </c>
      <c r="B586" s="22" t="s">
        <v>3710</v>
      </c>
      <c r="C586" s="22" t="s">
        <v>3711</v>
      </c>
      <c r="D586" s="22" t="s">
        <v>3712</v>
      </c>
      <c r="E586" s="22" t="s">
        <v>3713</v>
      </c>
      <c r="F586" s="22" t="s">
        <v>2030</v>
      </c>
      <c r="G586" s="28" t="s">
        <v>2012</v>
      </c>
      <c r="H586" s="22" t="s">
        <v>3714</v>
      </c>
      <c r="I586" s="22" t="s">
        <v>3715</v>
      </c>
      <c r="J586" s="22" t="s">
        <v>261</v>
      </c>
      <c r="K586" s="22" t="s">
        <v>262</v>
      </c>
      <c r="L586" s="22" t="s">
        <v>3716</v>
      </c>
      <c r="M586" s="22" t="s">
        <v>2130</v>
      </c>
      <c r="N586" s="28" t="s">
        <v>2494</v>
      </c>
      <c r="O586" s="28" t="s">
        <v>2016</v>
      </c>
      <c r="P586" s="29">
        <v>7646</v>
      </c>
      <c r="Q586" s="28" t="s">
        <v>2017</v>
      </c>
      <c r="R586" s="31">
        <v>14.117082297333001</v>
      </c>
      <c r="S586" s="29">
        <v>34818</v>
      </c>
      <c r="T586" s="32">
        <v>541.613333333333</v>
      </c>
      <c r="U586" s="32">
        <v>0</v>
      </c>
      <c r="V586" s="31">
        <v>14.117082297333001</v>
      </c>
      <c r="W586" s="36">
        <v>46101</v>
      </c>
      <c r="X586" s="36">
        <v>46101</v>
      </c>
    </row>
    <row r="587" spans="1:24" ht="15.75" thickBot="1" x14ac:dyDescent="0.3">
      <c r="A587" t="str">
        <f t="shared" si="9"/>
        <v>PCS21101W24AB</v>
      </c>
      <c r="B587" s="22" t="s">
        <v>3717</v>
      </c>
      <c r="C587" s="21"/>
      <c r="D587" s="22" t="s">
        <v>3718</v>
      </c>
      <c r="E587" s="22" t="s">
        <v>3623</v>
      </c>
      <c r="F587" s="22" t="s">
        <v>2030</v>
      </c>
      <c r="G587" s="28" t="s">
        <v>2012</v>
      </c>
      <c r="H587" s="22" t="s">
        <v>3624</v>
      </c>
      <c r="I587" s="22" t="s">
        <v>3625</v>
      </c>
      <c r="J587" s="22" t="s">
        <v>494</v>
      </c>
      <c r="K587" s="22" t="s">
        <v>924</v>
      </c>
      <c r="L587" s="22" t="s">
        <v>2501</v>
      </c>
      <c r="M587" s="22" t="s">
        <v>2130</v>
      </c>
      <c r="N587" s="28" t="s">
        <v>2494</v>
      </c>
      <c r="O587" s="28" t="s">
        <v>2016</v>
      </c>
      <c r="P587" s="29">
        <v>3826</v>
      </c>
      <c r="Q587" s="28" t="s">
        <v>2017</v>
      </c>
      <c r="R587" s="31">
        <v>14.119238969985</v>
      </c>
      <c r="S587" s="29">
        <v>17420</v>
      </c>
      <c r="T587" s="32">
        <v>270.97777777777799</v>
      </c>
      <c r="U587" s="32">
        <v>0</v>
      </c>
      <c r="V587" s="31">
        <v>14.119238969985</v>
      </c>
      <c r="W587" s="36">
        <v>46101</v>
      </c>
      <c r="X587" s="36">
        <v>46101</v>
      </c>
    </row>
    <row r="588" spans="1:24" ht="15.75" thickBot="1" x14ac:dyDescent="0.3">
      <c r="A588" t="str">
        <f t="shared" si="9"/>
        <v>PCS26413A29AB</v>
      </c>
      <c r="B588" s="22" t="s">
        <v>3719</v>
      </c>
      <c r="C588" s="21"/>
      <c r="D588" s="22" t="s">
        <v>3720</v>
      </c>
      <c r="E588" s="22" t="s">
        <v>2833</v>
      </c>
      <c r="F588" s="22" t="s">
        <v>2030</v>
      </c>
      <c r="G588" s="28" t="s">
        <v>2012</v>
      </c>
      <c r="H588" s="22" t="s">
        <v>3721</v>
      </c>
      <c r="I588" s="22" t="s">
        <v>3722</v>
      </c>
      <c r="J588" s="22" t="s">
        <v>494</v>
      </c>
      <c r="K588" s="22" t="s">
        <v>924</v>
      </c>
      <c r="L588" s="22" t="s">
        <v>2829</v>
      </c>
      <c r="M588" s="22" t="s">
        <v>2130</v>
      </c>
      <c r="N588" s="28" t="s">
        <v>2494</v>
      </c>
      <c r="O588" s="28" t="s">
        <v>2016</v>
      </c>
      <c r="P588" s="29">
        <v>3869</v>
      </c>
      <c r="Q588" s="28" t="s">
        <v>2017</v>
      </c>
      <c r="R588" s="31">
        <v>14.269731989181</v>
      </c>
      <c r="S588" s="29">
        <v>17430</v>
      </c>
      <c r="T588" s="32">
        <v>271.13333333333298</v>
      </c>
      <c r="U588" s="32">
        <v>0</v>
      </c>
      <c r="V588" s="31">
        <v>14.269731989181</v>
      </c>
      <c r="W588" s="36">
        <v>46101</v>
      </c>
      <c r="X588" s="36">
        <v>46101</v>
      </c>
    </row>
    <row r="589" spans="1:24" ht="15.75" thickBot="1" x14ac:dyDescent="0.3">
      <c r="A589" t="str">
        <f t="shared" si="9"/>
        <v>PCSE410A77BB</v>
      </c>
      <c r="B589" s="22" t="s">
        <v>3723</v>
      </c>
      <c r="C589" s="21"/>
      <c r="D589" s="22" t="s">
        <v>3724</v>
      </c>
      <c r="E589" s="21"/>
      <c r="F589" s="22" t="s">
        <v>3725</v>
      </c>
      <c r="G589" s="28" t="s">
        <v>2012</v>
      </c>
      <c r="H589" s="22" t="s">
        <v>3329</v>
      </c>
      <c r="I589" s="22" t="s">
        <v>3330</v>
      </c>
      <c r="J589" s="22" t="s">
        <v>261</v>
      </c>
      <c r="K589" s="22" t="s">
        <v>924</v>
      </c>
      <c r="L589" s="22" t="s">
        <v>2501</v>
      </c>
      <c r="M589" s="22" t="s">
        <v>2130</v>
      </c>
      <c r="N589" s="28" t="s">
        <v>2494</v>
      </c>
      <c r="O589" s="28" t="s">
        <v>2016</v>
      </c>
      <c r="P589" s="29">
        <v>3428</v>
      </c>
      <c r="Q589" s="28" t="s">
        <v>2017</v>
      </c>
      <c r="R589" s="31">
        <v>14.260753806473</v>
      </c>
      <c r="S589" s="29">
        <v>15453</v>
      </c>
      <c r="T589" s="32">
        <v>240.38</v>
      </c>
      <c r="U589" s="32">
        <v>0</v>
      </c>
      <c r="V589" s="31">
        <v>14.260753806473</v>
      </c>
      <c r="W589" s="36">
        <v>46101</v>
      </c>
      <c r="X589" s="36">
        <v>46101</v>
      </c>
    </row>
    <row r="590" spans="1:24" ht="15.75" thickBot="1" x14ac:dyDescent="0.3">
      <c r="A590" t="str">
        <f t="shared" si="9"/>
        <v>PCSE413A12BA</v>
      </c>
      <c r="B590" s="22" t="s">
        <v>3726</v>
      </c>
      <c r="C590" s="21"/>
      <c r="D590" s="22" t="s">
        <v>3727</v>
      </c>
      <c r="E590" s="21"/>
      <c r="F590" s="22" t="s">
        <v>2030</v>
      </c>
      <c r="G590" s="28" t="s">
        <v>2012</v>
      </c>
      <c r="H590" s="22" t="s">
        <v>3721</v>
      </c>
      <c r="I590" s="22" t="s">
        <v>3722</v>
      </c>
      <c r="J590" s="22" t="s">
        <v>494</v>
      </c>
      <c r="K590" s="22" t="s">
        <v>924</v>
      </c>
      <c r="L590" s="22" t="s">
        <v>2829</v>
      </c>
      <c r="M590" s="22" t="s">
        <v>2130</v>
      </c>
      <c r="N590" s="28" t="s">
        <v>2494</v>
      </c>
      <c r="O590" s="28" t="s">
        <v>2016</v>
      </c>
      <c r="P590" s="29">
        <v>3955</v>
      </c>
      <c r="Q590" s="28" t="s">
        <v>2017</v>
      </c>
      <c r="R590" s="31">
        <v>14.520274129069</v>
      </c>
      <c r="S590" s="29">
        <v>17510</v>
      </c>
      <c r="T590" s="32">
        <v>272.37777777777802</v>
      </c>
      <c r="U590" s="32">
        <v>0</v>
      </c>
      <c r="V590" s="31">
        <v>14.520274129069</v>
      </c>
      <c r="W590" s="36">
        <v>46101</v>
      </c>
      <c r="X590" s="36">
        <v>46101</v>
      </c>
    </row>
    <row r="591" spans="1:24" ht="15.75" thickBot="1" x14ac:dyDescent="0.3">
      <c r="A591" t="str">
        <f t="shared" si="9"/>
        <v>PCSE413A15BB</v>
      </c>
      <c r="B591" s="22" t="s">
        <v>3728</v>
      </c>
      <c r="C591" s="21"/>
      <c r="D591" s="22" t="s">
        <v>3729</v>
      </c>
      <c r="E591" s="21"/>
      <c r="F591" s="22" t="s">
        <v>2030</v>
      </c>
      <c r="G591" s="28" t="s">
        <v>2012</v>
      </c>
      <c r="H591" s="22" t="s">
        <v>3721</v>
      </c>
      <c r="I591" s="22" t="s">
        <v>3722</v>
      </c>
      <c r="J591" s="22" t="s">
        <v>261</v>
      </c>
      <c r="K591" s="22" t="s">
        <v>924</v>
      </c>
      <c r="L591" s="22" t="s">
        <v>2829</v>
      </c>
      <c r="M591" s="22" t="s">
        <v>2130</v>
      </c>
      <c r="N591" s="28" t="s">
        <v>2494</v>
      </c>
      <c r="O591" s="28" t="s">
        <v>2016</v>
      </c>
      <c r="P591" s="29">
        <v>4028</v>
      </c>
      <c r="Q591" s="28" t="s">
        <v>2017</v>
      </c>
      <c r="R591" s="31">
        <v>14.856159331202001</v>
      </c>
      <c r="S591" s="29">
        <v>17430</v>
      </c>
      <c r="T591" s="32">
        <v>271.13333333333298</v>
      </c>
      <c r="U591" s="32">
        <v>0</v>
      </c>
      <c r="V591" s="31">
        <v>14.856159331202001</v>
      </c>
      <c r="W591" s="36">
        <v>46101</v>
      </c>
      <c r="X591" s="36">
        <v>46101</v>
      </c>
    </row>
    <row r="592" spans="1:24" ht="15.75" thickBot="1" x14ac:dyDescent="0.3">
      <c r="A592" t="str">
        <f t="shared" si="9"/>
        <v>PCSW520781S300</v>
      </c>
      <c r="B592" s="22" t="s">
        <v>3730</v>
      </c>
      <c r="C592" s="21"/>
      <c r="D592" s="22" t="s">
        <v>2959</v>
      </c>
      <c r="E592" s="22" t="s">
        <v>3357</v>
      </c>
      <c r="F592" s="22" t="s">
        <v>2030</v>
      </c>
      <c r="G592" s="28" t="s">
        <v>2012</v>
      </c>
      <c r="H592" s="22" t="s">
        <v>3731</v>
      </c>
      <c r="I592" s="22" t="s">
        <v>3732</v>
      </c>
      <c r="J592" s="22" t="s">
        <v>261</v>
      </c>
      <c r="K592" s="22" t="s">
        <v>924</v>
      </c>
      <c r="L592" s="22" t="s">
        <v>2964</v>
      </c>
      <c r="M592" s="22" t="s">
        <v>2130</v>
      </c>
      <c r="N592" s="28" t="s">
        <v>2494</v>
      </c>
      <c r="O592" s="28" t="s">
        <v>2016</v>
      </c>
      <c r="P592" s="29">
        <v>78703</v>
      </c>
      <c r="Q592" s="28" t="s">
        <v>2017</v>
      </c>
      <c r="R592" s="31">
        <v>14.218049148455</v>
      </c>
      <c r="S592" s="29">
        <v>355849</v>
      </c>
      <c r="T592" s="32">
        <v>5535.4288888888896</v>
      </c>
      <c r="U592" s="32">
        <v>0</v>
      </c>
      <c r="V592" s="31">
        <v>14.218049148455</v>
      </c>
      <c r="W592" s="36">
        <v>46101</v>
      </c>
      <c r="X592" s="36">
        <v>46101</v>
      </c>
    </row>
    <row r="593" spans="1:24" ht="15.75" thickBot="1" x14ac:dyDescent="0.3">
      <c r="A593" t="str">
        <f t="shared" si="9"/>
        <v>PUR58107A97 A</v>
      </c>
      <c r="B593" s="22" t="s">
        <v>1333</v>
      </c>
      <c r="C593" s="22" t="s">
        <v>3733</v>
      </c>
      <c r="D593" s="22" t="s">
        <v>3734</v>
      </c>
      <c r="E593" s="22" t="s">
        <v>3735</v>
      </c>
      <c r="F593" s="22" t="s">
        <v>3736</v>
      </c>
      <c r="G593" s="28" t="s">
        <v>2012</v>
      </c>
      <c r="H593" s="22" t="s">
        <v>2013</v>
      </c>
      <c r="I593" s="21"/>
      <c r="J593" s="22" t="s">
        <v>364</v>
      </c>
      <c r="K593" s="22" t="s">
        <v>924</v>
      </c>
      <c r="L593" s="21"/>
      <c r="M593" s="22" t="s">
        <v>2034</v>
      </c>
      <c r="N593" s="28" t="s">
        <v>2015</v>
      </c>
      <c r="O593" s="28" t="s">
        <v>2016</v>
      </c>
      <c r="P593" s="29">
        <v>13547</v>
      </c>
      <c r="Q593" s="28" t="s">
        <v>2017</v>
      </c>
      <c r="R593" s="31">
        <v>14.371170669953999</v>
      </c>
      <c r="S593" s="29">
        <v>60599</v>
      </c>
      <c r="T593" s="32">
        <v>942.65111111111105</v>
      </c>
      <c r="U593" s="32">
        <v>0</v>
      </c>
      <c r="V593" s="31">
        <v>14.371170669953999</v>
      </c>
      <c r="W593" s="36">
        <v>46101</v>
      </c>
      <c r="X593" s="36">
        <v>46101</v>
      </c>
    </row>
    <row r="594" spans="1:24" ht="15.75" thickBot="1" x14ac:dyDescent="0.3">
      <c r="A594" t="str">
        <f t="shared" si="9"/>
        <v>PUR58112A57 A</v>
      </c>
      <c r="B594" s="22" t="s">
        <v>1337</v>
      </c>
      <c r="C594" s="22" t="s">
        <v>3737</v>
      </c>
      <c r="D594" s="22" t="s">
        <v>3738</v>
      </c>
      <c r="E594" s="22" t="s">
        <v>3739</v>
      </c>
      <c r="F594" s="22" t="s">
        <v>3740</v>
      </c>
      <c r="G594" s="28" t="s">
        <v>2012</v>
      </c>
      <c r="H594" s="22" t="s">
        <v>2080</v>
      </c>
      <c r="I594" s="21"/>
      <c r="J594" s="22" t="s">
        <v>364</v>
      </c>
      <c r="K594" s="22" t="s">
        <v>924</v>
      </c>
      <c r="L594" s="21"/>
      <c r="M594" s="22" t="s">
        <v>2014</v>
      </c>
      <c r="N594" s="28" t="s">
        <v>2015</v>
      </c>
      <c r="O594" s="28" t="s">
        <v>2016</v>
      </c>
      <c r="P594" s="29">
        <v>9696</v>
      </c>
      <c r="Q594" s="28" t="s">
        <v>2017</v>
      </c>
      <c r="R594" s="31">
        <v>14.84081632653</v>
      </c>
      <c r="S594" s="29">
        <v>42000</v>
      </c>
      <c r="T594" s="32">
        <v>653.33333333333303</v>
      </c>
      <c r="U594" s="32">
        <v>0</v>
      </c>
      <c r="V594" s="31">
        <v>14.84081632653</v>
      </c>
      <c r="W594" s="36">
        <v>46101</v>
      </c>
      <c r="X594" s="36">
        <v>46101</v>
      </c>
    </row>
    <row r="595" spans="1:24" ht="15.75" thickBot="1" x14ac:dyDescent="0.3">
      <c r="A595" t="str">
        <f t="shared" si="9"/>
        <v>RMPADX50231NB</v>
      </c>
      <c r="B595" s="22" t="s">
        <v>3741</v>
      </c>
      <c r="C595" s="22" t="s">
        <v>3742</v>
      </c>
      <c r="D595" s="22" t="s">
        <v>3743</v>
      </c>
      <c r="E595" s="22" t="s">
        <v>3744</v>
      </c>
      <c r="F595" s="22" t="s">
        <v>2030</v>
      </c>
      <c r="G595" s="28" t="s">
        <v>2012</v>
      </c>
      <c r="H595" s="22" t="s">
        <v>3745</v>
      </c>
      <c r="I595" s="22" t="s">
        <v>3746</v>
      </c>
      <c r="J595" s="22" t="s">
        <v>261</v>
      </c>
      <c r="K595" s="22" t="s">
        <v>262</v>
      </c>
      <c r="L595" s="22" t="s">
        <v>3380</v>
      </c>
      <c r="M595" s="22" t="s">
        <v>2523</v>
      </c>
      <c r="N595" s="28" t="s">
        <v>2494</v>
      </c>
      <c r="O595" s="28" t="s">
        <v>2016</v>
      </c>
      <c r="P595" s="29">
        <v>13171.347</v>
      </c>
      <c r="Q595" s="28" t="s">
        <v>1164</v>
      </c>
      <c r="R595" s="31">
        <v>14.220331562193</v>
      </c>
      <c r="S595" s="34">
        <v>59543.58</v>
      </c>
      <c r="T595" s="32">
        <v>926.23346666666703</v>
      </c>
      <c r="U595" s="32">
        <v>0</v>
      </c>
      <c r="V595" s="31">
        <v>14.220331562193</v>
      </c>
      <c r="W595" s="36">
        <v>46101</v>
      </c>
      <c r="X595" s="36">
        <v>46101</v>
      </c>
    </row>
    <row r="596" spans="1:24" ht="15.75" thickBot="1" x14ac:dyDescent="0.3">
      <c r="A596" t="str">
        <f t="shared" si="9"/>
        <v>RMPPPGF30-03</v>
      </c>
      <c r="B596" s="22" t="s">
        <v>3747</v>
      </c>
      <c r="C596" s="22" t="s">
        <v>2709</v>
      </c>
      <c r="D596" s="22" t="s">
        <v>2709</v>
      </c>
      <c r="E596" s="22" t="s">
        <v>3748</v>
      </c>
      <c r="F596" s="22" t="s">
        <v>2030</v>
      </c>
      <c r="G596" s="28" t="s">
        <v>2012</v>
      </c>
      <c r="H596" s="22" t="s">
        <v>2013</v>
      </c>
      <c r="I596" s="21"/>
      <c r="J596" s="22" t="s">
        <v>698</v>
      </c>
      <c r="K596" s="22" t="s">
        <v>262</v>
      </c>
      <c r="L596" s="22" t="s">
        <v>2711</v>
      </c>
      <c r="M596" s="22" t="s">
        <v>2523</v>
      </c>
      <c r="N596" s="28" t="s">
        <v>2494</v>
      </c>
      <c r="O596" s="28" t="s">
        <v>2016</v>
      </c>
      <c r="P596" s="29">
        <v>56800.592799999999</v>
      </c>
      <c r="Q596" s="28" t="s">
        <v>1164</v>
      </c>
      <c r="R596" s="31">
        <v>14.023300322240001</v>
      </c>
      <c r="S596" s="34">
        <v>260385.68640000001</v>
      </c>
      <c r="T596" s="32">
        <v>4050.4440106666698</v>
      </c>
      <c r="U596" s="32">
        <v>0</v>
      </c>
      <c r="V596" s="31">
        <v>14.023300322240001</v>
      </c>
      <c r="W596" s="36">
        <v>46101</v>
      </c>
      <c r="X596" s="36">
        <v>46101</v>
      </c>
    </row>
    <row r="597" spans="1:24" ht="15.75" thickBot="1" x14ac:dyDescent="0.3">
      <c r="A597" t="str">
        <f t="shared" si="9"/>
        <v>RMSE431F92RL</v>
      </c>
      <c r="B597" s="22" t="s">
        <v>3749</v>
      </c>
      <c r="C597" s="22" t="s">
        <v>3750</v>
      </c>
      <c r="D597" s="22" t="s">
        <v>3751</v>
      </c>
      <c r="E597" s="22" t="s">
        <v>3752</v>
      </c>
      <c r="F597" s="22" t="s">
        <v>3753</v>
      </c>
      <c r="G597" s="28" t="s">
        <v>2012</v>
      </c>
      <c r="H597" s="22" t="s">
        <v>2556</v>
      </c>
      <c r="I597" s="22" t="s">
        <v>2557</v>
      </c>
      <c r="J597" s="22" t="s">
        <v>261</v>
      </c>
      <c r="K597" s="22" t="s">
        <v>924</v>
      </c>
      <c r="L597" s="22" t="s">
        <v>3136</v>
      </c>
      <c r="M597" s="22" t="s">
        <v>2532</v>
      </c>
      <c r="N597" s="28" t="s">
        <v>2494</v>
      </c>
      <c r="O597" s="28" t="s">
        <v>2016</v>
      </c>
      <c r="P597" s="29">
        <v>12063.247499999999</v>
      </c>
      <c r="Q597" s="28" t="s">
        <v>1164</v>
      </c>
      <c r="R597" s="31">
        <v>14.853319166674</v>
      </c>
      <c r="S597" s="34">
        <v>52210.180999999997</v>
      </c>
      <c r="T597" s="32">
        <v>812.15837111111102</v>
      </c>
      <c r="U597" s="32">
        <v>0</v>
      </c>
      <c r="V597" s="31">
        <v>14.853319166674</v>
      </c>
      <c r="W597" s="36">
        <v>46101</v>
      </c>
      <c r="X597" s="36">
        <v>46101</v>
      </c>
    </row>
    <row r="598" spans="1:24" ht="15.75" thickBot="1" x14ac:dyDescent="0.3">
      <c r="A598" t="str">
        <f t="shared" si="9"/>
        <v>RMSWL68426550/1</v>
      </c>
      <c r="B598" s="22" t="s">
        <v>3754</v>
      </c>
      <c r="C598" s="22" t="s">
        <v>3755</v>
      </c>
      <c r="D598" s="22" t="s">
        <v>3756</v>
      </c>
      <c r="E598" s="22" t="s">
        <v>3144</v>
      </c>
      <c r="F598" s="22" t="s">
        <v>3757</v>
      </c>
      <c r="G598" s="28" t="s">
        <v>2012</v>
      </c>
      <c r="H598" s="22" t="s">
        <v>3758</v>
      </c>
      <c r="I598" s="22" t="s">
        <v>3759</v>
      </c>
      <c r="J598" s="22" t="s">
        <v>1117</v>
      </c>
      <c r="K598" s="22" t="s">
        <v>924</v>
      </c>
      <c r="L598" s="22" t="s">
        <v>3136</v>
      </c>
      <c r="M598" s="22" t="s">
        <v>2532</v>
      </c>
      <c r="N598" s="28" t="s">
        <v>2494</v>
      </c>
      <c r="O598" s="28" t="s">
        <v>2016</v>
      </c>
      <c r="P598" s="29">
        <v>34929.531999999999</v>
      </c>
      <c r="Q598" s="28" t="s">
        <v>1164</v>
      </c>
      <c r="R598" s="31">
        <v>14.838795419982</v>
      </c>
      <c r="S598" s="34">
        <v>151324.272</v>
      </c>
      <c r="T598" s="32">
        <v>2353.9331200000001</v>
      </c>
      <c r="U598" s="32">
        <v>0</v>
      </c>
      <c r="V598" s="31">
        <v>14.838795419982</v>
      </c>
      <c r="W598" s="36">
        <v>46101</v>
      </c>
      <c r="X598" s="36">
        <v>46101</v>
      </c>
    </row>
    <row r="599" spans="1:24" ht="15.75" thickBot="1" x14ac:dyDescent="0.3">
      <c r="A599" t="str">
        <f t="shared" si="9"/>
        <v>85033342</v>
      </c>
      <c r="B599" s="22" t="s">
        <v>476</v>
      </c>
      <c r="C599" s="22" t="s">
        <v>3760</v>
      </c>
      <c r="D599" s="22" t="s">
        <v>3761</v>
      </c>
      <c r="E599" s="22" t="s">
        <v>3762</v>
      </c>
      <c r="F599" s="22" t="s">
        <v>3663</v>
      </c>
      <c r="G599" s="28" t="s">
        <v>2012</v>
      </c>
      <c r="H599" s="22" t="s">
        <v>2027</v>
      </c>
      <c r="I599" s="21"/>
      <c r="J599" s="22" t="s">
        <v>404</v>
      </c>
      <c r="K599" s="22" t="s">
        <v>262</v>
      </c>
      <c r="L599" s="21"/>
      <c r="M599" s="22" t="s">
        <v>2014</v>
      </c>
      <c r="N599" s="28" t="s">
        <v>2015</v>
      </c>
      <c r="O599" s="28" t="s">
        <v>2016</v>
      </c>
      <c r="P599" s="29">
        <v>477</v>
      </c>
      <c r="Q599" s="28" t="s">
        <v>2017</v>
      </c>
      <c r="R599" s="37">
        <v>16.380494505493999</v>
      </c>
      <c r="S599" s="29">
        <v>1872</v>
      </c>
      <c r="T599" s="32">
        <v>29.12</v>
      </c>
      <c r="U599" s="32">
        <v>0</v>
      </c>
      <c r="V599" s="37">
        <v>16.380494505493999</v>
      </c>
      <c r="W599" s="36">
        <v>46103</v>
      </c>
      <c r="X599" s="36">
        <v>46104</v>
      </c>
    </row>
    <row r="600" spans="1:24" ht="15.75" thickBot="1" x14ac:dyDescent="0.3">
      <c r="A600" t="str">
        <f t="shared" si="9"/>
        <v>85533616</v>
      </c>
      <c r="B600" s="22" t="s">
        <v>851</v>
      </c>
      <c r="C600" s="22" t="s">
        <v>3763</v>
      </c>
      <c r="D600" s="22" t="s">
        <v>3764</v>
      </c>
      <c r="E600" s="22" t="s">
        <v>3496</v>
      </c>
      <c r="F600" s="22" t="s">
        <v>3765</v>
      </c>
      <c r="G600" s="28" t="s">
        <v>2012</v>
      </c>
      <c r="H600" s="22" t="s">
        <v>2027</v>
      </c>
      <c r="I600" s="21"/>
      <c r="J600" s="22" t="s">
        <v>404</v>
      </c>
      <c r="K600" s="22" t="s">
        <v>262</v>
      </c>
      <c r="L600" s="21"/>
      <c r="M600" s="22" t="s">
        <v>2014</v>
      </c>
      <c r="N600" s="28" t="s">
        <v>2015</v>
      </c>
      <c r="O600" s="28" t="s">
        <v>2016</v>
      </c>
      <c r="P600" s="29">
        <v>499</v>
      </c>
      <c r="Q600" s="28" t="s">
        <v>2017</v>
      </c>
      <c r="R600" s="37">
        <v>16.690203656904998</v>
      </c>
      <c r="S600" s="29">
        <v>1922</v>
      </c>
      <c r="T600" s="32">
        <v>29.897777777777002</v>
      </c>
      <c r="U600" s="32">
        <v>0</v>
      </c>
      <c r="V600" s="37">
        <v>16.690203656904998</v>
      </c>
      <c r="W600" s="36">
        <v>46103</v>
      </c>
      <c r="X600" s="36">
        <v>46104</v>
      </c>
    </row>
    <row r="601" spans="1:24" ht="15.75" thickBot="1" x14ac:dyDescent="0.3">
      <c r="A601" t="str">
        <f t="shared" si="9"/>
        <v>85755676</v>
      </c>
      <c r="B601" s="22" t="s">
        <v>3766</v>
      </c>
      <c r="C601" s="22" t="s">
        <v>3767</v>
      </c>
      <c r="D601" s="22" t="s">
        <v>3768</v>
      </c>
      <c r="E601" s="21"/>
      <c r="F601" s="22" t="s">
        <v>3769</v>
      </c>
      <c r="G601" s="28" t="s">
        <v>2012</v>
      </c>
      <c r="H601" s="22" t="s">
        <v>2027</v>
      </c>
      <c r="I601" s="21"/>
      <c r="J601" s="22" t="s">
        <v>404</v>
      </c>
      <c r="K601" s="22" t="s">
        <v>262</v>
      </c>
      <c r="L601" s="21"/>
      <c r="M601" s="22" t="s">
        <v>2014</v>
      </c>
      <c r="N601" s="28" t="s">
        <v>2015</v>
      </c>
      <c r="O601" s="28" t="s">
        <v>2016</v>
      </c>
      <c r="P601" s="29">
        <v>304</v>
      </c>
      <c r="Q601" s="28" t="s">
        <v>2017</v>
      </c>
      <c r="R601" s="37">
        <v>15.953352769679</v>
      </c>
      <c r="S601" s="29">
        <v>1225</v>
      </c>
      <c r="T601" s="32">
        <v>19.055555555554999</v>
      </c>
      <c r="U601" s="32">
        <v>0</v>
      </c>
      <c r="V601" s="37">
        <v>15.953352769679</v>
      </c>
      <c r="W601" s="36">
        <v>46102</v>
      </c>
      <c r="X601" s="36">
        <v>46104</v>
      </c>
    </row>
    <row r="602" spans="1:24" ht="15.75" thickBot="1" x14ac:dyDescent="0.3">
      <c r="A602" t="str">
        <f t="shared" si="9"/>
        <v>86584059</v>
      </c>
      <c r="B602" s="22" t="s">
        <v>468</v>
      </c>
      <c r="C602" s="22" t="s">
        <v>3770</v>
      </c>
      <c r="D602" s="22" t="s">
        <v>3771</v>
      </c>
      <c r="E602" s="21"/>
      <c r="F602" s="22" t="s">
        <v>3772</v>
      </c>
      <c r="G602" s="28" t="s">
        <v>2012</v>
      </c>
      <c r="H602" s="22" t="s">
        <v>2027</v>
      </c>
      <c r="I602" s="21"/>
      <c r="J602" s="22" t="s">
        <v>404</v>
      </c>
      <c r="K602" s="22" t="s">
        <v>262</v>
      </c>
      <c r="L602" s="21"/>
      <c r="M602" s="22" t="s">
        <v>2014</v>
      </c>
      <c r="N602" s="28" t="s">
        <v>2015</v>
      </c>
      <c r="O602" s="28" t="s">
        <v>2016</v>
      </c>
      <c r="P602" s="29">
        <v>199</v>
      </c>
      <c r="Q602" s="28" t="s">
        <v>2017</v>
      </c>
      <c r="R602" s="37">
        <v>17.057142857142001</v>
      </c>
      <c r="S602" s="29">
        <v>750</v>
      </c>
      <c r="T602" s="32">
        <v>11.666666666666</v>
      </c>
      <c r="U602" s="32">
        <v>0</v>
      </c>
      <c r="V602" s="37">
        <v>17.057142857142001</v>
      </c>
      <c r="W602" s="36">
        <v>46104</v>
      </c>
      <c r="X602" s="36">
        <v>46104</v>
      </c>
    </row>
    <row r="603" spans="1:24" ht="15.75" thickBot="1" x14ac:dyDescent="0.3">
      <c r="A603" t="str">
        <f t="shared" si="9"/>
        <v>ASYTB20A77W15</v>
      </c>
      <c r="B603" s="22" t="s">
        <v>1873</v>
      </c>
      <c r="C603" s="22" t="s">
        <v>3030</v>
      </c>
      <c r="D603" s="22" t="s">
        <v>1874</v>
      </c>
      <c r="E603" s="22" t="s">
        <v>3773</v>
      </c>
      <c r="F603" s="22" t="s">
        <v>2881</v>
      </c>
      <c r="G603" s="28" t="s">
        <v>2012</v>
      </c>
      <c r="H603" s="22" t="s">
        <v>2080</v>
      </c>
      <c r="I603" s="21"/>
      <c r="J603" s="22" t="s">
        <v>261</v>
      </c>
      <c r="K603" s="22" t="s">
        <v>924</v>
      </c>
      <c r="L603" s="21"/>
      <c r="M603" s="22" t="s">
        <v>2034</v>
      </c>
      <c r="N603" s="28" t="s">
        <v>2015</v>
      </c>
      <c r="O603" s="28" t="s">
        <v>2016</v>
      </c>
      <c r="P603" s="29">
        <v>4342</v>
      </c>
      <c r="Q603" s="28" t="s">
        <v>2017</v>
      </c>
      <c r="R603" s="37">
        <v>16.305191391352999</v>
      </c>
      <c r="S603" s="29">
        <v>17119</v>
      </c>
      <c r="T603" s="32">
        <v>266.29555555555601</v>
      </c>
      <c r="U603" s="32">
        <v>0</v>
      </c>
      <c r="V603" s="37">
        <v>16.305191391352999</v>
      </c>
      <c r="W603" s="36">
        <v>46103</v>
      </c>
      <c r="X603" s="36">
        <v>46104</v>
      </c>
    </row>
    <row r="604" spans="1:24" ht="15.75" thickBot="1" x14ac:dyDescent="0.3">
      <c r="A604" t="str">
        <f t="shared" si="9"/>
        <v>BLK2610130RLAA</v>
      </c>
      <c r="B604" s="22" t="s">
        <v>3774</v>
      </c>
      <c r="C604" s="21"/>
      <c r="D604" s="22" t="s">
        <v>3775</v>
      </c>
      <c r="E604" s="22" t="s">
        <v>3776</v>
      </c>
      <c r="F604" s="22" t="s">
        <v>3777</v>
      </c>
      <c r="G604" s="28" t="s">
        <v>2012</v>
      </c>
      <c r="H604" s="22" t="s">
        <v>2013</v>
      </c>
      <c r="I604" s="21"/>
      <c r="J604" s="22" t="s">
        <v>261</v>
      </c>
      <c r="K604" s="22" t="s">
        <v>924</v>
      </c>
      <c r="L604" s="21"/>
      <c r="M604" s="22" t="s">
        <v>2130</v>
      </c>
      <c r="N604" s="28" t="s">
        <v>2015</v>
      </c>
      <c r="O604" s="28" t="s">
        <v>2016</v>
      </c>
      <c r="P604" s="29">
        <v>8250</v>
      </c>
      <c r="Q604" s="28" t="s">
        <v>2017</v>
      </c>
      <c r="R604" s="37">
        <v>17.093958062822001</v>
      </c>
      <c r="S604" s="29">
        <v>31026</v>
      </c>
      <c r="T604" s="32">
        <v>482.62666666666701</v>
      </c>
      <c r="U604" s="32">
        <v>0</v>
      </c>
      <c r="V604" s="37">
        <v>17.093958062822001</v>
      </c>
      <c r="W604" s="36">
        <v>46104</v>
      </c>
      <c r="X604" s="36">
        <v>46104</v>
      </c>
    </row>
    <row r="605" spans="1:24" ht="15.75" thickBot="1" x14ac:dyDescent="0.3">
      <c r="A605" t="str">
        <f t="shared" si="9"/>
        <v>BLK26104A98RLA</v>
      </c>
      <c r="B605" s="22" t="s">
        <v>3778</v>
      </c>
      <c r="C605" s="21"/>
      <c r="D605" s="22" t="s">
        <v>3779</v>
      </c>
      <c r="E605" s="22" t="s">
        <v>3780</v>
      </c>
      <c r="F605" s="22" t="s">
        <v>3781</v>
      </c>
      <c r="G605" s="28" t="s">
        <v>2012</v>
      </c>
      <c r="H605" s="22" t="s">
        <v>2013</v>
      </c>
      <c r="I605" s="21"/>
      <c r="J605" s="22" t="s">
        <v>261</v>
      </c>
      <c r="K605" s="22" t="s">
        <v>924</v>
      </c>
      <c r="L605" s="21"/>
      <c r="M605" s="22" t="s">
        <v>2130</v>
      </c>
      <c r="N605" s="28" t="s">
        <v>2015</v>
      </c>
      <c r="O605" s="28" t="s">
        <v>2016</v>
      </c>
      <c r="P605" s="29">
        <v>6902</v>
      </c>
      <c r="Q605" s="28" t="s">
        <v>2017</v>
      </c>
      <c r="R605" s="37">
        <v>15.146446371270001</v>
      </c>
      <c r="S605" s="29">
        <v>29294</v>
      </c>
      <c r="T605" s="32">
        <v>455.68444444444401</v>
      </c>
      <c r="U605" s="32">
        <v>0</v>
      </c>
      <c r="V605" s="37">
        <v>15.146446371270001</v>
      </c>
      <c r="W605" s="36">
        <v>46102</v>
      </c>
      <c r="X605" s="36">
        <v>46104</v>
      </c>
    </row>
    <row r="606" spans="1:24" ht="15.75" thickBot="1" x14ac:dyDescent="0.3">
      <c r="A606" t="str">
        <f t="shared" si="9"/>
        <v>BLKE513D21LH</v>
      </c>
      <c r="B606" s="22" t="s">
        <v>3782</v>
      </c>
      <c r="C606" s="22" t="s">
        <v>3783</v>
      </c>
      <c r="D606" s="22" t="s">
        <v>3191</v>
      </c>
      <c r="E606" s="22" t="s">
        <v>3192</v>
      </c>
      <c r="F606" s="22" t="s">
        <v>3193</v>
      </c>
      <c r="G606" s="28" t="s">
        <v>2012</v>
      </c>
      <c r="H606" s="22" t="s">
        <v>2080</v>
      </c>
      <c r="I606" s="21"/>
      <c r="J606" s="22" t="s">
        <v>261</v>
      </c>
      <c r="K606" s="22" t="s">
        <v>924</v>
      </c>
      <c r="L606" s="21"/>
      <c r="M606" s="22" t="s">
        <v>2130</v>
      </c>
      <c r="N606" s="28" t="s">
        <v>2015</v>
      </c>
      <c r="O606" s="28" t="s">
        <v>2016</v>
      </c>
      <c r="P606" s="29">
        <v>3901</v>
      </c>
      <c r="Q606" s="28" t="s">
        <v>2017</v>
      </c>
      <c r="R606" s="37">
        <v>17.705349578408001</v>
      </c>
      <c r="S606" s="29">
        <v>14164</v>
      </c>
      <c r="T606" s="32">
        <v>220.328888888889</v>
      </c>
      <c r="U606" s="32">
        <v>0</v>
      </c>
      <c r="V606" s="37">
        <v>17.705349578408001</v>
      </c>
      <c r="W606" s="36">
        <v>46104</v>
      </c>
      <c r="X606" s="36">
        <v>46104</v>
      </c>
    </row>
    <row r="607" spans="1:24" ht="15.75" thickBot="1" x14ac:dyDescent="0.3">
      <c r="A607" t="str">
        <f t="shared" si="9"/>
        <v>BT1CC008</v>
      </c>
      <c r="B607" s="22" t="s">
        <v>456</v>
      </c>
      <c r="C607" s="22" t="s">
        <v>3784</v>
      </c>
      <c r="D607" s="22" t="s">
        <v>3785</v>
      </c>
      <c r="E607" s="22" t="s">
        <v>3786</v>
      </c>
      <c r="F607" s="22" t="s">
        <v>2134</v>
      </c>
      <c r="G607" s="28" t="s">
        <v>2012</v>
      </c>
      <c r="H607" s="22" t="s">
        <v>2135</v>
      </c>
      <c r="I607" s="21"/>
      <c r="J607" s="22" t="s">
        <v>404</v>
      </c>
      <c r="K607" s="22" t="s">
        <v>262</v>
      </c>
      <c r="L607" s="21"/>
      <c r="M607" s="22" t="s">
        <v>2014</v>
      </c>
      <c r="N607" s="28" t="s">
        <v>2015</v>
      </c>
      <c r="O607" s="28" t="s">
        <v>2016</v>
      </c>
      <c r="P607" s="29">
        <v>198</v>
      </c>
      <c r="Q607" s="28" t="s">
        <v>2017</v>
      </c>
      <c r="R607" s="37">
        <v>17.678571428571001</v>
      </c>
      <c r="S607" s="29">
        <v>720</v>
      </c>
      <c r="T607" s="32">
        <v>11.2</v>
      </c>
      <c r="U607" s="32">
        <v>0</v>
      </c>
      <c r="V607" s="37">
        <v>17.678571428571001</v>
      </c>
      <c r="W607" s="36">
        <v>46104</v>
      </c>
      <c r="X607" s="36">
        <v>46104</v>
      </c>
    </row>
    <row r="608" spans="1:24" ht="15.75" thickBot="1" x14ac:dyDescent="0.3">
      <c r="A608" t="str">
        <f t="shared" si="9"/>
        <v>DET2102220AF</v>
      </c>
      <c r="B608" s="22" t="s">
        <v>1257</v>
      </c>
      <c r="C608" s="22" t="s">
        <v>3787</v>
      </c>
      <c r="D608" s="22" t="s">
        <v>3788</v>
      </c>
      <c r="E608" s="22" t="s">
        <v>2250</v>
      </c>
      <c r="F608" s="22" t="s">
        <v>3789</v>
      </c>
      <c r="G608" s="28" t="s">
        <v>2012</v>
      </c>
      <c r="H608" s="22" t="s">
        <v>2080</v>
      </c>
      <c r="I608" s="21"/>
      <c r="J608" s="22" t="s">
        <v>261</v>
      </c>
      <c r="K608" s="22" t="s">
        <v>924</v>
      </c>
      <c r="L608" s="21"/>
      <c r="M608" s="22" t="s">
        <v>2034</v>
      </c>
      <c r="N608" s="28" t="s">
        <v>2015</v>
      </c>
      <c r="O608" s="28" t="s">
        <v>2016</v>
      </c>
      <c r="P608" s="29">
        <v>4270</v>
      </c>
      <c r="Q608" s="28" t="s">
        <v>2017</v>
      </c>
      <c r="R608" s="37">
        <v>15.824974057419</v>
      </c>
      <c r="S608" s="29">
        <v>17346</v>
      </c>
      <c r="T608" s="32">
        <v>269.82666666666699</v>
      </c>
      <c r="U608" s="32">
        <v>0</v>
      </c>
      <c r="V608" s="37">
        <v>15.824974057419</v>
      </c>
      <c r="W608" s="36">
        <v>46102</v>
      </c>
      <c r="X608" s="36">
        <v>46104</v>
      </c>
    </row>
    <row r="609" spans="1:24" ht="15.75" thickBot="1" x14ac:dyDescent="0.3">
      <c r="A609" t="str">
        <f t="shared" si="9"/>
        <v>DET21101A16A</v>
      </c>
      <c r="B609" s="22" t="s">
        <v>1637</v>
      </c>
      <c r="C609" s="22" t="s">
        <v>2101</v>
      </c>
      <c r="D609" s="22" t="s">
        <v>3790</v>
      </c>
      <c r="E609" s="22" t="s">
        <v>3791</v>
      </c>
      <c r="F609" s="22" t="s">
        <v>3792</v>
      </c>
      <c r="G609" s="28" t="s">
        <v>2012</v>
      </c>
      <c r="H609" s="22" t="s">
        <v>2055</v>
      </c>
      <c r="I609" s="21"/>
      <c r="J609" s="22" t="s">
        <v>494</v>
      </c>
      <c r="K609" s="22" t="s">
        <v>924</v>
      </c>
      <c r="L609" s="21"/>
      <c r="M609" s="22" t="s">
        <v>2034</v>
      </c>
      <c r="N609" s="28" t="s">
        <v>2015</v>
      </c>
      <c r="O609" s="28" t="s">
        <v>2016</v>
      </c>
      <c r="P609" s="29">
        <v>4095</v>
      </c>
      <c r="Q609" s="28" t="s">
        <v>2017</v>
      </c>
      <c r="R609" s="37">
        <v>15.111940298506999</v>
      </c>
      <c r="S609" s="29">
        <v>17420</v>
      </c>
      <c r="T609" s="32">
        <v>270.97777777777799</v>
      </c>
      <c r="U609" s="32">
        <v>0</v>
      </c>
      <c r="V609" s="37">
        <v>15.111940298506999</v>
      </c>
      <c r="W609" s="36">
        <v>46102</v>
      </c>
      <c r="X609" s="36">
        <v>46104</v>
      </c>
    </row>
    <row r="610" spans="1:24" ht="15.75" thickBot="1" x14ac:dyDescent="0.3">
      <c r="A610" t="str">
        <f t="shared" si="9"/>
        <v>DET21101A17A</v>
      </c>
      <c r="B610" s="22" t="s">
        <v>1639</v>
      </c>
      <c r="C610" s="22" t="s">
        <v>2152</v>
      </c>
      <c r="D610" s="22" t="s">
        <v>3793</v>
      </c>
      <c r="E610" s="22" t="s">
        <v>3794</v>
      </c>
      <c r="F610" s="22" t="s">
        <v>3795</v>
      </c>
      <c r="G610" s="28" t="s">
        <v>2012</v>
      </c>
      <c r="H610" s="22" t="s">
        <v>2055</v>
      </c>
      <c r="I610" s="21"/>
      <c r="J610" s="22" t="s">
        <v>494</v>
      </c>
      <c r="K610" s="22" t="s">
        <v>924</v>
      </c>
      <c r="L610" s="21"/>
      <c r="M610" s="22" t="s">
        <v>2034</v>
      </c>
      <c r="N610" s="28" t="s">
        <v>2015</v>
      </c>
      <c r="O610" s="28" t="s">
        <v>2016</v>
      </c>
      <c r="P610" s="29">
        <v>4411</v>
      </c>
      <c r="Q610" s="28" t="s">
        <v>2017</v>
      </c>
      <c r="R610" s="37">
        <v>16.356961566351998</v>
      </c>
      <c r="S610" s="29">
        <v>17336</v>
      </c>
      <c r="T610" s="32">
        <v>269.67111111111097</v>
      </c>
      <c r="U610" s="32">
        <v>0</v>
      </c>
      <c r="V610" s="37">
        <v>16.356961566351998</v>
      </c>
      <c r="W610" s="36">
        <v>46103</v>
      </c>
      <c r="X610" s="36">
        <v>46104</v>
      </c>
    </row>
    <row r="611" spans="1:24" ht="15.75" thickBot="1" x14ac:dyDescent="0.3">
      <c r="A611" t="str">
        <f t="shared" si="9"/>
        <v>DET2610707A</v>
      </c>
      <c r="B611" s="22" t="s">
        <v>1199</v>
      </c>
      <c r="C611" s="22" t="s">
        <v>2161</v>
      </c>
      <c r="D611" s="22" t="s">
        <v>3796</v>
      </c>
      <c r="E611" s="22" t="s">
        <v>3797</v>
      </c>
      <c r="F611" s="22" t="s">
        <v>3798</v>
      </c>
      <c r="G611" s="28" t="s">
        <v>2012</v>
      </c>
      <c r="H611" s="22" t="s">
        <v>2080</v>
      </c>
      <c r="I611" s="21"/>
      <c r="J611" s="22" t="s">
        <v>494</v>
      </c>
      <c r="K611" s="22" t="s">
        <v>924</v>
      </c>
      <c r="L611" s="21"/>
      <c r="M611" s="22" t="s">
        <v>2034</v>
      </c>
      <c r="N611" s="28" t="s">
        <v>2015</v>
      </c>
      <c r="O611" s="28" t="s">
        <v>2016</v>
      </c>
      <c r="P611" s="29">
        <v>4825</v>
      </c>
      <c r="Q611" s="28" t="s">
        <v>2017</v>
      </c>
      <c r="R611" s="37">
        <v>17.690120419104002</v>
      </c>
      <c r="S611" s="29">
        <v>17534</v>
      </c>
      <c r="T611" s="32">
        <v>272.75111111111102</v>
      </c>
      <c r="U611" s="32">
        <v>0</v>
      </c>
      <c r="V611" s="37">
        <v>17.690120419104002</v>
      </c>
      <c r="W611" s="36">
        <v>46104</v>
      </c>
      <c r="X611" s="36">
        <v>46104</v>
      </c>
    </row>
    <row r="612" spans="1:24" ht="15.75" thickBot="1" x14ac:dyDescent="0.3">
      <c r="A612" t="str">
        <f t="shared" si="9"/>
        <v>DET2611218A</v>
      </c>
      <c r="B612" s="22" t="s">
        <v>1359</v>
      </c>
      <c r="C612" s="22" t="s">
        <v>2159</v>
      </c>
      <c r="D612" s="22" t="s">
        <v>3799</v>
      </c>
      <c r="E612" s="22" t="s">
        <v>2159</v>
      </c>
      <c r="F612" s="22" t="s">
        <v>3800</v>
      </c>
      <c r="G612" s="28" t="s">
        <v>2012</v>
      </c>
      <c r="H612" s="22" t="s">
        <v>2080</v>
      </c>
      <c r="I612" s="21"/>
      <c r="J612" s="22" t="s">
        <v>494</v>
      </c>
      <c r="K612" s="22" t="s">
        <v>924</v>
      </c>
      <c r="L612" s="21"/>
      <c r="M612" s="22" t="s">
        <v>2034</v>
      </c>
      <c r="N612" s="28" t="s">
        <v>2015</v>
      </c>
      <c r="O612" s="28" t="s">
        <v>2016</v>
      </c>
      <c r="P612" s="29">
        <v>4663</v>
      </c>
      <c r="Q612" s="28" t="s">
        <v>2017</v>
      </c>
      <c r="R612" s="37">
        <v>17.096172334565999</v>
      </c>
      <c r="S612" s="29">
        <v>17534</v>
      </c>
      <c r="T612" s="32">
        <v>272.75111111111102</v>
      </c>
      <c r="U612" s="32">
        <v>0</v>
      </c>
      <c r="V612" s="37">
        <v>17.096172334565999</v>
      </c>
      <c r="W612" s="36">
        <v>46104</v>
      </c>
      <c r="X612" s="36">
        <v>46104</v>
      </c>
    </row>
    <row r="613" spans="1:24" ht="15.75" thickBot="1" x14ac:dyDescent="0.3">
      <c r="A613" t="str">
        <f t="shared" si="9"/>
        <v>DET68424075</v>
      </c>
      <c r="B613" s="22" t="s">
        <v>1118</v>
      </c>
      <c r="C613" s="22" t="s">
        <v>3065</v>
      </c>
      <c r="D613" s="22" t="s">
        <v>1119</v>
      </c>
      <c r="E613" s="21"/>
      <c r="F613" s="22" t="s">
        <v>3801</v>
      </c>
      <c r="G613" s="28" t="s">
        <v>2012</v>
      </c>
      <c r="H613" s="22" t="s">
        <v>2022</v>
      </c>
      <c r="I613" s="21"/>
      <c r="J613" s="22" t="s">
        <v>1117</v>
      </c>
      <c r="K613" s="22" t="s">
        <v>924</v>
      </c>
      <c r="L613" s="21"/>
      <c r="M613" s="22" t="s">
        <v>2034</v>
      </c>
      <c r="N613" s="28" t="s">
        <v>2015</v>
      </c>
      <c r="O613" s="28" t="s">
        <v>2016</v>
      </c>
      <c r="P613" s="29">
        <v>6986</v>
      </c>
      <c r="Q613" s="28" t="s">
        <v>2017</v>
      </c>
      <c r="R613" s="37">
        <v>15.463278586922</v>
      </c>
      <c r="S613" s="29">
        <v>29043</v>
      </c>
      <c r="T613" s="32">
        <v>451.78</v>
      </c>
      <c r="U613" s="32">
        <v>0</v>
      </c>
      <c r="V613" s="37">
        <v>15.463278586922</v>
      </c>
      <c r="W613" s="36">
        <v>46102</v>
      </c>
      <c r="X613" s="36">
        <v>46104</v>
      </c>
    </row>
    <row r="614" spans="1:24" ht="15.75" thickBot="1" x14ac:dyDescent="0.3">
      <c r="A614" t="str">
        <f t="shared" si="9"/>
        <v>DET7YS8691AA.P1OS</v>
      </c>
      <c r="B614" s="22" t="s">
        <v>696</v>
      </c>
      <c r="C614" s="22" t="s">
        <v>3802</v>
      </c>
      <c r="D614" s="22" t="s">
        <v>3803</v>
      </c>
      <c r="E614" s="22" t="s">
        <v>3231</v>
      </c>
      <c r="F614" s="22" t="s">
        <v>3232</v>
      </c>
      <c r="G614" s="28" t="s">
        <v>2012</v>
      </c>
      <c r="H614" s="22" t="s">
        <v>3233</v>
      </c>
      <c r="I614" s="21"/>
      <c r="J614" s="22" t="s">
        <v>698</v>
      </c>
      <c r="K614" s="22" t="s">
        <v>262</v>
      </c>
      <c r="L614" s="21"/>
      <c r="M614" s="22" t="s">
        <v>2014</v>
      </c>
      <c r="N614" s="28" t="s">
        <v>2015</v>
      </c>
      <c r="O614" s="28" t="s">
        <v>2016</v>
      </c>
      <c r="P614" s="29">
        <v>5234</v>
      </c>
      <c r="Q614" s="28" t="s">
        <v>2017</v>
      </c>
      <c r="R614" s="37">
        <v>17.180934873948999</v>
      </c>
      <c r="S614" s="29">
        <v>19584</v>
      </c>
      <c r="T614" s="32">
        <v>304.64</v>
      </c>
      <c r="U614" s="32">
        <v>0</v>
      </c>
      <c r="V614" s="37">
        <v>17.180934873948999</v>
      </c>
      <c r="W614" s="36">
        <v>46104</v>
      </c>
      <c r="X614" s="36">
        <v>46104</v>
      </c>
    </row>
    <row r="615" spans="1:24" ht="15.75" thickBot="1" x14ac:dyDescent="0.3">
      <c r="A615" t="str">
        <f t="shared" si="9"/>
        <v>DET7YS8691AA.P6OS</v>
      </c>
      <c r="B615" s="22" t="s">
        <v>699</v>
      </c>
      <c r="C615" s="22" t="s">
        <v>3804</v>
      </c>
      <c r="D615" s="22" t="s">
        <v>3805</v>
      </c>
      <c r="E615" s="22" t="s">
        <v>3231</v>
      </c>
      <c r="F615" s="22" t="s">
        <v>3232</v>
      </c>
      <c r="G615" s="28" t="s">
        <v>2012</v>
      </c>
      <c r="H615" s="22" t="s">
        <v>3233</v>
      </c>
      <c r="I615" s="21"/>
      <c r="J615" s="22" t="s">
        <v>698</v>
      </c>
      <c r="K615" s="22" t="s">
        <v>262</v>
      </c>
      <c r="L615" s="21"/>
      <c r="M615" s="22" t="s">
        <v>2014</v>
      </c>
      <c r="N615" s="28" t="s">
        <v>2015</v>
      </c>
      <c r="O615" s="28" t="s">
        <v>2016</v>
      </c>
      <c r="P615" s="29">
        <v>5024</v>
      </c>
      <c r="Q615" s="28" t="s">
        <v>2017</v>
      </c>
      <c r="R615" s="37">
        <v>16.991341991342001</v>
      </c>
      <c r="S615" s="29">
        <v>19008</v>
      </c>
      <c r="T615" s="32">
        <v>295.68</v>
      </c>
      <c r="U615" s="32">
        <v>0</v>
      </c>
      <c r="V615" s="37">
        <v>16.991341991342001</v>
      </c>
      <c r="W615" s="36">
        <v>46103</v>
      </c>
      <c r="X615" s="36">
        <v>46104</v>
      </c>
    </row>
    <row r="616" spans="1:24" ht="15.75" thickBot="1" x14ac:dyDescent="0.3">
      <c r="A616" t="str">
        <f t="shared" si="9"/>
        <v>DET7YS90AAOS</v>
      </c>
      <c r="B616" s="22" t="s">
        <v>707</v>
      </c>
      <c r="C616" s="22" t="s">
        <v>3806</v>
      </c>
      <c r="D616" s="22" t="s">
        <v>3807</v>
      </c>
      <c r="E616" s="22" t="s">
        <v>3231</v>
      </c>
      <c r="F616" s="22" t="s">
        <v>3232</v>
      </c>
      <c r="G616" s="28" t="s">
        <v>2012</v>
      </c>
      <c r="H616" s="22" t="s">
        <v>3233</v>
      </c>
      <c r="I616" s="21"/>
      <c r="J616" s="22" t="s">
        <v>698</v>
      </c>
      <c r="K616" s="22" t="s">
        <v>262</v>
      </c>
      <c r="L616" s="21"/>
      <c r="M616" s="22" t="s">
        <v>2014</v>
      </c>
      <c r="N616" s="28" t="s">
        <v>2015</v>
      </c>
      <c r="O616" s="28" t="s">
        <v>2016</v>
      </c>
      <c r="P616" s="29">
        <v>5421</v>
      </c>
      <c r="Q616" s="28" t="s">
        <v>2017</v>
      </c>
      <c r="R616" s="37">
        <v>17.794774159663</v>
      </c>
      <c r="S616" s="29">
        <v>19584</v>
      </c>
      <c r="T616" s="32">
        <v>304.64</v>
      </c>
      <c r="U616" s="32">
        <v>0</v>
      </c>
      <c r="V616" s="37">
        <v>17.794774159663</v>
      </c>
      <c r="W616" s="36">
        <v>46104</v>
      </c>
      <c r="X616" s="36">
        <v>46104</v>
      </c>
    </row>
    <row r="617" spans="1:24" ht="15.75" thickBot="1" x14ac:dyDescent="0.3">
      <c r="A617" t="str">
        <f t="shared" si="9"/>
        <v>DETE105A89N1</v>
      </c>
      <c r="B617" s="22" t="s">
        <v>1595</v>
      </c>
      <c r="C617" s="22" t="s">
        <v>3808</v>
      </c>
      <c r="D617" s="22" t="s">
        <v>3809</v>
      </c>
      <c r="E617" s="21"/>
      <c r="F617" s="22" t="s">
        <v>3810</v>
      </c>
      <c r="G617" s="28" t="s">
        <v>2012</v>
      </c>
      <c r="H617" s="22" t="s">
        <v>2055</v>
      </c>
      <c r="I617" s="21"/>
      <c r="J617" s="22" t="s">
        <v>261</v>
      </c>
      <c r="K617" s="22" t="s">
        <v>924</v>
      </c>
      <c r="L617" s="21"/>
      <c r="M617" s="22" t="s">
        <v>2034</v>
      </c>
      <c r="N617" s="28" t="s">
        <v>2015</v>
      </c>
      <c r="O617" s="28" t="s">
        <v>2016</v>
      </c>
      <c r="P617" s="29">
        <v>4474</v>
      </c>
      <c r="Q617" s="28" t="s">
        <v>2017</v>
      </c>
      <c r="R617" s="37">
        <v>16.636643088517001</v>
      </c>
      <c r="S617" s="29">
        <v>17288</v>
      </c>
      <c r="T617" s="32">
        <v>268.92444444444402</v>
      </c>
      <c r="U617" s="32">
        <v>0</v>
      </c>
      <c r="V617" s="37">
        <v>16.636643088517001</v>
      </c>
      <c r="W617" s="36">
        <v>46103</v>
      </c>
      <c r="X617" s="36">
        <v>46104</v>
      </c>
    </row>
    <row r="618" spans="1:24" ht="15.75" thickBot="1" x14ac:dyDescent="0.3">
      <c r="A618" t="str">
        <f t="shared" si="9"/>
        <v>DETE10766CE</v>
      </c>
      <c r="B618" s="22" t="s">
        <v>1276</v>
      </c>
      <c r="C618" s="22" t="s">
        <v>3811</v>
      </c>
      <c r="D618" s="22" t="s">
        <v>3812</v>
      </c>
      <c r="E618" s="21"/>
      <c r="F618" s="22" t="s">
        <v>3813</v>
      </c>
      <c r="G618" s="28" t="s">
        <v>2012</v>
      </c>
      <c r="H618" s="22" t="s">
        <v>2080</v>
      </c>
      <c r="I618" s="21"/>
      <c r="J618" s="22" t="s">
        <v>261</v>
      </c>
      <c r="K618" s="22" t="s">
        <v>924</v>
      </c>
      <c r="L618" s="21"/>
      <c r="M618" s="22" t="s">
        <v>2034</v>
      </c>
      <c r="N618" s="28" t="s">
        <v>2015</v>
      </c>
      <c r="O618" s="28" t="s">
        <v>2016</v>
      </c>
      <c r="P618" s="29">
        <v>4127</v>
      </c>
      <c r="Q618" s="28" t="s">
        <v>2017</v>
      </c>
      <c r="R618" s="37">
        <v>15.353422619047</v>
      </c>
      <c r="S618" s="29">
        <v>17280</v>
      </c>
      <c r="T618" s="32">
        <v>268.8</v>
      </c>
      <c r="U618" s="32">
        <v>0</v>
      </c>
      <c r="V618" s="37">
        <v>15.353422619047</v>
      </c>
      <c r="W618" s="36">
        <v>46102</v>
      </c>
      <c r="X618" s="36">
        <v>46104</v>
      </c>
    </row>
    <row r="619" spans="1:24" ht="15.75" thickBot="1" x14ac:dyDescent="0.3">
      <c r="A619" t="str">
        <f t="shared" si="9"/>
        <v>DETE10786B</v>
      </c>
      <c r="B619" s="22" t="s">
        <v>1466</v>
      </c>
      <c r="C619" s="22" t="s">
        <v>2116</v>
      </c>
      <c r="D619" s="22" t="s">
        <v>3814</v>
      </c>
      <c r="E619" s="22" t="s">
        <v>3815</v>
      </c>
      <c r="F619" s="22" t="s">
        <v>3816</v>
      </c>
      <c r="G619" s="28" t="s">
        <v>2012</v>
      </c>
      <c r="H619" s="22" t="s">
        <v>2055</v>
      </c>
      <c r="I619" s="21"/>
      <c r="J619" s="22" t="s">
        <v>261</v>
      </c>
      <c r="K619" s="22" t="s">
        <v>924</v>
      </c>
      <c r="L619" s="21"/>
      <c r="M619" s="22" t="s">
        <v>2034</v>
      </c>
      <c r="N619" s="28" t="s">
        <v>2015</v>
      </c>
      <c r="O619" s="28" t="s">
        <v>2016</v>
      </c>
      <c r="P619" s="29">
        <v>9272</v>
      </c>
      <c r="Q619" s="28" t="s">
        <v>2017</v>
      </c>
      <c r="R619" s="37">
        <v>16.937772238842999</v>
      </c>
      <c r="S619" s="29">
        <v>35191</v>
      </c>
      <c r="T619" s="32">
        <v>547.41555555555601</v>
      </c>
      <c r="U619" s="32">
        <v>0</v>
      </c>
      <c r="V619" s="37">
        <v>16.937772238842999</v>
      </c>
      <c r="W619" s="36">
        <v>46103</v>
      </c>
      <c r="X619" s="36">
        <v>46104</v>
      </c>
    </row>
    <row r="620" spans="1:24" ht="15.75" thickBot="1" x14ac:dyDescent="0.3">
      <c r="A620" t="str">
        <f t="shared" si="9"/>
        <v>DETE16B292B</v>
      </c>
      <c r="B620" s="22" t="s">
        <v>1472</v>
      </c>
      <c r="C620" s="22" t="s">
        <v>2116</v>
      </c>
      <c r="D620" s="22" t="s">
        <v>3817</v>
      </c>
      <c r="E620" s="22" t="s">
        <v>3815</v>
      </c>
      <c r="F620" s="22" t="s">
        <v>3818</v>
      </c>
      <c r="G620" s="28" t="s">
        <v>2012</v>
      </c>
      <c r="H620" s="22" t="s">
        <v>2055</v>
      </c>
      <c r="I620" s="21"/>
      <c r="J620" s="22" t="s">
        <v>261</v>
      </c>
      <c r="K620" s="22" t="s">
        <v>924</v>
      </c>
      <c r="L620" s="21"/>
      <c r="M620" s="22" t="s">
        <v>2034</v>
      </c>
      <c r="N620" s="28" t="s">
        <v>2015</v>
      </c>
      <c r="O620" s="28" t="s">
        <v>2016</v>
      </c>
      <c r="P620" s="29">
        <v>8318</v>
      </c>
      <c r="Q620" s="28" t="s">
        <v>2017</v>
      </c>
      <c r="R620" s="37">
        <v>16.032398028020001</v>
      </c>
      <c r="S620" s="29">
        <v>33353</v>
      </c>
      <c r="T620" s="32">
        <v>518.824444444444</v>
      </c>
      <c r="U620" s="32">
        <v>0</v>
      </c>
      <c r="V620" s="37">
        <v>16.032398028020001</v>
      </c>
      <c r="W620" s="36">
        <v>46103</v>
      </c>
      <c r="X620" s="36">
        <v>46104</v>
      </c>
    </row>
    <row r="621" spans="1:24" ht="15.75" thickBot="1" x14ac:dyDescent="0.3">
      <c r="A621" t="str">
        <f t="shared" si="9"/>
        <v>DETE190995A</v>
      </c>
      <c r="B621" s="22" t="s">
        <v>1474</v>
      </c>
      <c r="C621" s="22" t="s">
        <v>2465</v>
      </c>
      <c r="D621" s="22" t="s">
        <v>3819</v>
      </c>
      <c r="E621" s="22" t="s">
        <v>3820</v>
      </c>
      <c r="F621" s="22" t="s">
        <v>3821</v>
      </c>
      <c r="G621" s="28" t="s">
        <v>2012</v>
      </c>
      <c r="H621" s="22" t="s">
        <v>2013</v>
      </c>
      <c r="I621" s="21"/>
      <c r="J621" s="22" t="s">
        <v>261</v>
      </c>
      <c r="K621" s="22" t="s">
        <v>924</v>
      </c>
      <c r="L621" s="21"/>
      <c r="M621" s="22" t="s">
        <v>2034</v>
      </c>
      <c r="N621" s="28" t="s">
        <v>2015</v>
      </c>
      <c r="O621" s="28" t="s">
        <v>2016</v>
      </c>
      <c r="P621" s="29">
        <v>8728</v>
      </c>
      <c r="Q621" s="28" t="s">
        <v>2017</v>
      </c>
      <c r="R621" s="37">
        <v>16.323918139349001</v>
      </c>
      <c r="S621" s="29">
        <v>34372</v>
      </c>
      <c r="T621" s="32">
        <v>534.675555555556</v>
      </c>
      <c r="U621" s="32">
        <v>0</v>
      </c>
      <c r="V621" s="37">
        <v>16.323918139349001</v>
      </c>
      <c r="W621" s="36">
        <v>46103</v>
      </c>
      <c r="X621" s="36">
        <v>46104</v>
      </c>
    </row>
    <row r="622" spans="1:24" ht="15.75" thickBot="1" x14ac:dyDescent="0.3">
      <c r="A622" t="str">
        <f t="shared" si="9"/>
        <v>DETE410A36B</v>
      </c>
      <c r="B622" s="22" t="s">
        <v>1146</v>
      </c>
      <c r="C622" s="22" t="s">
        <v>2724</v>
      </c>
      <c r="D622" s="22" t="s">
        <v>3822</v>
      </c>
      <c r="E622" s="22" t="s">
        <v>3823</v>
      </c>
      <c r="F622" s="22" t="s">
        <v>3824</v>
      </c>
      <c r="G622" s="28" t="s">
        <v>2012</v>
      </c>
      <c r="H622" s="22" t="s">
        <v>2080</v>
      </c>
      <c r="I622" s="21"/>
      <c r="J622" s="22" t="s">
        <v>261</v>
      </c>
      <c r="K622" s="22" t="s">
        <v>924</v>
      </c>
      <c r="L622" s="21"/>
      <c r="M622" s="22" t="s">
        <v>2034</v>
      </c>
      <c r="N622" s="28" t="s">
        <v>2015</v>
      </c>
      <c r="O622" s="28" t="s">
        <v>2016</v>
      </c>
      <c r="P622" s="29">
        <v>4081</v>
      </c>
      <c r="Q622" s="28" t="s">
        <v>2017</v>
      </c>
      <c r="R622" s="37">
        <v>15.077586206895999</v>
      </c>
      <c r="S622" s="29">
        <v>17400</v>
      </c>
      <c r="T622" s="32">
        <v>270.66666666666703</v>
      </c>
      <c r="U622" s="32">
        <v>0</v>
      </c>
      <c r="V622" s="37">
        <v>15.077586206895999</v>
      </c>
      <c r="W622" s="36">
        <v>46102</v>
      </c>
      <c r="X622" s="36">
        <v>46104</v>
      </c>
    </row>
    <row r="623" spans="1:24" ht="15.75" thickBot="1" x14ac:dyDescent="0.3">
      <c r="A623" t="str">
        <f t="shared" si="9"/>
        <v>DETE410A37B</v>
      </c>
      <c r="B623" s="22" t="s">
        <v>1149</v>
      </c>
      <c r="C623" s="22" t="s">
        <v>2728</v>
      </c>
      <c r="D623" s="22" t="s">
        <v>3825</v>
      </c>
      <c r="E623" s="22" t="s">
        <v>3826</v>
      </c>
      <c r="F623" s="22" t="s">
        <v>3827</v>
      </c>
      <c r="G623" s="28" t="s">
        <v>2012</v>
      </c>
      <c r="H623" s="22" t="s">
        <v>2080</v>
      </c>
      <c r="I623" s="21"/>
      <c r="J623" s="22" t="s">
        <v>261</v>
      </c>
      <c r="K623" s="22" t="s">
        <v>924</v>
      </c>
      <c r="L623" s="21"/>
      <c r="M623" s="22" t="s">
        <v>2034</v>
      </c>
      <c r="N623" s="28" t="s">
        <v>2015</v>
      </c>
      <c r="O623" s="28" t="s">
        <v>2016</v>
      </c>
      <c r="P623" s="29">
        <v>4781</v>
      </c>
      <c r="Q623" s="28" t="s">
        <v>2017</v>
      </c>
      <c r="R623" s="37">
        <v>17.745381062355001</v>
      </c>
      <c r="S623" s="29">
        <v>17320</v>
      </c>
      <c r="T623" s="32">
        <v>269.42222222222199</v>
      </c>
      <c r="U623" s="32">
        <v>0</v>
      </c>
      <c r="V623" s="37">
        <v>17.745381062355001</v>
      </c>
      <c r="W623" s="36">
        <v>46104</v>
      </c>
      <c r="X623" s="36">
        <v>46104</v>
      </c>
    </row>
    <row r="624" spans="1:24" ht="15.75" thickBot="1" x14ac:dyDescent="0.3">
      <c r="A624" t="str">
        <f t="shared" si="9"/>
        <v>DETE42908A</v>
      </c>
      <c r="B624" s="22" t="s">
        <v>1490</v>
      </c>
      <c r="C624" s="22" t="s">
        <v>2455</v>
      </c>
      <c r="D624" s="22" t="s">
        <v>3828</v>
      </c>
      <c r="E624" s="21"/>
      <c r="F624" s="22" t="s">
        <v>3829</v>
      </c>
      <c r="G624" s="28" t="s">
        <v>2012</v>
      </c>
      <c r="H624" s="22" t="s">
        <v>2013</v>
      </c>
      <c r="I624" s="21"/>
      <c r="J624" s="22" t="s">
        <v>261</v>
      </c>
      <c r="K624" s="22" t="s">
        <v>924</v>
      </c>
      <c r="L624" s="21"/>
      <c r="M624" s="22" t="s">
        <v>2034</v>
      </c>
      <c r="N624" s="28" t="s">
        <v>2015</v>
      </c>
      <c r="O624" s="28" t="s">
        <v>2016</v>
      </c>
      <c r="P624" s="29">
        <v>4117</v>
      </c>
      <c r="Q624" s="28" t="s">
        <v>2017</v>
      </c>
      <c r="R624" s="37">
        <v>15.488312600321001</v>
      </c>
      <c r="S624" s="29">
        <v>17088</v>
      </c>
      <c r="T624" s="32">
        <v>265.81333333333299</v>
      </c>
      <c r="U624" s="32">
        <v>0</v>
      </c>
      <c r="V624" s="37">
        <v>15.488312600321001</v>
      </c>
      <c r="W624" s="36">
        <v>46102</v>
      </c>
      <c r="X624" s="36">
        <v>46104</v>
      </c>
    </row>
    <row r="625" spans="1:24" ht="15.75" thickBot="1" x14ac:dyDescent="0.3">
      <c r="A625" t="str">
        <f t="shared" si="9"/>
        <v>MLDBEU45895</v>
      </c>
      <c r="B625" s="22" t="s">
        <v>875</v>
      </c>
      <c r="C625" s="22" t="s">
        <v>3160</v>
      </c>
      <c r="D625" s="22" t="s">
        <v>3830</v>
      </c>
      <c r="E625" s="22" t="s">
        <v>3831</v>
      </c>
      <c r="F625" s="22" t="s">
        <v>3832</v>
      </c>
      <c r="G625" s="28" t="s">
        <v>2012</v>
      </c>
      <c r="H625" s="22" t="s">
        <v>2013</v>
      </c>
      <c r="I625" s="21"/>
      <c r="J625" s="22" t="s">
        <v>404</v>
      </c>
      <c r="K625" s="22" t="s">
        <v>262</v>
      </c>
      <c r="L625" s="21"/>
      <c r="M625" s="22" t="s">
        <v>2034</v>
      </c>
      <c r="N625" s="28" t="s">
        <v>2015</v>
      </c>
      <c r="O625" s="28" t="s">
        <v>2016</v>
      </c>
      <c r="P625" s="29">
        <v>508</v>
      </c>
      <c r="Q625" s="28" t="s">
        <v>2017</v>
      </c>
      <c r="R625" s="37">
        <v>17.370820668693</v>
      </c>
      <c r="S625" s="29">
        <v>1880</v>
      </c>
      <c r="T625" s="32">
        <v>29.244444444443999</v>
      </c>
      <c r="U625" s="32">
        <v>0</v>
      </c>
      <c r="V625" s="37">
        <v>17.370820668693</v>
      </c>
      <c r="W625" s="36">
        <v>46104</v>
      </c>
      <c r="X625" s="36">
        <v>46104</v>
      </c>
    </row>
    <row r="626" spans="1:24" ht="15.75" thickBot="1" x14ac:dyDescent="0.3">
      <c r="A626" t="str">
        <f t="shared" si="9"/>
        <v>MLDE025B84B</v>
      </c>
      <c r="B626" s="22" t="s">
        <v>727</v>
      </c>
      <c r="C626" s="22" t="s">
        <v>2575</v>
      </c>
      <c r="D626" s="22" t="s">
        <v>3833</v>
      </c>
      <c r="E626" s="21"/>
      <c r="F626" s="22" t="s">
        <v>3266</v>
      </c>
      <c r="G626" s="28" t="s">
        <v>2012</v>
      </c>
      <c r="H626" s="22" t="s">
        <v>2037</v>
      </c>
      <c r="I626" s="21"/>
      <c r="J626" s="22" t="s">
        <v>261</v>
      </c>
      <c r="K626" s="22" t="s">
        <v>262</v>
      </c>
      <c r="L626" s="21"/>
      <c r="M626" s="22" t="s">
        <v>2034</v>
      </c>
      <c r="N626" s="28" t="s">
        <v>2015</v>
      </c>
      <c r="O626" s="28" t="s">
        <v>2016</v>
      </c>
      <c r="P626" s="29">
        <v>467</v>
      </c>
      <c r="Q626" s="28" t="s">
        <v>2017</v>
      </c>
      <c r="R626" s="37">
        <v>15.571280379371</v>
      </c>
      <c r="S626" s="29">
        <v>1928</v>
      </c>
      <c r="T626" s="32">
        <v>29.991111111111</v>
      </c>
      <c r="U626" s="32">
        <v>0</v>
      </c>
      <c r="V626" s="37">
        <v>15.571280379371</v>
      </c>
      <c r="W626" s="36">
        <v>46102</v>
      </c>
      <c r="X626" s="36">
        <v>46104</v>
      </c>
    </row>
    <row r="627" spans="1:24" ht="15.75" thickBot="1" x14ac:dyDescent="0.3">
      <c r="A627" t="str">
        <f t="shared" si="9"/>
        <v>N1WB E24396 CA3ZHE</v>
      </c>
      <c r="B627" s="22" t="s">
        <v>512</v>
      </c>
      <c r="C627" s="22" t="s">
        <v>3834</v>
      </c>
      <c r="D627" s="22" t="s">
        <v>2679</v>
      </c>
      <c r="E627" s="21"/>
      <c r="F627" s="22" t="s">
        <v>2426</v>
      </c>
      <c r="G627" s="28" t="s">
        <v>2012</v>
      </c>
      <c r="H627" s="22" t="s">
        <v>2080</v>
      </c>
      <c r="I627" s="21"/>
      <c r="J627" s="22" t="s">
        <v>261</v>
      </c>
      <c r="K627" s="22" t="s">
        <v>262</v>
      </c>
      <c r="L627" s="21"/>
      <c r="M627" s="22" t="s">
        <v>2014</v>
      </c>
      <c r="N627" s="28" t="s">
        <v>2015</v>
      </c>
      <c r="O627" s="28" t="s">
        <v>2016</v>
      </c>
      <c r="P627" s="29">
        <v>656</v>
      </c>
      <c r="Q627" s="28" t="s">
        <v>2017</v>
      </c>
      <c r="R627" s="37">
        <v>16.453932333760001</v>
      </c>
      <c r="S627" s="29">
        <v>2563</v>
      </c>
      <c r="T627" s="32">
        <v>39.868888888888002</v>
      </c>
      <c r="U627" s="32">
        <v>0</v>
      </c>
      <c r="V627" s="37">
        <v>16.453932333760001</v>
      </c>
      <c r="W627" s="36">
        <v>46103</v>
      </c>
      <c r="X627" s="36">
        <v>46104</v>
      </c>
    </row>
    <row r="628" spans="1:24" ht="15.75" thickBot="1" x14ac:dyDescent="0.3">
      <c r="A628" t="str">
        <f t="shared" si="9"/>
        <v>PC.WL68424074</v>
      </c>
      <c r="B628" s="22" t="s">
        <v>1755</v>
      </c>
      <c r="C628" s="22" t="s">
        <v>2175</v>
      </c>
      <c r="D628" s="22" t="s">
        <v>3066</v>
      </c>
      <c r="E628" s="22" t="s">
        <v>3835</v>
      </c>
      <c r="F628" s="22" t="s">
        <v>3836</v>
      </c>
      <c r="G628" s="28" t="s">
        <v>2012</v>
      </c>
      <c r="H628" s="22" t="s">
        <v>2022</v>
      </c>
      <c r="I628" s="21"/>
      <c r="J628" s="22" t="s">
        <v>1117</v>
      </c>
      <c r="K628" s="22" t="s">
        <v>924</v>
      </c>
      <c r="L628" s="21"/>
      <c r="M628" s="22" t="s">
        <v>2014</v>
      </c>
      <c r="N628" s="28" t="s">
        <v>2015</v>
      </c>
      <c r="O628" s="28" t="s">
        <v>2016</v>
      </c>
      <c r="P628" s="29">
        <v>9238</v>
      </c>
      <c r="Q628" s="28" t="s">
        <v>2017</v>
      </c>
      <c r="R628" s="37">
        <v>17.466806722689</v>
      </c>
      <c r="S628" s="29">
        <v>34000</v>
      </c>
      <c r="T628" s="32">
        <v>528.88888888888903</v>
      </c>
      <c r="U628" s="32">
        <v>0</v>
      </c>
      <c r="V628" s="37">
        <v>17.466806722689</v>
      </c>
      <c r="W628" s="36">
        <v>46104</v>
      </c>
      <c r="X628" s="36">
        <v>46104</v>
      </c>
    </row>
    <row r="629" spans="1:24" ht="15.75" thickBot="1" x14ac:dyDescent="0.3">
      <c r="A629" t="str">
        <f t="shared" si="9"/>
        <v>PC30188E</v>
      </c>
      <c r="B629" s="22" t="s">
        <v>1317</v>
      </c>
      <c r="C629" s="22" t="s">
        <v>3837</v>
      </c>
      <c r="D629" s="22" t="s">
        <v>3838</v>
      </c>
      <c r="E629" s="22" t="s">
        <v>3839</v>
      </c>
      <c r="F629" s="22" t="s">
        <v>2139</v>
      </c>
      <c r="G629" s="28" t="s">
        <v>2012</v>
      </c>
      <c r="H629" s="22" t="s">
        <v>2022</v>
      </c>
      <c r="I629" s="21"/>
      <c r="J629" s="22" t="s">
        <v>1117</v>
      </c>
      <c r="K629" s="22" t="s">
        <v>924</v>
      </c>
      <c r="L629" s="21"/>
      <c r="M629" s="22" t="s">
        <v>2014</v>
      </c>
      <c r="N629" s="28" t="s">
        <v>2015</v>
      </c>
      <c r="O629" s="28" t="s">
        <v>2016</v>
      </c>
      <c r="P629" s="29">
        <v>8060</v>
      </c>
      <c r="Q629" s="28" t="s">
        <v>2017</v>
      </c>
      <c r="R629" s="37">
        <v>15.239495798319</v>
      </c>
      <c r="S629" s="29">
        <v>34000</v>
      </c>
      <c r="T629" s="32">
        <v>528.88888888888903</v>
      </c>
      <c r="U629" s="32">
        <v>0</v>
      </c>
      <c r="V629" s="37">
        <v>15.239495798319</v>
      </c>
      <c r="W629" s="36">
        <v>46102</v>
      </c>
      <c r="X629" s="36">
        <v>46104</v>
      </c>
    </row>
    <row r="630" spans="1:24" ht="15.75" thickBot="1" x14ac:dyDescent="0.3">
      <c r="A630" t="str">
        <f t="shared" si="9"/>
        <v>PC30189E</v>
      </c>
      <c r="B630" s="22" t="s">
        <v>1319</v>
      </c>
      <c r="C630" s="22" t="s">
        <v>3840</v>
      </c>
      <c r="D630" s="22" t="s">
        <v>3841</v>
      </c>
      <c r="E630" s="22" t="s">
        <v>3842</v>
      </c>
      <c r="F630" s="22" t="s">
        <v>2139</v>
      </c>
      <c r="G630" s="28" t="s">
        <v>2012</v>
      </c>
      <c r="H630" s="22" t="s">
        <v>2022</v>
      </c>
      <c r="I630" s="21"/>
      <c r="J630" s="22" t="s">
        <v>1117</v>
      </c>
      <c r="K630" s="22" t="s">
        <v>924</v>
      </c>
      <c r="L630" s="21"/>
      <c r="M630" s="22" t="s">
        <v>2014</v>
      </c>
      <c r="N630" s="28" t="s">
        <v>2015</v>
      </c>
      <c r="O630" s="28" t="s">
        <v>2016</v>
      </c>
      <c r="P630" s="29">
        <v>8202</v>
      </c>
      <c r="Q630" s="28" t="s">
        <v>2017</v>
      </c>
      <c r="R630" s="37">
        <v>15.507983193276999</v>
      </c>
      <c r="S630" s="29">
        <v>34000</v>
      </c>
      <c r="T630" s="32">
        <v>528.88888888888903</v>
      </c>
      <c r="U630" s="32">
        <v>0</v>
      </c>
      <c r="V630" s="37">
        <v>15.507983193276999</v>
      </c>
      <c r="W630" s="36">
        <v>46102</v>
      </c>
      <c r="X630" s="36">
        <v>46104</v>
      </c>
    </row>
    <row r="631" spans="1:24" ht="15.75" thickBot="1" x14ac:dyDescent="0.3">
      <c r="A631" t="str">
        <f t="shared" si="9"/>
        <v>PCP14A563</v>
      </c>
      <c r="B631" s="22" t="s">
        <v>3843</v>
      </c>
      <c r="C631" s="22" t="s">
        <v>3844</v>
      </c>
      <c r="D631" s="22" t="s">
        <v>3618</v>
      </c>
      <c r="E631" s="22" t="s">
        <v>3845</v>
      </c>
      <c r="F631" s="22" t="s">
        <v>2030</v>
      </c>
      <c r="G631" s="28" t="s">
        <v>2012</v>
      </c>
      <c r="H631" s="22" t="s">
        <v>3846</v>
      </c>
      <c r="I631" s="22" t="s">
        <v>3847</v>
      </c>
      <c r="J631" s="22" t="s">
        <v>261</v>
      </c>
      <c r="K631" s="22" t="s">
        <v>262</v>
      </c>
      <c r="L631" s="22" t="s">
        <v>3620</v>
      </c>
      <c r="M631" s="22" t="s">
        <v>2130</v>
      </c>
      <c r="N631" s="28" t="s">
        <v>2494</v>
      </c>
      <c r="O631" s="28" t="s">
        <v>2016</v>
      </c>
      <c r="P631" s="29">
        <v>102519</v>
      </c>
      <c r="Q631" s="28" t="s">
        <v>2017</v>
      </c>
      <c r="R631" s="37">
        <v>17.027358308806999</v>
      </c>
      <c r="S631" s="29">
        <v>387054</v>
      </c>
      <c r="T631" s="32">
        <v>6020.84</v>
      </c>
      <c r="U631" s="32">
        <v>0</v>
      </c>
      <c r="V631" s="37">
        <v>17.027358308806999</v>
      </c>
      <c r="W631" s="36">
        <v>46104</v>
      </c>
      <c r="X631" s="36">
        <v>46104</v>
      </c>
    </row>
    <row r="632" spans="1:24" ht="15.75" thickBot="1" x14ac:dyDescent="0.3">
      <c r="A632" t="str">
        <f t="shared" si="9"/>
        <v>PCP2623942BAG01</v>
      </c>
      <c r="B632" s="22" t="s">
        <v>3848</v>
      </c>
      <c r="C632" s="21"/>
      <c r="D632" s="22" t="s">
        <v>3849</v>
      </c>
      <c r="E632" s="21"/>
      <c r="F632" s="22" t="s">
        <v>2030</v>
      </c>
      <c r="G632" s="28" t="s">
        <v>2012</v>
      </c>
      <c r="H632" s="22" t="s">
        <v>3850</v>
      </c>
      <c r="I632" s="22" t="s">
        <v>3851</v>
      </c>
      <c r="J632" s="22" t="s">
        <v>261</v>
      </c>
      <c r="K632" s="22" t="s">
        <v>262</v>
      </c>
      <c r="L632" s="22" t="s">
        <v>3852</v>
      </c>
      <c r="M632" s="22" t="s">
        <v>2130</v>
      </c>
      <c r="N632" s="28" t="s">
        <v>2494</v>
      </c>
      <c r="O632" s="28" t="s">
        <v>2016</v>
      </c>
      <c r="P632" s="29">
        <v>18258</v>
      </c>
      <c r="Q632" s="28" t="s">
        <v>2017</v>
      </c>
      <c r="R632" s="37">
        <v>16.401103507748999</v>
      </c>
      <c r="S632" s="29">
        <v>71564</v>
      </c>
      <c r="T632" s="32">
        <v>1113.2177777777799</v>
      </c>
      <c r="U632" s="32">
        <v>0</v>
      </c>
      <c r="V632" s="37">
        <v>16.401103507748999</v>
      </c>
      <c r="W632" s="36">
        <v>46103</v>
      </c>
      <c r="X632" s="36">
        <v>46104</v>
      </c>
    </row>
    <row r="633" spans="1:24" ht="15.75" thickBot="1" x14ac:dyDescent="0.3">
      <c r="A633" t="str">
        <f t="shared" si="9"/>
        <v>PCP26403A86APIA04</v>
      </c>
      <c r="B633" s="22" t="s">
        <v>3853</v>
      </c>
      <c r="C633" s="22" t="s">
        <v>3854</v>
      </c>
      <c r="D633" s="22" t="s">
        <v>3855</v>
      </c>
      <c r="E633" s="21"/>
      <c r="F633" s="22" t="s">
        <v>2030</v>
      </c>
      <c r="G633" s="28" t="s">
        <v>2012</v>
      </c>
      <c r="H633" s="22" t="s">
        <v>3856</v>
      </c>
      <c r="I633" s="22" t="s">
        <v>3857</v>
      </c>
      <c r="J633" s="22" t="s">
        <v>494</v>
      </c>
      <c r="K633" s="22" t="s">
        <v>262</v>
      </c>
      <c r="L633" s="22" t="s">
        <v>3858</v>
      </c>
      <c r="M633" s="22" t="s">
        <v>2130</v>
      </c>
      <c r="N633" s="28" t="s">
        <v>2494</v>
      </c>
      <c r="O633" s="28" t="s">
        <v>2016</v>
      </c>
      <c r="P633" s="29">
        <v>4119</v>
      </c>
      <c r="Q633" s="28" t="s">
        <v>2017</v>
      </c>
      <c r="R633" s="37">
        <v>17.072395689417</v>
      </c>
      <c r="S633" s="29">
        <v>15510</v>
      </c>
      <c r="T633" s="32">
        <v>241.26666666666699</v>
      </c>
      <c r="U633" s="32">
        <v>0</v>
      </c>
      <c r="V633" s="37">
        <v>17.072395689417</v>
      </c>
      <c r="W633" s="36">
        <v>46104</v>
      </c>
      <c r="X633" s="36">
        <v>46104</v>
      </c>
    </row>
    <row r="634" spans="1:24" ht="15.75" thickBot="1" x14ac:dyDescent="0.3">
      <c r="A634" t="str">
        <f t="shared" si="9"/>
        <v>PCPE03512DPIA03</v>
      </c>
      <c r="B634" s="22" t="s">
        <v>3859</v>
      </c>
      <c r="C634" s="21"/>
      <c r="D634" s="22" t="s">
        <v>3860</v>
      </c>
      <c r="E634" s="21"/>
      <c r="F634" s="22" t="s">
        <v>2030</v>
      </c>
      <c r="G634" s="28" t="s">
        <v>2012</v>
      </c>
      <c r="H634" s="22" t="s">
        <v>3856</v>
      </c>
      <c r="I634" s="22" t="s">
        <v>3857</v>
      </c>
      <c r="J634" s="22" t="s">
        <v>261</v>
      </c>
      <c r="K634" s="22" t="s">
        <v>262</v>
      </c>
      <c r="L634" s="22" t="s">
        <v>3861</v>
      </c>
      <c r="M634" s="22" t="s">
        <v>2130</v>
      </c>
      <c r="N634" s="28" t="s">
        <v>2494</v>
      </c>
      <c r="O634" s="28" t="s">
        <v>2016</v>
      </c>
      <c r="P634" s="29">
        <v>8631</v>
      </c>
      <c r="Q634" s="28" t="s">
        <v>2017</v>
      </c>
      <c r="R634" s="37">
        <v>17.286123746026998</v>
      </c>
      <c r="S634" s="29">
        <v>32098</v>
      </c>
      <c r="T634" s="32">
        <v>499.30222222222199</v>
      </c>
      <c r="U634" s="32">
        <v>0</v>
      </c>
      <c r="V634" s="37">
        <v>17.286123746026998</v>
      </c>
      <c r="W634" s="36">
        <v>46104</v>
      </c>
      <c r="X634" s="36">
        <v>46104</v>
      </c>
    </row>
    <row r="635" spans="1:24" ht="15.75" thickBot="1" x14ac:dyDescent="0.3">
      <c r="A635" t="str">
        <f t="shared" si="9"/>
        <v>PCPE237W28APIA70</v>
      </c>
      <c r="B635" s="22" t="s">
        <v>3862</v>
      </c>
      <c r="C635" s="21"/>
      <c r="D635" s="22" t="s">
        <v>3863</v>
      </c>
      <c r="E635" s="22" t="s">
        <v>3864</v>
      </c>
      <c r="F635" s="22" t="s">
        <v>3865</v>
      </c>
      <c r="G635" s="28" t="s">
        <v>2012</v>
      </c>
      <c r="H635" s="22" t="s">
        <v>3866</v>
      </c>
      <c r="I635" s="22" t="s">
        <v>3867</v>
      </c>
      <c r="J635" s="22" t="s">
        <v>261</v>
      </c>
      <c r="K635" s="22" t="s">
        <v>262</v>
      </c>
      <c r="L635" s="22" t="s">
        <v>3868</v>
      </c>
      <c r="M635" s="22" t="s">
        <v>2130</v>
      </c>
      <c r="N635" s="28" t="s">
        <v>2494</v>
      </c>
      <c r="O635" s="28" t="s">
        <v>2016</v>
      </c>
      <c r="P635" s="29">
        <v>711</v>
      </c>
      <c r="Q635" s="28" t="s">
        <v>2017</v>
      </c>
      <c r="R635" s="37">
        <v>17.715946843853001</v>
      </c>
      <c r="S635" s="29">
        <v>2580</v>
      </c>
      <c r="T635" s="32">
        <v>40.133333333332999</v>
      </c>
      <c r="U635" s="32">
        <v>0</v>
      </c>
      <c r="V635" s="37">
        <v>17.715946843853001</v>
      </c>
      <c r="W635" s="36">
        <v>46104</v>
      </c>
      <c r="X635" s="36">
        <v>46104</v>
      </c>
    </row>
    <row r="636" spans="1:24" ht="15.75" thickBot="1" x14ac:dyDescent="0.3">
      <c r="A636" t="str">
        <f t="shared" si="9"/>
        <v>PCPE23942APIA26</v>
      </c>
      <c r="B636" s="22" t="s">
        <v>3869</v>
      </c>
      <c r="C636" s="21"/>
      <c r="D636" s="22" t="s">
        <v>3870</v>
      </c>
      <c r="E636" s="21"/>
      <c r="F636" s="22" t="s">
        <v>2030</v>
      </c>
      <c r="G636" s="28" t="s">
        <v>2012</v>
      </c>
      <c r="H636" s="22" t="s">
        <v>3871</v>
      </c>
      <c r="I636" s="22" t="s">
        <v>3872</v>
      </c>
      <c r="J636" s="22" t="s">
        <v>261</v>
      </c>
      <c r="K636" s="22" t="s">
        <v>262</v>
      </c>
      <c r="L636" s="22" t="s">
        <v>3858</v>
      </c>
      <c r="M636" s="22" t="s">
        <v>2130</v>
      </c>
      <c r="N636" s="28" t="s">
        <v>2494</v>
      </c>
      <c r="O636" s="28" t="s">
        <v>2016</v>
      </c>
      <c r="P636" s="29">
        <v>9060</v>
      </c>
      <c r="Q636" s="28" t="s">
        <v>2017</v>
      </c>
      <c r="R636" s="37">
        <v>16.28760791489</v>
      </c>
      <c r="S636" s="29">
        <v>35759</v>
      </c>
      <c r="T636" s="32">
        <v>556.25111111111096</v>
      </c>
      <c r="U636" s="32">
        <v>0</v>
      </c>
      <c r="V636" s="37">
        <v>16.28760791489</v>
      </c>
      <c r="W636" s="36">
        <v>46103</v>
      </c>
      <c r="X636" s="36">
        <v>46104</v>
      </c>
    </row>
    <row r="637" spans="1:24" ht="15.75" thickBot="1" x14ac:dyDescent="0.3">
      <c r="A637" t="str">
        <f t="shared" si="9"/>
        <v>PCPE23942APIA27</v>
      </c>
      <c r="B637" s="22" t="s">
        <v>3873</v>
      </c>
      <c r="C637" s="22" t="s">
        <v>3874</v>
      </c>
      <c r="D637" s="22" t="s">
        <v>3875</v>
      </c>
      <c r="E637" s="22" t="s">
        <v>3876</v>
      </c>
      <c r="F637" s="22" t="s">
        <v>2030</v>
      </c>
      <c r="G637" s="28" t="s">
        <v>2012</v>
      </c>
      <c r="H637" s="22" t="s">
        <v>3877</v>
      </c>
      <c r="I637" s="22" t="s">
        <v>3878</v>
      </c>
      <c r="J637" s="22" t="s">
        <v>261</v>
      </c>
      <c r="K637" s="22" t="s">
        <v>262</v>
      </c>
      <c r="L637" s="22" t="s">
        <v>3858</v>
      </c>
      <c r="M637" s="22" t="s">
        <v>2130</v>
      </c>
      <c r="N637" s="28" t="s">
        <v>2494</v>
      </c>
      <c r="O637" s="28" t="s">
        <v>2016</v>
      </c>
      <c r="P637" s="29">
        <v>9200</v>
      </c>
      <c r="Q637" s="28" t="s">
        <v>2017</v>
      </c>
      <c r="R637" s="37">
        <v>16.539292805407001</v>
      </c>
      <c r="S637" s="29">
        <v>35759</v>
      </c>
      <c r="T637" s="32">
        <v>556.25111111111096</v>
      </c>
      <c r="U637" s="32">
        <v>0</v>
      </c>
      <c r="V637" s="37">
        <v>16.539292805407001</v>
      </c>
      <c r="W637" s="36">
        <v>46103</v>
      </c>
      <c r="X637" s="36">
        <v>46104</v>
      </c>
    </row>
    <row r="638" spans="1:24" ht="15.75" thickBot="1" x14ac:dyDescent="0.3">
      <c r="A638" t="str">
        <f t="shared" si="9"/>
        <v>PCPE23942APIA28</v>
      </c>
      <c r="B638" s="22" t="s">
        <v>3879</v>
      </c>
      <c r="C638" s="22" t="s">
        <v>3880</v>
      </c>
      <c r="D638" s="22" t="s">
        <v>3875</v>
      </c>
      <c r="E638" s="22" t="s">
        <v>3881</v>
      </c>
      <c r="F638" s="22" t="s">
        <v>2030</v>
      </c>
      <c r="G638" s="28" t="s">
        <v>2012</v>
      </c>
      <c r="H638" s="22" t="s">
        <v>3877</v>
      </c>
      <c r="I638" s="22" t="s">
        <v>3878</v>
      </c>
      <c r="J638" s="22" t="s">
        <v>261</v>
      </c>
      <c r="K638" s="22" t="s">
        <v>262</v>
      </c>
      <c r="L638" s="22" t="s">
        <v>3858</v>
      </c>
      <c r="M638" s="22" t="s">
        <v>2130</v>
      </c>
      <c r="N638" s="28" t="s">
        <v>2494</v>
      </c>
      <c r="O638" s="28" t="s">
        <v>2016</v>
      </c>
      <c r="P638" s="29">
        <v>19054</v>
      </c>
      <c r="Q638" s="28" t="s">
        <v>2017</v>
      </c>
      <c r="R638" s="37">
        <v>17.127156799685999</v>
      </c>
      <c r="S638" s="29">
        <v>71518</v>
      </c>
      <c r="T638" s="32">
        <v>1112.5022222222201</v>
      </c>
      <c r="U638" s="32">
        <v>0</v>
      </c>
      <c r="V638" s="37">
        <v>17.127156799685999</v>
      </c>
      <c r="W638" s="36">
        <v>46104</v>
      </c>
      <c r="X638" s="36">
        <v>46104</v>
      </c>
    </row>
    <row r="639" spans="1:24" ht="15.75" thickBot="1" x14ac:dyDescent="0.3">
      <c r="A639" t="str">
        <f t="shared" si="9"/>
        <v>PCPE23943AR02.HA</v>
      </c>
      <c r="B639" s="22" t="s">
        <v>3882</v>
      </c>
      <c r="C639" s="21"/>
      <c r="D639" s="22" t="s">
        <v>3883</v>
      </c>
      <c r="E639" s="21"/>
      <c r="F639" s="22" t="s">
        <v>2030</v>
      </c>
      <c r="G639" s="28" t="s">
        <v>2012</v>
      </c>
      <c r="H639" s="22" t="s">
        <v>3459</v>
      </c>
      <c r="I639" s="22" t="s">
        <v>3460</v>
      </c>
      <c r="J639" s="22" t="s">
        <v>261</v>
      </c>
      <c r="K639" s="22" t="s">
        <v>262</v>
      </c>
      <c r="L639" s="22" t="s">
        <v>3318</v>
      </c>
      <c r="M639" s="22" t="s">
        <v>2130</v>
      </c>
      <c r="N639" s="28" t="s">
        <v>2494</v>
      </c>
      <c r="O639" s="28" t="s">
        <v>2016</v>
      </c>
      <c r="P639" s="29">
        <v>1629</v>
      </c>
      <c r="Q639" s="28" t="s">
        <v>2017</v>
      </c>
      <c r="R639" s="37">
        <v>17.919477852741998</v>
      </c>
      <c r="S639" s="29">
        <v>5844</v>
      </c>
      <c r="T639" s="32">
        <v>90.906666666665998</v>
      </c>
      <c r="U639" s="32">
        <v>0</v>
      </c>
      <c r="V639" s="37">
        <v>17.919477852741998</v>
      </c>
      <c r="W639" s="36">
        <v>46104</v>
      </c>
      <c r="X639" s="36">
        <v>46104</v>
      </c>
    </row>
    <row r="640" spans="1:24" ht="15.75" thickBot="1" x14ac:dyDescent="0.3">
      <c r="A640" t="str">
        <f t="shared" si="9"/>
        <v>PCPE27406AR02.HA</v>
      </c>
      <c r="B640" s="22" t="s">
        <v>3884</v>
      </c>
      <c r="C640" s="21"/>
      <c r="D640" s="22" t="s">
        <v>3885</v>
      </c>
      <c r="E640" s="21"/>
      <c r="F640" s="22" t="s">
        <v>2030</v>
      </c>
      <c r="G640" s="28" t="s">
        <v>2012</v>
      </c>
      <c r="H640" s="22" t="s">
        <v>3459</v>
      </c>
      <c r="I640" s="22" t="s">
        <v>3460</v>
      </c>
      <c r="J640" s="22" t="s">
        <v>261</v>
      </c>
      <c r="K640" s="22" t="s">
        <v>262</v>
      </c>
      <c r="L640" s="22" t="s">
        <v>3318</v>
      </c>
      <c r="M640" s="22" t="s">
        <v>2130</v>
      </c>
      <c r="N640" s="28" t="s">
        <v>2494</v>
      </c>
      <c r="O640" s="28" t="s">
        <v>2016</v>
      </c>
      <c r="P640" s="29">
        <v>1572</v>
      </c>
      <c r="Q640" s="28" t="s">
        <v>2017</v>
      </c>
      <c r="R640" s="37">
        <v>17.274725274725</v>
      </c>
      <c r="S640" s="29">
        <v>5850</v>
      </c>
      <c r="T640" s="32">
        <v>91</v>
      </c>
      <c r="U640" s="32">
        <v>0</v>
      </c>
      <c r="V640" s="37">
        <v>17.274725274725</v>
      </c>
      <c r="W640" s="36">
        <v>46104</v>
      </c>
      <c r="X640" s="36">
        <v>46104</v>
      </c>
    </row>
    <row r="641" spans="1:24" ht="15.75" thickBot="1" x14ac:dyDescent="0.3">
      <c r="A641" t="str">
        <f t="shared" si="9"/>
        <v>PCPE27406MPIA06A</v>
      </c>
      <c r="B641" s="22" t="s">
        <v>3886</v>
      </c>
      <c r="C641" s="22" t="s">
        <v>3887</v>
      </c>
      <c r="D641" s="22" t="s">
        <v>3888</v>
      </c>
      <c r="E641" s="21"/>
      <c r="F641" s="22" t="s">
        <v>2030</v>
      </c>
      <c r="G641" s="28" t="s">
        <v>2012</v>
      </c>
      <c r="H641" s="22" t="s">
        <v>3856</v>
      </c>
      <c r="I641" s="22" t="s">
        <v>3857</v>
      </c>
      <c r="J641" s="22" t="s">
        <v>261</v>
      </c>
      <c r="K641" s="22" t="s">
        <v>262</v>
      </c>
      <c r="L641" s="22" t="s">
        <v>3858</v>
      </c>
      <c r="M641" s="22" t="s">
        <v>2130</v>
      </c>
      <c r="N641" s="28" t="s">
        <v>2494</v>
      </c>
      <c r="O641" s="28" t="s">
        <v>2016</v>
      </c>
      <c r="P641" s="29">
        <v>9230</v>
      </c>
      <c r="Q641" s="28" t="s">
        <v>2017</v>
      </c>
      <c r="R641" s="37">
        <v>16.593225281946999</v>
      </c>
      <c r="S641" s="29">
        <v>35759</v>
      </c>
      <c r="T641" s="32">
        <v>556.25111111111096</v>
      </c>
      <c r="U641" s="32">
        <v>0</v>
      </c>
      <c r="V641" s="37">
        <v>16.593225281946999</v>
      </c>
      <c r="W641" s="36">
        <v>46103</v>
      </c>
      <c r="X641" s="36">
        <v>46104</v>
      </c>
    </row>
    <row r="642" spans="1:24" ht="15.75" thickBot="1" x14ac:dyDescent="0.3">
      <c r="A642" t="str">
        <f t="shared" si="9"/>
        <v>PCPE27407AR01.HA</v>
      </c>
      <c r="B642" s="22" t="s">
        <v>3889</v>
      </c>
      <c r="C642" s="21"/>
      <c r="D642" s="22" t="s">
        <v>3890</v>
      </c>
      <c r="E642" s="21"/>
      <c r="F642" s="22" t="s">
        <v>2030</v>
      </c>
      <c r="G642" s="28" t="s">
        <v>2012</v>
      </c>
      <c r="H642" s="22" t="s">
        <v>3459</v>
      </c>
      <c r="I642" s="22" t="s">
        <v>3460</v>
      </c>
      <c r="J642" s="22" t="s">
        <v>261</v>
      </c>
      <c r="K642" s="22" t="s">
        <v>262</v>
      </c>
      <c r="L642" s="22" t="s">
        <v>3318</v>
      </c>
      <c r="M642" s="22" t="s">
        <v>2130</v>
      </c>
      <c r="N642" s="28" t="s">
        <v>2494</v>
      </c>
      <c r="O642" s="28" t="s">
        <v>2016</v>
      </c>
      <c r="P642" s="29">
        <v>1269</v>
      </c>
      <c r="Q642" s="28" t="s">
        <v>2017</v>
      </c>
      <c r="R642" s="37">
        <v>16.758128888367001</v>
      </c>
      <c r="S642" s="29">
        <v>4868</v>
      </c>
      <c r="T642" s="32">
        <v>75.724444444444003</v>
      </c>
      <c r="U642" s="32">
        <v>0</v>
      </c>
      <c r="V642" s="37">
        <v>16.758128888367001</v>
      </c>
      <c r="W642" s="36">
        <v>46103</v>
      </c>
      <c r="X642" s="36">
        <v>46104</v>
      </c>
    </row>
    <row r="643" spans="1:24" ht="15.75" thickBot="1" x14ac:dyDescent="0.3">
      <c r="A643" t="str">
        <f t="shared" si="9"/>
        <v>PCPE27407GPIA07</v>
      </c>
      <c r="B643" s="22" t="s">
        <v>3891</v>
      </c>
      <c r="C643" s="22" t="s">
        <v>3892</v>
      </c>
      <c r="D643" s="22" t="s">
        <v>3893</v>
      </c>
      <c r="E643" s="21"/>
      <c r="F643" s="22" t="s">
        <v>2030</v>
      </c>
      <c r="G643" s="28" t="s">
        <v>2012</v>
      </c>
      <c r="H643" s="22" t="s">
        <v>3856</v>
      </c>
      <c r="I643" s="22" t="s">
        <v>3857</v>
      </c>
      <c r="J643" s="22" t="s">
        <v>261</v>
      </c>
      <c r="K643" s="22" t="s">
        <v>262</v>
      </c>
      <c r="L643" s="22" t="s">
        <v>3894</v>
      </c>
      <c r="M643" s="22" t="s">
        <v>2130</v>
      </c>
      <c r="N643" s="28" t="s">
        <v>2494</v>
      </c>
      <c r="O643" s="28" t="s">
        <v>2016</v>
      </c>
      <c r="P643" s="29">
        <v>9011</v>
      </c>
      <c r="Q643" s="28" t="s">
        <v>2017</v>
      </c>
      <c r="R643" s="37">
        <v>16.199518203208999</v>
      </c>
      <c r="S643" s="29">
        <v>35759</v>
      </c>
      <c r="T643" s="32">
        <v>556.25111111111096</v>
      </c>
      <c r="U643" s="32">
        <v>0</v>
      </c>
      <c r="V643" s="37">
        <v>16.199518203208999</v>
      </c>
      <c r="W643" s="36">
        <v>46103</v>
      </c>
      <c r="X643" s="36">
        <v>46104</v>
      </c>
    </row>
    <row r="644" spans="1:24" ht="15.75" thickBot="1" x14ac:dyDescent="0.3">
      <c r="A644" t="str">
        <f t="shared" si="9"/>
        <v>PCPE31002CPIA03</v>
      </c>
      <c r="B644" s="22" t="s">
        <v>3895</v>
      </c>
      <c r="C644" s="21"/>
      <c r="D644" s="22" t="s">
        <v>3896</v>
      </c>
      <c r="E644" s="21"/>
      <c r="F644" s="22" t="s">
        <v>2030</v>
      </c>
      <c r="G644" s="28" t="s">
        <v>2012</v>
      </c>
      <c r="H644" s="22" t="s">
        <v>3897</v>
      </c>
      <c r="I644" s="22" t="s">
        <v>3898</v>
      </c>
      <c r="J644" s="22" t="s">
        <v>261</v>
      </c>
      <c r="K644" s="22" t="s">
        <v>262</v>
      </c>
      <c r="L644" s="22" t="s">
        <v>3899</v>
      </c>
      <c r="M644" s="22" t="s">
        <v>2130</v>
      </c>
      <c r="N644" s="28" t="s">
        <v>2494</v>
      </c>
      <c r="O644" s="28" t="s">
        <v>2016</v>
      </c>
      <c r="P644" s="29">
        <v>8887</v>
      </c>
      <c r="Q644" s="28" t="s">
        <v>2017</v>
      </c>
      <c r="R644" s="37">
        <v>17.300803793141998</v>
      </c>
      <c r="S644" s="29">
        <v>33022</v>
      </c>
      <c r="T644" s="32">
        <v>513.675555555556</v>
      </c>
      <c r="U644" s="32">
        <v>0</v>
      </c>
      <c r="V644" s="37">
        <v>17.300803793141998</v>
      </c>
      <c r="W644" s="36">
        <v>46104</v>
      </c>
      <c r="X644" s="36">
        <v>46104</v>
      </c>
    </row>
    <row r="645" spans="1:24" ht="15.75" thickBot="1" x14ac:dyDescent="0.3">
      <c r="A645" t="str">
        <f t="shared" ref="A645:A708" si="10">TRIM(B645)</f>
        <v>PCPW709046-S300</v>
      </c>
      <c r="B645" s="22" t="s">
        <v>3900</v>
      </c>
      <c r="C645" s="22" t="s">
        <v>3901</v>
      </c>
      <c r="D645" s="22" t="s">
        <v>3618</v>
      </c>
      <c r="E645" s="22" t="s">
        <v>3902</v>
      </c>
      <c r="F645" s="22" t="s">
        <v>2030</v>
      </c>
      <c r="G645" s="28" t="s">
        <v>2012</v>
      </c>
      <c r="H645" s="22" t="s">
        <v>3714</v>
      </c>
      <c r="I645" s="22" t="s">
        <v>3715</v>
      </c>
      <c r="J645" s="22" t="s">
        <v>261</v>
      </c>
      <c r="K645" s="22" t="s">
        <v>262</v>
      </c>
      <c r="L645" s="22" t="s">
        <v>3716</v>
      </c>
      <c r="M645" s="22" t="s">
        <v>2130</v>
      </c>
      <c r="N645" s="28" t="s">
        <v>2494</v>
      </c>
      <c r="O645" s="28" t="s">
        <v>2016</v>
      </c>
      <c r="P645" s="29">
        <v>4173</v>
      </c>
      <c r="Q645" s="28" t="s">
        <v>2017</v>
      </c>
      <c r="R645" s="37">
        <v>15.409517244773999</v>
      </c>
      <c r="S645" s="29">
        <v>17409</v>
      </c>
      <c r="T645" s="32">
        <v>270.80666666666701</v>
      </c>
      <c r="U645" s="32">
        <v>0</v>
      </c>
      <c r="V645" s="37">
        <v>15.409517244773999</v>
      </c>
      <c r="W645" s="36">
        <v>46102</v>
      </c>
      <c r="X645" s="36">
        <v>46104</v>
      </c>
    </row>
    <row r="646" spans="1:24" ht="15.75" thickBot="1" x14ac:dyDescent="0.3">
      <c r="A646" t="str">
        <f t="shared" si="10"/>
        <v>PCPW715321</v>
      </c>
      <c r="B646" s="22" t="s">
        <v>3903</v>
      </c>
      <c r="C646" s="22" t="s">
        <v>3904</v>
      </c>
      <c r="D646" s="22" t="s">
        <v>3905</v>
      </c>
      <c r="E646" s="22" t="s">
        <v>3902</v>
      </c>
      <c r="F646" s="22" t="s">
        <v>2030</v>
      </c>
      <c r="G646" s="28" t="s">
        <v>2012</v>
      </c>
      <c r="H646" s="22" t="s">
        <v>3906</v>
      </c>
      <c r="I646" s="22" t="s">
        <v>3907</v>
      </c>
      <c r="J646" s="22" t="s">
        <v>494</v>
      </c>
      <c r="K646" s="22" t="s">
        <v>262</v>
      </c>
      <c r="L646" s="22" t="s">
        <v>3908</v>
      </c>
      <c r="M646" s="22" t="s">
        <v>2130</v>
      </c>
      <c r="N646" s="28" t="s">
        <v>2494</v>
      </c>
      <c r="O646" s="28" t="s">
        <v>2016</v>
      </c>
      <c r="P646" s="29">
        <v>43016</v>
      </c>
      <c r="Q646" s="28" t="s">
        <v>2017</v>
      </c>
      <c r="R646" s="37">
        <v>15.56739542159</v>
      </c>
      <c r="S646" s="29">
        <v>177635</v>
      </c>
      <c r="T646" s="32">
        <v>2763.2111111111099</v>
      </c>
      <c r="U646" s="32">
        <v>0</v>
      </c>
      <c r="V646" s="37">
        <v>15.56739542159</v>
      </c>
      <c r="W646" s="36">
        <v>46102</v>
      </c>
      <c r="X646" s="36">
        <v>46104</v>
      </c>
    </row>
    <row r="647" spans="1:24" ht="15.75" thickBot="1" x14ac:dyDescent="0.3">
      <c r="A647" t="str">
        <f t="shared" si="10"/>
        <v>PCS10723APIA01</v>
      </c>
      <c r="B647" s="22" t="s">
        <v>3909</v>
      </c>
      <c r="C647" s="22" t="s">
        <v>3910</v>
      </c>
      <c r="D647" s="22" t="s">
        <v>3911</v>
      </c>
      <c r="E647" s="22" t="s">
        <v>3357</v>
      </c>
      <c r="F647" s="22" t="s">
        <v>2030</v>
      </c>
      <c r="G647" s="28" t="s">
        <v>2012</v>
      </c>
      <c r="H647" s="22" t="s">
        <v>3912</v>
      </c>
      <c r="I647" s="22" t="s">
        <v>3913</v>
      </c>
      <c r="J647" s="22" t="s">
        <v>261</v>
      </c>
      <c r="K647" s="22" t="s">
        <v>924</v>
      </c>
      <c r="L647" s="22" t="s">
        <v>3914</v>
      </c>
      <c r="M647" s="22" t="s">
        <v>2130</v>
      </c>
      <c r="N647" s="28" t="s">
        <v>2494</v>
      </c>
      <c r="O647" s="28" t="s">
        <v>2016</v>
      </c>
      <c r="P647" s="29">
        <v>4807</v>
      </c>
      <c r="Q647" s="28" t="s">
        <v>2017</v>
      </c>
      <c r="R647" s="37">
        <v>15.472733255128</v>
      </c>
      <c r="S647" s="29">
        <v>19972</v>
      </c>
      <c r="T647" s="32">
        <v>310.675555555556</v>
      </c>
      <c r="U647" s="32">
        <v>0</v>
      </c>
      <c r="V647" s="37">
        <v>15.472733255128</v>
      </c>
      <c r="W647" s="36">
        <v>46102</v>
      </c>
      <c r="X647" s="36">
        <v>46104</v>
      </c>
    </row>
    <row r="648" spans="1:24" ht="15.75" thickBot="1" x14ac:dyDescent="0.3">
      <c r="A648" t="str">
        <f t="shared" si="10"/>
        <v>PCS21101W25AB</v>
      </c>
      <c r="B648" s="22" t="s">
        <v>3915</v>
      </c>
      <c r="C648" s="21"/>
      <c r="D648" s="22" t="s">
        <v>3916</v>
      </c>
      <c r="E648" s="22" t="s">
        <v>3623</v>
      </c>
      <c r="F648" s="22" t="s">
        <v>2030</v>
      </c>
      <c r="G648" s="28" t="s">
        <v>2012</v>
      </c>
      <c r="H648" s="22" t="s">
        <v>3624</v>
      </c>
      <c r="I648" s="22" t="s">
        <v>3625</v>
      </c>
      <c r="J648" s="22" t="s">
        <v>494</v>
      </c>
      <c r="K648" s="22" t="s">
        <v>924</v>
      </c>
      <c r="L648" s="22" t="s">
        <v>2501</v>
      </c>
      <c r="M648" s="22" t="s">
        <v>2130</v>
      </c>
      <c r="N648" s="28" t="s">
        <v>2494</v>
      </c>
      <c r="O648" s="28" t="s">
        <v>2016</v>
      </c>
      <c r="P648" s="29">
        <v>4144</v>
      </c>
      <c r="Q648" s="28" t="s">
        <v>2017</v>
      </c>
      <c r="R648" s="37">
        <v>15.366866635901999</v>
      </c>
      <c r="S648" s="29">
        <v>17336</v>
      </c>
      <c r="T648" s="32">
        <v>269.67111111111097</v>
      </c>
      <c r="U648" s="32">
        <v>0</v>
      </c>
      <c r="V648" s="37">
        <v>15.366866635901999</v>
      </c>
      <c r="W648" s="36">
        <v>46102</v>
      </c>
      <c r="X648" s="36">
        <v>46104</v>
      </c>
    </row>
    <row r="649" spans="1:24" ht="15.75" thickBot="1" x14ac:dyDescent="0.3">
      <c r="A649" t="str">
        <f t="shared" si="10"/>
        <v>PCS26413A28AB</v>
      </c>
      <c r="B649" s="22" t="s">
        <v>3917</v>
      </c>
      <c r="C649" s="21"/>
      <c r="D649" s="22" t="s">
        <v>3720</v>
      </c>
      <c r="E649" s="22" t="s">
        <v>2833</v>
      </c>
      <c r="F649" s="22" t="s">
        <v>2030</v>
      </c>
      <c r="G649" s="28" t="s">
        <v>2012</v>
      </c>
      <c r="H649" s="22" t="s">
        <v>3721</v>
      </c>
      <c r="I649" s="22" t="s">
        <v>3722</v>
      </c>
      <c r="J649" s="22" t="s">
        <v>494</v>
      </c>
      <c r="K649" s="22" t="s">
        <v>924</v>
      </c>
      <c r="L649" s="22" t="s">
        <v>2829</v>
      </c>
      <c r="M649" s="22" t="s">
        <v>2130</v>
      </c>
      <c r="N649" s="28" t="s">
        <v>2494</v>
      </c>
      <c r="O649" s="28" t="s">
        <v>2016</v>
      </c>
      <c r="P649" s="29">
        <v>4089</v>
      </c>
      <c r="Q649" s="28" t="s">
        <v>2017</v>
      </c>
      <c r="R649" s="37">
        <v>15.01223790487</v>
      </c>
      <c r="S649" s="29">
        <v>17510</v>
      </c>
      <c r="T649" s="32">
        <v>272.37777777777802</v>
      </c>
      <c r="U649" s="32">
        <v>0</v>
      </c>
      <c r="V649" s="37">
        <v>15.01223790487</v>
      </c>
      <c r="W649" s="36">
        <v>46102</v>
      </c>
      <c r="X649" s="36">
        <v>46104</v>
      </c>
    </row>
    <row r="650" spans="1:24" ht="15.75" thickBot="1" x14ac:dyDescent="0.3">
      <c r="A650" t="str">
        <f t="shared" si="10"/>
        <v>PCS99431B98-S439</v>
      </c>
      <c r="B650" s="22" t="s">
        <v>3918</v>
      </c>
      <c r="C650" s="22" t="s">
        <v>3919</v>
      </c>
      <c r="D650" s="22" t="s">
        <v>3920</v>
      </c>
      <c r="E650" s="22" t="s">
        <v>3921</v>
      </c>
      <c r="F650" s="22" t="s">
        <v>2030</v>
      </c>
      <c r="G650" s="28" t="s">
        <v>2012</v>
      </c>
      <c r="H650" s="22" t="s">
        <v>3922</v>
      </c>
      <c r="I650" s="22" t="s">
        <v>3923</v>
      </c>
      <c r="J650" s="22" t="s">
        <v>261</v>
      </c>
      <c r="K650" s="22" t="s">
        <v>924</v>
      </c>
      <c r="L650" s="22" t="s">
        <v>2493</v>
      </c>
      <c r="M650" s="22" t="s">
        <v>2130</v>
      </c>
      <c r="N650" s="28" t="s">
        <v>2494</v>
      </c>
      <c r="O650" s="28" t="s">
        <v>2016</v>
      </c>
      <c r="P650" s="29">
        <v>7556</v>
      </c>
      <c r="Q650" s="28" t="s">
        <v>2017</v>
      </c>
      <c r="R650" s="37">
        <v>15.716781762208999</v>
      </c>
      <c r="S650" s="29">
        <v>30906</v>
      </c>
      <c r="T650" s="32">
        <v>480.76</v>
      </c>
      <c r="U650" s="32">
        <v>0</v>
      </c>
      <c r="V650" s="37">
        <v>15.716781762208999</v>
      </c>
      <c r="W650" s="36">
        <v>46102</v>
      </c>
      <c r="X650" s="36">
        <v>46104</v>
      </c>
    </row>
    <row r="651" spans="1:24" ht="15.75" thickBot="1" x14ac:dyDescent="0.3">
      <c r="A651" t="str">
        <f t="shared" si="10"/>
        <v>PCSE413A13BA</v>
      </c>
      <c r="B651" s="22" t="s">
        <v>3924</v>
      </c>
      <c r="C651" s="21"/>
      <c r="D651" s="22" t="s">
        <v>3925</v>
      </c>
      <c r="E651" s="21"/>
      <c r="F651" s="22" t="s">
        <v>2030</v>
      </c>
      <c r="G651" s="28" t="s">
        <v>2012</v>
      </c>
      <c r="H651" s="22" t="s">
        <v>3721</v>
      </c>
      <c r="I651" s="22" t="s">
        <v>3722</v>
      </c>
      <c r="J651" s="22" t="s">
        <v>494</v>
      </c>
      <c r="K651" s="22" t="s">
        <v>924</v>
      </c>
      <c r="L651" s="22" t="s">
        <v>2829</v>
      </c>
      <c r="M651" s="22" t="s">
        <v>2130</v>
      </c>
      <c r="N651" s="28" t="s">
        <v>2494</v>
      </c>
      <c r="O651" s="28" t="s">
        <v>2016</v>
      </c>
      <c r="P651" s="29">
        <v>4178</v>
      </c>
      <c r="Q651" s="28" t="s">
        <v>2017</v>
      </c>
      <c r="R651" s="37">
        <v>15.409392672731</v>
      </c>
      <c r="S651" s="29">
        <v>17430</v>
      </c>
      <c r="T651" s="32">
        <v>271.13333333333298</v>
      </c>
      <c r="U651" s="32">
        <v>0</v>
      </c>
      <c r="V651" s="37">
        <v>15.409392672731</v>
      </c>
      <c r="W651" s="36">
        <v>46102</v>
      </c>
      <c r="X651" s="36">
        <v>46104</v>
      </c>
    </row>
    <row r="652" spans="1:24" ht="15.75" thickBot="1" x14ac:dyDescent="0.3">
      <c r="A652" t="str">
        <f t="shared" si="10"/>
        <v>PCSW520702S300</v>
      </c>
      <c r="B652" s="22" t="s">
        <v>3926</v>
      </c>
      <c r="C652" s="21"/>
      <c r="D652" s="22" t="s">
        <v>2959</v>
      </c>
      <c r="E652" s="22" t="s">
        <v>3357</v>
      </c>
      <c r="F652" s="22" t="s">
        <v>2030</v>
      </c>
      <c r="G652" s="28" t="s">
        <v>2012</v>
      </c>
      <c r="H652" s="22" t="s">
        <v>3927</v>
      </c>
      <c r="I652" s="22" t="s">
        <v>3928</v>
      </c>
      <c r="J652" s="22" t="s">
        <v>494</v>
      </c>
      <c r="K652" s="22" t="s">
        <v>924</v>
      </c>
      <c r="L652" s="22" t="s">
        <v>2964</v>
      </c>
      <c r="M652" s="22" t="s">
        <v>2130</v>
      </c>
      <c r="N652" s="28" t="s">
        <v>2494</v>
      </c>
      <c r="O652" s="28" t="s">
        <v>2016</v>
      </c>
      <c r="P652" s="29">
        <v>55329</v>
      </c>
      <c r="Q652" s="28" t="s">
        <v>2017</v>
      </c>
      <c r="R652" s="37">
        <v>17.210605881511</v>
      </c>
      <c r="S652" s="29">
        <v>206667</v>
      </c>
      <c r="T652" s="32">
        <v>3214.82</v>
      </c>
      <c r="U652" s="32">
        <v>0</v>
      </c>
      <c r="V652" s="37">
        <v>17.210605881511</v>
      </c>
      <c r="W652" s="36">
        <v>46104</v>
      </c>
      <c r="X652" s="36">
        <v>46104</v>
      </c>
    </row>
    <row r="653" spans="1:24" ht="15.75" thickBot="1" x14ac:dyDescent="0.3">
      <c r="A653" t="str">
        <f t="shared" si="10"/>
        <v>PCSW702321S300</v>
      </c>
      <c r="B653" s="22" t="s">
        <v>3929</v>
      </c>
      <c r="C653" s="21"/>
      <c r="D653" s="22" t="s">
        <v>2959</v>
      </c>
      <c r="E653" s="22" t="s">
        <v>3357</v>
      </c>
      <c r="F653" s="22" t="s">
        <v>2030</v>
      </c>
      <c r="G653" s="28" t="s">
        <v>2012</v>
      </c>
      <c r="H653" s="22" t="s">
        <v>3927</v>
      </c>
      <c r="I653" s="22" t="s">
        <v>3928</v>
      </c>
      <c r="J653" s="22" t="s">
        <v>494</v>
      </c>
      <c r="K653" s="22" t="s">
        <v>924</v>
      </c>
      <c r="L653" s="22" t="s">
        <v>2964</v>
      </c>
      <c r="M653" s="22" t="s">
        <v>2130</v>
      </c>
      <c r="N653" s="28" t="s">
        <v>2494</v>
      </c>
      <c r="O653" s="28" t="s">
        <v>2016</v>
      </c>
      <c r="P653" s="29">
        <v>67036</v>
      </c>
      <c r="Q653" s="28" t="s">
        <v>2017</v>
      </c>
      <c r="R653" s="37">
        <v>17.663157401660001</v>
      </c>
      <c r="S653" s="29">
        <v>243980</v>
      </c>
      <c r="T653" s="32">
        <v>3795.24444444444</v>
      </c>
      <c r="U653" s="32">
        <v>0</v>
      </c>
      <c r="V653" s="37">
        <v>17.663157401660001</v>
      </c>
      <c r="W653" s="36">
        <v>46104</v>
      </c>
      <c r="X653" s="36">
        <v>46104</v>
      </c>
    </row>
    <row r="654" spans="1:24" ht="15.75" thickBot="1" x14ac:dyDescent="0.3">
      <c r="A654" t="str">
        <f t="shared" si="10"/>
        <v>PCSW711618S300</v>
      </c>
      <c r="B654" s="22" t="s">
        <v>3930</v>
      </c>
      <c r="C654" s="22" t="s">
        <v>3931</v>
      </c>
      <c r="D654" s="22" t="s">
        <v>2959</v>
      </c>
      <c r="E654" s="22" t="s">
        <v>3932</v>
      </c>
      <c r="F654" s="22" t="s">
        <v>2030</v>
      </c>
      <c r="G654" s="28" t="s">
        <v>2012</v>
      </c>
      <c r="H654" s="22" t="s">
        <v>3927</v>
      </c>
      <c r="I654" s="22" t="s">
        <v>3928</v>
      </c>
      <c r="J654" s="22" t="s">
        <v>261</v>
      </c>
      <c r="K654" s="22" t="s">
        <v>924</v>
      </c>
      <c r="L654" s="22" t="s">
        <v>2964</v>
      </c>
      <c r="M654" s="22" t="s">
        <v>2130</v>
      </c>
      <c r="N654" s="28" t="s">
        <v>2494</v>
      </c>
      <c r="O654" s="28" t="s">
        <v>2016</v>
      </c>
      <c r="P654" s="29">
        <v>17452</v>
      </c>
      <c r="Q654" s="28" t="s">
        <v>2017</v>
      </c>
      <c r="R654" s="37">
        <v>16.928422695390001</v>
      </c>
      <c r="S654" s="29">
        <v>66274</v>
      </c>
      <c r="T654" s="32">
        <v>1030.92888888889</v>
      </c>
      <c r="U654" s="32">
        <v>0</v>
      </c>
      <c r="V654" s="37">
        <v>16.928422695390001</v>
      </c>
      <c r="W654" s="36">
        <v>46103</v>
      </c>
      <c r="X654" s="36">
        <v>46104</v>
      </c>
    </row>
    <row r="655" spans="1:24" ht="15.75" thickBot="1" x14ac:dyDescent="0.3">
      <c r="A655" t="str">
        <f t="shared" si="10"/>
        <v>PCSW721819S300</v>
      </c>
      <c r="B655" s="22" t="s">
        <v>3933</v>
      </c>
      <c r="C655" s="21"/>
      <c r="D655" s="22" t="s">
        <v>2959</v>
      </c>
      <c r="E655" s="22" t="s">
        <v>3357</v>
      </c>
      <c r="F655" s="22" t="s">
        <v>2030</v>
      </c>
      <c r="G655" s="28" t="s">
        <v>2012</v>
      </c>
      <c r="H655" s="22" t="s">
        <v>3731</v>
      </c>
      <c r="I655" s="22" t="s">
        <v>3732</v>
      </c>
      <c r="J655" s="22" t="s">
        <v>494</v>
      </c>
      <c r="K655" s="22" t="s">
        <v>924</v>
      </c>
      <c r="L655" s="22" t="s">
        <v>2964</v>
      </c>
      <c r="M655" s="22" t="s">
        <v>2130</v>
      </c>
      <c r="N655" s="28" t="s">
        <v>2494</v>
      </c>
      <c r="O655" s="28" t="s">
        <v>2016</v>
      </c>
      <c r="P655" s="29">
        <v>12467</v>
      </c>
      <c r="Q655" s="28" t="s">
        <v>2017</v>
      </c>
      <c r="R655" s="37">
        <v>15.822672352523</v>
      </c>
      <c r="S655" s="29">
        <v>50652</v>
      </c>
      <c r="T655" s="32">
        <v>787.92</v>
      </c>
      <c r="U655" s="32">
        <v>0</v>
      </c>
      <c r="V655" s="37">
        <v>15.822672352523</v>
      </c>
      <c r="W655" s="36">
        <v>46102</v>
      </c>
      <c r="X655" s="36">
        <v>46104</v>
      </c>
    </row>
    <row r="656" spans="1:24" ht="15.75" thickBot="1" x14ac:dyDescent="0.3">
      <c r="A656" t="str">
        <f t="shared" si="10"/>
        <v>PUR58101B50 B</v>
      </c>
      <c r="B656" s="22" t="s">
        <v>1325</v>
      </c>
      <c r="C656" s="22" t="s">
        <v>3934</v>
      </c>
      <c r="D656" s="22" t="s">
        <v>3935</v>
      </c>
      <c r="E656" s="22" t="s">
        <v>3936</v>
      </c>
      <c r="F656" s="22" t="s">
        <v>3937</v>
      </c>
      <c r="G656" s="28" t="s">
        <v>2012</v>
      </c>
      <c r="H656" s="22" t="s">
        <v>2968</v>
      </c>
      <c r="I656" s="21"/>
      <c r="J656" s="22" t="s">
        <v>364</v>
      </c>
      <c r="K656" s="22" t="s">
        <v>924</v>
      </c>
      <c r="L656" s="21"/>
      <c r="M656" s="22" t="s">
        <v>2014</v>
      </c>
      <c r="N656" s="28" t="s">
        <v>2015</v>
      </c>
      <c r="O656" s="28" t="s">
        <v>2016</v>
      </c>
      <c r="P656" s="29">
        <v>9868</v>
      </c>
      <c r="Q656" s="28" t="s">
        <v>2017</v>
      </c>
      <c r="R656" s="37">
        <v>15.702263083450999</v>
      </c>
      <c r="S656" s="29">
        <v>40400</v>
      </c>
      <c r="T656" s="32">
        <v>628.444444444444</v>
      </c>
      <c r="U656" s="32">
        <v>0</v>
      </c>
      <c r="V656" s="37">
        <v>15.702263083450999</v>
      </c>
      <c r="W656" s="36">
        <v>46102</v>
      </c>
      <c r="X656" s="36">
        <v>46104</v>
      </c>
    </row>
    <row r="657" spans="1:24" ht="15.75" thickBot="1" x14ac:dyDescent="0.3">
      <c r="A657" t="str">
        <f t="shared" si="10"/>
        <v>REPACK58016B28</v>
      </c>
      <c r="B657" s="22" t="s">
        <v>1569</v>
      </c>
      <c r="C657" s="22" t="s">
        <v>3938</v>
      </c>
      <c r="D657" s="22" t="s">
        <v>3939</v>
      </c>
      <c r="E657" s="22" t="s">
        <v>3940</v>
      </c>
      <c r="F657" s="22" t="s">
        <v>3941</v>
      </c>
      <c r="G657" s="28" t="s">
        <v>2012</v>
      </c>
      <c r="H657" s="22" t="s">
        <v>2080</v>
      </c>
      <c r="I657" s="21"/>
      <c r="J657" s="22" t="s">
        <v>364</v>
      </c>
      <c r="K657" s="22" t="s">
        <v>924</v>
      </c>
      <c r="L657" s="21"/>
      <c r="M657" s="22" t="s">
        <v>2034</v>
      </c>
      <c r="N657" s="28" t="s">
        <v>2015</v>
      </c>
      <c r="O657" s="28" t="s">
        <v>2016</v>
      </c>
      <c r="P657" s="29">
        <v>13682</v>
      </c>
      <c r="Q657" s="28" t="s">
        <v>2017</v>
      </c>
      <c r="R657" s="37">
        <v>15.112665684830001</v>
      </c>
      <c r="S657" s="29">
        <v>58200</v>
      </c>
      <c r="T657" s="32">
        <v>905.33333333333303</v>
      </c>
      <c r="U657" s="32">
        <v>0</v>
      </c>
      <c r="V657" s="37">
        <v>15.112665684830001</v>
      </c>
      <c r="W657" s="36">
        <v>46102</v>
      </c>
      <c r="X657" s="36">
        <v>46104</v>
      </c>
    </row>
    <row r="658" spans="1:24" ht="15.75" thickBot="1" x14ac:dyDescent="0.3">
      <c r="A658" t="str">
        <f t="shared" si="10"/>
        <v>REPACKS502D12</v>
      </c>
      <c r="B658" s="22" t="s">
        <v>1634</v>
      </c>
      <c r="C658" s="22" t="s">
        <v>3942</v>
      </c>
      <c r="D658" s="22" t="s">
        <v>2242</v>
      </c>
      <c r="E658" s="21"/>
      <c r="F658" s="22" t="s">
        <v>3943</v>
      </c>
      <c r="G658" s="28" t="s">
        <v>2012</v>
      </c>
      <c r="H658" s="22" t="s">
        <v>2055</v>
      </c>
      <c r="I658" s="21"/>
      <c r="J658" s="22" t="s">
        <v>364</v>
      </c>
      <c r="K658" s="22" t="s">
        <v>924</v>
      </c>
      <c r="L658" s="21"/>
      <c r="M658" s="22" t="s">
        <v>2034</v>
      </c>
      <c r="N658" s="28" t="s">
        <v>2015</v>
      </c>
      <c r="O658" s="28" t="s">
        <v>2016</v>
      </c>
      <c r="P658" s="29">
        <v>11399</v>
      </c>
      <c r="Q658" s="28" t="s">
        <v>2017</v>
      </c>
      <c r="R658" s="37">
        <v>17.274701959990999</v>
      </c>
      <c r="S658" s="29">
        <v>42420</v>
      </c>
      <c r="T658" s="32">
        <v>659.86666666666702</v>
      </c>
      <c r="U658" s="32">
        <v>0</v>
      </c>
      <c r="V658" s="37">
        <v>17.274701959990999</v>
      </c>
      <c r="W658" s="36">
        <v>46104</v>
      </c>
      <c r="X658" s="36">
        <v>46104</v>
      </c>
    </row>
    <row r="659" spans="1:24" ht="15.75" thickBot="1" x14ac:dyDescent="0.3">
      <c r="A659" t="str">
        <f t="shared" si="10"/>
        <v>RMPPPC5UFO UV ZHEA</v>
      </c>
      <c r="B659" s="22" t="s">
        <v>3944</v>
      </c>
      <c r="C659" s="22" t="s">
        <v>3945</v>
      </c>
      <c r="D659" s="22" t="s">
        <v>3116</v>
      </c>
      <c r="E659" s="22" t="s">
        <v>3946</v>
      </c>
      <c r="F659" s="22" t="s">
        <v>2030</v>
      </c>
      <c r="G659" s="28" t="s">
        <v>2012</v>
      </c>
      <c r="H659" s="22" t="s">
        <v>3118</v>
      </c>
      <c r="I659" s="22" t="s">
        <v>3119</v>
      </c>
      <c r="J659" s="22" t="s">
        <v>494</v>
      </c>
      <c r="K659" s="22" t="s">
        <v>262</v>
      </c>
      <c r="L659" s="22" t="s">
        <v>2711</v>
      </c>
      <c r="M659" s="22" t="s">
        <v>2523</v>
      </c>
      <c r="N659" s="28" t="s">
        <v>2494</v>
      </c>
      <c r="O659" s="28" t="s">
        <v>2016</v>
      </c>
      <c r="P659" s="29">
        <v>20313.978999999999</v>
      </c>
      <c r="Q659" s="28" t="s">
        <v>1164</v>
      </c>
      <c r="R659" s="37">
        <v>16.824495733564</v>
      </c>
      <c r="S659" s="34">
        <v>77618.888000000006</v>
      </c>
      <c r="T659" s="32">
        <v>1207.40492444444</v>
      </c>
      <c r="U659" s="32">
        <v>0</v>
      </c>
      <c r="V659" s="37">
        <v>16.824495733564</v>
      </c>
      <c r="W659" s="36">
        <v>46103</v>
      </c>
      <c r="X659" s="36">
        <v>46104</v>
      </c>
    </row>
    <row r="660" spans="1:24" ht="15.75" thickBot="1" x14ac:dyDescent="0.3">
      <c r="A660" t="str">
        <f t="shared" si="10"/>
        <v>RMS21025A62 P703</v>
      </c>
      <c r="B660" s="22" t="s">
        <v>3947</v>
      </c>
      <c r="C660" s="22" t="s">
        <v>3948</v>
      </c>
      <c r="D660" s="22" t="s">
        <v>3949</v>
      </c>
      <c r="E660" s="22" t="s">
        <v>2527</v>
      </c>
      <c r="F660" s="22" t="s">
        <v>3133</v>
      </c>
      <c r="G660" s="28" t="s">
        <v>2012</v>
      </c>
      <c r="H660" s="22" t="s">
        <v>2543</v>
      </c>
      <c r="I660" s="22" t="s">
        <v>2544</v>
      </c>
      <c r="J660" s="22" t="s">
        <v>261</v>
      </c>
      <c r="K660" s="22" t="s">
        <v>924</v>
      </c>
      <c r="L660" s="22" t="s">
        <v>2531</v>
      </c>
      <c r="M660" s="22" t="s">
        <v>2532</v>
      </c>
      <c r="N660" s="28" t="s">
        <v>2494</v>
      </c>
      <c r="O660" s="28" t="s">
        <v>2016</v>
      </c>
      <c r="P660" s="29">
        <v>107576.13</v>
      </c>
      <c r="Q660" s="28" t="s">
        <v>1164</v>
      </c>
      <c r="R660" s="37">
        <v>16.873207521880001</v>
      </c>
      <c r="S660" s="34">
        <v>409857.364</v>
      </c>
      <c r="T660" s="32">
        <v>6375.5589955555597</v>
      </c>
      <c r="U660" s="32">
        <v>0</v>
      </c>
      <c r="V660" s="37">
        <v>16.873207521880001</v>
      </c>
      <c r="W660" s="36">
        <v>46103</v>
      </c>
      <c r="X660" s="36">
        <v>46104</v>
      </c>
    </row>
    <row r="661" spans="1:24" ht="15.75" thickBot="1" x14ac:dyDescent="0.3">
      <c r="A661" t="str">
        <f t="shared" si="10"/>
        <v>RMS2110370AA</v>
      </c>
      <c r="B661" s="22" t="s">
        <v>3950</v>
      </c>
      <c r="C661" s="22" t="s">
        <v>3951</v>
      </c>
      <c r="D661" s="22" t="s">
        <v>3952</v>
      </c>
      <c r="E661" s="22" t="s">
        <v>2527</v>
      </c>
      <c r="F661" s="22" t="s">
        <v>3953</v>
      </c>
      <c r="G661" s="28" t="s">
        <v>2012</v>
      </c>
      <c r="H661" s="22" t="s">
        <v>2529</v>
      </c>
      <c r="I661" s="22" t="s">
        <v>2530</v>
      </c>
      <c r="J661" s="22" t="s">
        <v>261</v>
      </c>
      <c r="K661" s="22" t="s">
        <v>924</v>
      </c>
      <c r="L661" s="22" t="s">
        <v>2531</v>
      </c>
      <c r="M661" s="22" t="s">
        <v>2532</v>
      </c>
      <c r="N661" s="28" t="s">
        <v>2494</v>
      </c>
      <c r="O661" s="28" t="s">
        <v>2016</v>
      </c>
      <c r="P661" s="29">
        <v>22161.444</v>
      </c>
      <c r="Q661" s="28" t="s">
        <v>1164</v>
      </c>
      <c r="R661" s="37">
        <v>16.322979793447999</v>
      </c>
      <c r="S661" s="34">
        <v>87279.668000000005</v>
      </c>
      <c r="T661" s="32">
        <v>1357.68372444444</v>
      </c>
      <c r="U661" s="32">
        <v>0</v>
      </c>
      <c r="V661" s="37">
        <v>16.322979793447999</v>
      </c>
      <c r="W661" s="36">
        <v>46103</v>
      </c>
      <c r="X661" s="36">
        <v>46104</v>
      </c>
    </row>
    <row r="662" spans="1:24" ht="15.75" thickBot="1" x14ac:dyDescent="0.3">
      <c r="A662" t="str">
        <f t="shared" si="10"/>
        <v>RMS21109A84AA</v>
      </c>
      <c r="B662" s="22" t="s">
        <v>3954</v>
      </c>
      <c r="C662" s="22" t="s">
        <v>3955</v>
      </c>
      <c r="D662" s="22" t="s">
        <v>3956</v>
      </c>
      <c r="E662" s="22" t="s">
        <v>2527</v>
      </c>
      <c r="F662" s="22" t="s">
        <v>3957</v>
      </c>
      <c r="G662" s="28" t="s">
        <v>2012</v>
      </c>
      <c r="H662" s="22" t="s">
        <v>2716</v>
      </c>
      <c r="I662" s="22" t="s">
        <v>2717</v>
      </c>
      <c r="J662" s="22" t="s">
        <v>261</v>
      </c>
      <c r="K662" s="22" t="s">
        <v>924</v>
      </c>
      <c r="L662" s="22" t="s">
        <v>2531</v>
      </c>
      <c r="M662" s="22" t="s">
        <v>2532</v>
      </c>
      <c r="N662" s="28" t="s">
        <v>2494</v>
      </c>
      <c r="O662" s="28" t="s">
        <v>2016</v>
      </c>
      <c r="P662" s="29">
        <v>13947.546</v>
      </c>
      <c r="Q662" s="28" t="s">
        <v>1164</v>
      </c>
      <c r="R662" s="37">
        <v>15.703038034053</v>
      </c>
      <c r="S662" s="34">
        <v>57099.012000000002</v>
      </c>
      <c r="T662" s="32">
        <v>888.20685333333302</v>
      </c>
      <c r="U662" s="32">
        <v>0</v>
      </c>
      <c r="V662" s="37">
        <v>15.703038034053</v>
      </c>
      <c r="W662" s="36">
        <v>46102</v>
      </c>
      <c r="X662" s="36">
        <v>46104</v>
      </c>
    </row>
    <row r="663" spans="1:24" ht="15.75" thickBot="1" x14ac:dyDescent="0.3">
      <c r="A663" t="str">
        <f t="shared" si="10"/>
        <v>RMS26625A64A</v>
      </c>
      <c r="B663" s="22" t="s">
        <v>3958</v>
      </c>
      <c r="C663" s="22" t="s">
        <v>3959</v>
      </c>
      <c r="D663" s="22" t="s">
        <v>3960</v>
      </c>
      <c r="E663" s="22" t="s">
        <v>2527</v>
      </c>
      <c r="F663" s="22" t="s">
        <v>3961</v>
      </c>
      <c r="G663" s="28" t="s">
        <v>2012</v>
      </c>
      <c r="H663" s="22" t="s">
        <v>2529</v>
      </c>
      <c r="I663" s="22" t="s">
        <v>2530</v>
      </c>
      <c r="J663" s="22" t="s">
        <v>261</v>
      </c>
      <c r="K663" s="22" t="s">
        <v>924</v>
      </c>
      <c r="L663" s="22" t="s">
        <v>2531</v>
      </c>
      <c r="M663" s="22" t="s">
        <v>2532</v>
      </c>
      <c r="N663" s="28" t="s">
        <v>2494</v>
      </c>
      <c r="O663" s="28" t="s">
        <v>2016</v>
      </c>
      <c r="P663" s="29">
        <v>5270.84</v>
      </c>
      <c r="Q663" s="28" t="s">
        <v>1164</v>
      </c>
      <c r="R663" s="37">
        <v>17.273054022469999</v>
      </c>
      <c r="S663" s="34">
        <v>19616.665000000001</v>
      </c>
      <c r="T663" s="32">
        <v>305.14812222222201</v>
      </c>
      <c r="U663" s="32">
        <v>0</v>
      </c>
      <c r="V663" s="37">
        <v>17.273054022469999</v>
      </c>
      <c r="W663" s="36">
        <v>46104</v>
      </c>
      <c r="X663" s="36">
        <v>46104</v>
      </c>
    </row>
    <row r="664" spans="1:24" ht="15.75" thickBot="1" x14ac:dyDescent="0.3">
      <c r="A664" t="str">
        <f t="shared" si="10"/>
        <v>RMS26625A65A</v>
      </c>
      <c r="B664" s="22" t="s">
        <v>3962</v>
      </c>
      <c r="C664" s="22" t="s">
        <v>3963</v>
      </c>
      <c r="D664" s="22" t="s">
        <v>3964</v>
      </c>
      <c r="E664" s="22" t="s">
        <v>2527</v>
      </c>
      <c r="F664" s="22" t="s">
        <v>3965</v>
      </c>
      <c r="G664" s="28" t="s">
        <v>2012</v>
      </c>
      <c r="H664" s="22" t="s">
        <v>2529</v>
      </c>
      <c r="I664" s="22" t="s">
        <v>2530</v>
      </c>
      <c r="J664" s="22" t="s">
        <v>261</v>
      </c>
      <c r="K664" s="22" t="s">
        <v>924</v>
      </c>
      <c r="L664" s="22" t="s">
        <v>2531</v>
      </c>
      <c r="M664" s="22" t="s">
        <v>2532</v>
      </c>
      <c r="N664" s="28" t="s">
        <v>2494</v>
      </c>
      <c r="O664" s="28" t="s">
        <v>2016</v>
      </c>
      <c r="P664" s="29">
        <v>3087.44</v>
      </c>
      <c r="Q664" s="28" t="s">
        <v>1164</v>
      </c>
      <c r="R664" s="37">
        <v>16.978148034364001</v>
      </c>
      <c r="S664" s="34">
        <v>11690.22</v>
      </c>
      <c r="T664" s="32">
        <v>181.84786666666699</v>
      </c>
      <c r="U664" s="32">
        <v>0</v>
      </c>
      <c r="V664" s="37">
        <v>16.978148034364001</v>
      </c>
      <c r="W664" s="36">
        <v>46103</v>
      </c>
      <c r="X664" s="36">
        <v>46104</v>
      </c>
    </row>
    <row r="665" spans="1:24" ht="15.75" thickBot="1" x14ac:dyDescent="0.3">
      <c r="A665" t="str">
        <f t="shared" si="10"/>
        <v>RMSBR58111K34ARL</v>
      </c>
      <c r="B665" s="22" t="s">
        <v>3966</v>
      </c>
      <c r="C665" s="22" t="s">
        <v>3967</v>
      </c>
      <c r="D665" s="22" t="s">
        <v>3968</v>
      </c>
      <c r="E665" s="22" t="s">
        <v>3123</v>
      </c>
      <c r="F665" s="22" t="s">
        <v>3969</v>
      </c>
      <c r="G665" s="28" t="s">
        <v>2012</v>
      </c>
      <c r="H665" s="22" t="s">
        <v>2556</v>
      </c>
      <c r="I665" s="22" t="s">
        <v>2557</v>
      </c>
      <c r="J665" s="22" t="s">
        <v>364</v>
      </c>
      <c r="K665" s="22" t="s">
        <v>924</v>
      </c>
      <c r="L665" s="22" t="s">
        <v>2558</v>
      </c>
      <c r="M665" s="22" t="s">
        <v>2532</v>
      </c>
      <c r="N665" s="28" t="s">
        <v>2494</v>
      </c>
      <c r="O665" s="28" t="s">
        <v>2016</v>
      </c>
      <c r="P665" s="29">
        <v>38346.941200000001</v>
      </c>
      <c r="Q665" s="28" t="s">
        <v>1164</v>
      </c>
      <c r="R665" s="37">
        <v>17.472462199412</v>
      </c>
      <c r="S665" s="34">
        <v>141088.3296</v>
      </c>
      <c r="T665" s="32">
        <v>2194.7073493333301</v>
      </c>
      <c r="U665" s="32">
        <v>0</v>
      </c>
      <c r="V665" s="37">
        <v>17.472462199412</v>
      </c>
      <c r="W665" s="36">
        <v>46104</v>
      </c>
      <c r="X665" s="36">
        <v>46104</v>
      </c>
    </row>
    <row r="666" spans="1:24" ht="15.75" thickBot="1" x14ac:dyDescent="0.3">
      <c r="A666" t="str">
        <f t="shared" si="10"/>
        <v>RMSE40364RL</v>
      </c>
      <c r="B666" s="22" t="s">
        <v>3970</v>
      </c>
      <c r="C666" s="22" t="s">
        <v>3971</v>
      </c>
      <c r="D666" s="22" t="s">
        <v>3972</v>
      </c>
      <c r="E666" s="22" t="s">
        <v>2527</v>
      </c>
      <c r="F666" s="22" t="s">
        <v>2857</v>
      </c>
      <c r="G666" s="28" t="s">
        <v>2012</v>
      </c>
      <c r="H666" s="22" t="s">
        <v>2716</v>
      </c>
      <c r="I666" s="22" t="s">
        <v>2717</v>
      </c>
      <c r="J666" s="22" t="s">
        <v>261</v>
      </c>
      <c r="K666" s="22" t="s">
        <v>924</v>
      </c>
      <c r="L666" s="22" t="s">
        <v>2531</v>
      </c>
      <c r="M666" s="22" t="s">
        <v>2532</v>
      </c>
      <c r="N666" s="28" t="s">
        <v>2494</v>
      </c>
      <c r="O666" s="28" t="s">
        <v>2016</v>
      </c>
      <c r="P666" s="29">
        <v>20762.956999999999</v>
      </c>
      <c r="Q666" s="28" t="s">
        <v>1164</v>
      </c>
      <c r="R666" s="37">
        <v>16.729339008227001</v>
      </c>
      <c r="S666" s="34">
        <v>79785.67</v>
      </c>
      <c r="T666" s="32">
        <v>1241.11042222222</v>
      </c>
      <c r="U666" s="32">
        <v>0</v>
      </c>
      <c r="V666" s="37">
        <v>16.729339008227001</v>
      </c>
      <c r="W666" s="36">
        <v>46103</v>
      </c>
      <c r="X666" s="36">
        <v>46104</v>
      </c>
    </row>
    <row r="667" spans="1:24" ht="15.75" thickBot="1" x14ac:dyDescent="0.3">
      <c r="A667" t="str">
        <f t="shared" si="10"/>
        <v>RMSE404D91</v>
      </c>
      <c r="B667" s="22" t="s">
        <v>3973</v>
      </c>
      <c r="C667" s="22" t="s">
        <v>3974</v>
      </c>
      <c r="D667" s="22" t="s">
        <v>3975</v>
      </c>
      <c r="E667" s="22" t="s">
        <v>2527</v>
      </c>
      <c r="F667" s="22" t="s">
        <v>3976</v>
      </c>
      <c r="G667" s="28" t="s">
        <v>2012</v>
      </c>
      <c r="H667" s="22" t="s">
        <v>2716</v>
      </c>
      <c r="I667" s="22" t="s">
        <v>2717</v>
      </c>
      <c r="J667" s="22" t="s">
        <v>261</v>
      </c>
      <c r="K667" s="22" t="s">
        <v>924</v>
      </c>
      <c r="L667" s="22" t="s">
        <v>2531</v>
      </c>
      <c r="M667" s="22" t="s">
        <v>2532</v>
      </c>
      <c r="N667" s="28" t="s">
        <v>2494</v>
      </c>
      <c r="O667" s="28" t="s">
        <v>2016</v>
      </c>
      <c r="P667" s="29">
        <v>14675.224</v>
      </c>
      <c r="Q667" s="28" t="s">
        <v>1164</v>
      </c>
      <c r="R667" s="37">
        <v>16.202044312384999</v>
      </c>
      <c r="S667" s="34">
        <v>58227.667999999998</v>
      </c>
      <c r="T667" s="32">
        <v>905.76372444444405</v>
      </c>
      <c r="U667" s="32">
        <v>0</v>
      </c>
      <c r="V667" s="37">
        <v>16.202044312384999</v>
      </c>
      <c r="W667" s="36">
        <v>46103</v>
      </c>
      <c r="X667" s="36">
        <v>46104</v>
      </c>
    </row>
    <row r="668" spans="1:24" ht="15.75" thickBot="1" x14ac:dyDescent="0.3">
      <c r="A668" t="str">
        <f t="shared" si="10"/>
        <v>RMSGM84533245</v>
      </c>
      <c r="B668" s="22" t="s">
        <v>3977</v>
      </c>
      <c r="C668" s="22" t="s">
        <v>3978</v>
      </c>
      <c r="D668" s="22" t="s">
        <v>3979</v>
      </c>
      <c r="E668" s="22" t="s">
        <v>2527</v>
      </c>
      <c r="F668" s="22" t="s">
        <v>3980</v>
      </c>
      <c r="G668" s="28" t="s">
        <v>2012</v>
      </c>
      <c r="H668" s="22" t="s">
        <v>3981</v>
      </c>
      <c r="I668" s="22" t="s">
        <v>3982</v>
      </c>
      <c r="J668" s="22" t="s">
        <v>404</v>
      </c>
      <c r="K668" s="22" t="s">
        <v>924</v>
      </c>
      <c r="L668" s="22" t="s">
        <v>2531</v>
      </c>
      <c r="M668" s="22" t="s">
        <v>2532</v>
      </c>
      <c r="N668" s="28" t="s">
        <v>2494</v>
      </c>
      <c r="O668" s="28" t="s">
        <v>2016</v>
      </c>
      <c r="P668" s="29">
        <v>174108.92800000001</v>
      </c>
      <c r="Q668" s="28" t="s">
        <v>1164</v>
      </c>
      <c r="R668" s="37">
        <v>16.561106141913001</v>
      </c>
      <c r="S668" s="34">
        <v>675843.55200000003</v>
      </c>
      <c r="T668" s="32">
        <v>10513.12192</v>
      </c>
      <c r="U668" s="32">
        <v>0</v>
      </c>
      <c r="V668" s="37">
        <v>16.561106141913001</v>
      </c>
      <c r="W668" s="36">
        <v>46103</v>
      </c>
      <c r="X668" s="36">
        <v>46104</v>
      </c>
    </row>
    <row r="669" spans="1:24" ht="15.75" thickBot="1" x14ac:dyDescent="0.3">
      <c r="A669" t="str">
        <f t="shared" si="10"/>
        <v>RMSWL68424960/59</v>
      </c>
      <c r="B669" s="22" t="s">
        <v>3983</v>
      </c>
      <c r="C669" s="22" t="s">
        <v>3984</v>
      </c>
      <c r="D669" s="22" t="s">
        <v>3985</v>
      </c>
      <c r="E669" s="22" t="s">
        <v>2527</v>
      </c>
      <c r="F669" s="22" t="s">
        <v>3986</v>
      </c>
      <c r="G669" s="28" t="s">
        <v>2012</v>
      </c>
      <c r="H669" s="22" t="s">
        <v>3987</v>
      </c>
      <c r="I669" s="22" t="s">
        <v>3988</v>
      </c>
      <c r="J669" s="22" t="s">
        <v>1117</v>
      </c>
      <c r="K669" s="22" t="s">
        <v>924</v>
      </c>
      <c r="L669" s="22" t="s">
        <v>2531</v>
      </c>
      <c r="M669" s="22" t="s">
        <v>2532</v>
      </c>
      <c r="N669" s="28" t="s">
        <v>2494</v>
      </c>
      <c r="O669" s="28" t="s">
        <v>2016</v>
      </c>
      <c r="P669" s="29">
        <v>13895.832</v>
      </c>
      <c r="Q669" s="28" t="s">
        <v>1164</v>
      </c>
      <c r="R669" s="37">
        <v>17.463389108718999</v>
      </c>
      <c r="S669" s="34">
        <v>51152.928</v>
      </c>
      <c r="T669" s="32">
        <v>795.71221333333301</v>
      </c>
      <c r="U669" s="32">
        <v>0</v>
      </c>
      <c r="V669" s="37">
        <v>17.463389108718999</v>
      </c>
      <c r="W669" s="36">
        <v>46104</v>
      </c>
      <c r="X669" s="36">
        <v>46104</v>
      </c>
    </row>
    <row r="670" spans="1:24" ht="15.75" thickBot="1" x14ac:dyDescent="0.3">
      <c r="A670" t="str">
        <f t="shared" si="10"/>
        <v>RMSWL68430188/9</v>
      </c>
      <c r="B670" s="22" t="s">
        <v>3989</v>
      </c>
      <c r="C670" s="22" t="s">
        <v>3990</v>
      </c>
      <c r="D670" s="22" t="s">
        <v>3991</v>
      </c>
      <c r="E670" s="22" t="s">
        <v>2527</v>
      </c>
      <c r="F670" s="22" t="s">
        <v>3992</v>
      </c>
      <c r="G670" s="28" t="s">
        <v>2012</v>
      </c>
      <c r="H670" s="22" t="s">
        <v>3993</v>
      </c>
      <c r="I670" s="22" t="s">
        <v>3994</v>
      </c>
      <c r="J670" s="22" t="s">
        <v>1117</v>
      </c>
      <c r="K670" s="22" t="s">
        <v>924</v>
      </c>
      <c r="L670" s="22" t="s">
        <v>2531</v>
      </c>
      <c r="M670" s="22" t="s">
        <v>2532</v>
      </c>
      <c r="N670" s="28" t="s">
        <v>2494</v>
      </c>
      <c r="O670" s="28" t="s">
        <v>2016</v>
      </c>
      <c r="P670" s="29">
        <v>133387.984</v>
      </c>
      <c r="Q670" s="28" t="s">
        <v>1164</v>
      </c>
      <c r="R670" s="37">
        <v>16.488842023114</v>
      </c>
      <c r="S670" s="34">
        <v>520045.12</v>
      </c>
      <c r="T670" s="32">
        <v>8089.5907555555596</v>
      </c>
      <c r="U670" s="32">
        <v>0</v>
      </c>
      <c r="V670" s="37">
        <v>16.488842023114</v>
      </c>
      <c r="W670" s="36">
        <v>46103</v>
      </c>
      <c r="X670" s="36">
        <v>46104</v>
      </c>
    </row>
    <row r="671" spans="1:24" ht="15.75" thickBot="1" x14ac:dyDescent="0.3">
      <c r="A671" t="str">
        <f t="shared" si="10"/>
        <v>RMSWL68430466/7</v>
      </c>
      <c r="B671" s="22" t="s">
        <v>3995</v>
      </c>
      <c r="C671" s="22" t="s">
        <v>3996</v>
      </c>
      <c r="D671" s="22" t="s">
        <v>3997</v>
      </c>
      <c r="E671" s="22" t="s">
        <v>2527</v>
      </c>
      <c r="F671" s="22" t="s">
        <v>3998</v>
      </c>
      <c r="G671" s="28" t="s">
        <v>2012</v>
      </c>
      <c r="H671" s="22" t="s">
        <v>3987</v>
      </c>
      <c r="I671" s="22" t="s">
        <v>3988</v>
      </c>
      <c r="J671" s="22" t="s">
        <v>1117</v>
      </c>
      <c r="K671" s="22" t="s">
        <v>924</v>
      </c>
      <c r="L671" s="22" t="s">
        <v>2531</v>
      </c>
      <c r="M671" s="22" t="s">
        <v>2532</v>
      </c>
      <c r="N671" s="28" t="s">
        <v>2494</v>
      </c>
      <c r="O671" s="28" t="s">
        <v>2016</v>
      </c>
      <c r="P671" s="29">
        <v>54400</v>
      </c>
      <c r="Q671" s="28" t="s">
        <v>1164</v>
      </c>
      <c r="R671" s="37">
        <v>16.081860140958</v>
      </c>
      <c r="S671" s="34">
        <v>217458.85279999999</v>
      </c>
      <c r="T671" s="32">
        <v>3382.6932657777802</v>
      </c>
      <c r="U671" s="32">
        <v>0</v>
      </c>
      <c r="V671" s="37">
        <v>16.081860140958</v>
      </c>
      <c r="W671" s="36">
        <v>46103</v>
      </c>
      <c r="X671" s="36">
        <v>46104</v>
      </c>
    </row>
    <row r="672" spans="1:24" ht="15.75" thickBot="1" x14ac:dyDescent="0.3">
      <c r="A672" t="str">
        <f t="shared" si="10"/>
        <v>RMSWL68500427B</v>
      </c>
      <c r="B672" s="22" t="s">
        <v>3999</v>
      </c>
      <c r="C672" s="22" t="s">
        <v>4000</v>
      </c>
      <c r="D672" s="22" t="s">
        <v>4001</v>
      </c>
      <c r="E672" s="22" t="s">
        <v>2527</v>
      </c>
      <c r="F672" s="22" t="s">
        <v>4002</v>
      </c>
      <c r="G672" s="28" t="s">
        <v>2012</v>
      </c>
      <c r="H672" s="22" t="s">
        <v>3758</v>
      </c>
      <c r="I672" s="22" t="s">
        <v>3759</v>
      </c>
      <c r="J672" s="22" t="s">
        <v>1117</v>
      </c>
      <c r="K672" s="22" t="s">
        <v>924</v>
      </c>
      <c r="L672" s="22" t="s">
        <v>2531</v>
      </c>
      <c r="M672" s="22" t="s">
        <v>2532</v>
      </c>
      <c r="N672" s="28" t="s">
        <v>2494</v>
      </c>
      <c r="O672" s="28" t="s">
        <v>2016</v>
      </c>
      <c r="P672" s="29">
        <v>23119.91</v>
      </c>
      <c r="Q672" s="28" t="s">
        <v>1164</v>
      </c>
      <c r="R672" s="37">
        <v>16.246406103040002</v>
      </c>
      <c r="S672" s="34">
        <v>91483.612999999998</v>
      </c>
      <c r="T672" s="32">
        <v>1423.0784244444401</v>
      </c>
      <c r="U672" s="32">
        <v>0</v>
      </c>
      <c r="V672" s="37">
        <v>16.246406103040002</v>
      </c>
      <c r="W672" s="36">
        <v>46103</v>
      </c>
      <c r="X672" s="36">
        <v>46104</v>
      </c>
    </row>
    <row r="673" spans="1:24" ht="15.75" thickBot="1" x14ac:dyDescent="0.3">
      <c r="A673" t="str">
        <f t="shared" si="10"/>
        <v>85067811</v>
      </c>
      <c r="B673" s="22" t="s">
        <v>465</v>
      </c>
      <c r="C673" s="22" t="s">
        <v>4003</v>
      </c>
      <c r="D673" s="22" t="s">
        <v>4004</v>
      </c>
      <c r="E673" s="22" t="s">
        <v>4005</v>
      </c>
      <c r="F673" s="22" t="s">
        <v>4006</v>
      </c>
      <c r="G673" s="28" t="s">
        <v>2012</v>
      </c>
      <c r="H673" s="22" t="s">
        <v>2027</v>
      </c>
      <c r="I673" s="21"/>
      <c r="J673" s="22" t="s">
        <v>404</v>
      </c>
      <c r="K673" s="22" t="s">
        <v>262</v>
      </c>
      <c r="L673" s="21"/>
      <c r="M673" s="22" t="s">
        <v>2014</v>
      </c>
      <c r="N673" s="28" t="s">
        <v>2015</v>
      </c>
      <c r="O673" s="28" t="s">
        <v>2016</v>
      </c>
      <c r="P673" s="29">
        <v>212</v>
      </c>
      <c r="Q673" s="28" t="s">
        <v>2017</v>
      </c>
      <c r="R673" s="37">
        <v>18.669275929548999</v>
      </c>
      <c r="S673" s="29">
        <v>730</v>
      </c>
      <c r="T673" s="32">
        <v>11.355555555555</v>
      </c>
      <c r="U673" s="32">
        <v>0</v>
      </c>
      <c r="V673" s="37">
        <v>18.669275929548999</v>
      </c>
      <c r="W673" s="36">
        <v>46105</v>
      </c>
      <c r="X673" s="36">
        <v>46105</v>
      </c>
    </row>
    <row r="674" spans="1:24" ht="15.75" thickBot="1" x14ac:dyDescent="0.3">
      <c r="A674" t="str">
        <f t="shared" si="10"/>
        <v>85132157</v>
      </c>
      <c r="B674" s="22" t="s">
        <v>435</v>
      </c>
      <c r="C674" s="22" t="s">
        <v>2656</v>
      </c>
      <c r="D674" s="22" t="s">
        <v>4007</v>
      </c>
      <c r="E674" s="22" t="s">
        <v>4008</v>
      </c>
      <c r="F674" s="22" t="s">
        <v>2302</v>
      </c>
      <c r="G674" s="28" t="s">
        <v>2012</v>
      </c>
      <c r="H674" s="22" t="s">
        <v>2027</v>
      </c>
      <c r="I674" s="21"/>
      <c r="J674" s="22" t="s">
        <v>404</v>
      </c>
      <c r="K674" s="22" t="s">
        <v>262</v>
      </c>
      <c r="L674" s="21"/>
      <c r="M674" s="22" t="s">
        <v>2014</v>
      </c>
      <c r="N674" s="28" t="s">
        <v>2015</v>
      </c>
      <c r="O674" s="28" t="s">
        <v>2016</v>
      </c>
      <c r="P674" s="29">
        <v>600</v>
      </c>
      <c r="Q674" s="28" t="s">
        <v>2017</v>
      </c>
      <c r="R674" s="37">
        <v>18.687707641195999</v>
      </c>
      <c r="S674" s="29">
        <v>2064</v>
      </c>
      <c r="T674" s="32">
        <v>32.106666666666001</v>
      </c>
      <c r="U674" s="32">
        <v>0</v>
      </c>
      <c r="V674" s="37">
        <v>18.687707641195999</v>
      </c>
      <c r="W674" s="36">
        <v>46105</v>
      </c>
      <c r="X674" s="36">
        <v>46105</v>
      </c>
    </row>
    <row r="675" spans="1:24" ht="15.75" thickBot="1" x14ac:dyDescent="0.3">
      <c r="A675" t="str">
        <f t="shared" si="10"/>
        <v>85755678</v>
      </c>
      <c r="B675" s="22" t="s">
        <v>406</v>
      </c>
      <c r="C675" s="22" t="s">
        <v>4009</v>
      </c>
      <c r="D675" s="22" t="s">
        <v>4010</v>
      </c>
      <c r="E675" s="22" t="s">
        <v>4011</v>
      </c>
      <c r="F675" s="22" t="s">
        <v>3769</v>
      </c>
      <c r="G675" s="28" t="s">
        <v>2012</v>
      </c>
      <c r="H675" s="22" t="s">
        <v>2027</v>
      </c>
      <c r="I675" s="21"/>
      <c r="J675" s="22" t="s">
        <v>404</v>
      </c>
      <c r="K675" s="22" t="s">
        <v>262</v>
      </c>
      <c r="L675" s="21"/>
      <c r="M675" s="22" t="s">
        <v>2014</v>
      </c>
      <c r="N675" s="28" t="s">
        <v>2015</v>
      </c>
      <c r="O675" s="28" t="s">
        <v>2016</v>
      </c>
      <c r="P675" s="29">
        <v>349</v>
      </c>
      <c r="Q675" s="28" t="s">
        <v>2017</v>
      </c>
      <c r="R675" s="37">
        <v>18.314868804663998</v>
      </c>
      <c r="S675" s="29">
        <v>1225</v>
      </c>
      <c r="T675" s="32">
        <v>19.055555555554999</v>
      </c>
      <c r="U675" s="32">
        <v>0</v>
      </c>
      <c r="V675" s="37">
        <v>18.314868804663998</v>
      </c>
      <c r="W675" s="36">
        <v>46105</v>
      </c>
      <c r="X675" s="36">
        <v>46105</v>
      </c>
    </row>
    <row r="676" spans="1:24" ht="15.75" thickBot="1" x14ac:dyDescent="0.3">
      <c r="A676" t="str">
        <f t="shared" si="10"/>
        <v>DET2610706A</v>
      </c>
      <c r="B676" s="22" t="s">
        <v>1197</v>
      </c>
      <c r="C676" s="22" t="s">
        <v>2161</v>
      </c>
      <c r="D676" s="22" t="s">
        <v>4012</v>
      </c>
      <c r="E676" s="22" t="s">
        <v>4013</v>
      </c>
      <c r="F676" s="22" t="s">
        <v>4014</v>
      </c>
      <c r="G676" s="28" t="s">
        <v>2012</v>
      </c>
      <c r="H676" s="22" t="s">
        <v>2080</v>
      </c>
      <c r="I676" s="21"/>
      <c r="J676" s="22" t="s">
        <v>494</v>
      </c>
      <c r="K676" s="22" t="s">
        <v>924</v>
      </c>
      <c r="L676" s="21"/>
      <c r="M676" s="22" t="s">
        <v>2034</v>
      </c>
      <c r="N676" s="28" t="s">
        <v>2015</v>
      </c>
      <c r="O676" s="28" t="s">
        <v>2016</v>
      </c>
      <c r="P676" s="29">
        <v>4919</v>
      </c>
      <c r="Q676" s="28" t="s">
        <v>2017</v>
      </c>
      <c r="R676" s="37">
        <v>18.034756961984002</v>
      </c>
      <c r="S676" s="29">
        <v>17534</v>
      </c>
      <c r="T676" s="32">
        <v>272.75111111111102</v>
      </c>
      <c r="U676" s="32">
        <v>0</v>
      </c>
      <c r="V676" s="37">
        <v>18.034756961984002</v>
      </c>
      <c r="W676" s="36">
        <v>46105</v>
      </c>
      <c r="X676" s="36">
        <v>46105</v>
      </c>
    </row>
    <row r="677" spans="1:24" ht="15.75" thickBot="1" x14ac:dyDescent="0.3">
      <c r="A677" t="str">
        <f t="shared" si="10"/>
        <v>DET2640506A</v>
      </c>
      <c r="B677" s="22" t="s">
        <v>1109</v>
      </c>
      <c r="C677" s="22" t="s">
        <v>4015</v>
      </c>
      <c r="D677" s="22" t="s">
        <v>4016</v>
      </c>
      <c r="E677" s="22" t="s">
        <v>2124</v>
      </c>
      <c r="F677" s="22" t="s">
        <v>4017</v>
      </c>
      <c r="G677" s="28" t="s">
        <v>2012</v>
      </c>
      <c r="H677" s="22" t="s">
        <v>2080</v>
      </c>
      <c r="I677" s="21"/>
      <c r="J677" s="22" t="s">
        <v>494</v>
      </c>
      <c r="K677" s="22" t="s">
        <v>924</v>
      </c>
      <c r="L677" s="21"/>
      <c r="M677" s="22" t="s">
        <v>2034</v>
      </c>
      <c r="N677" s="28" t="s">
        <v>2015</v>
      </c>
      <c r="O677" s="28" t="s">
        <v>2016</v>
      </c>
      <c r="P677" s="29">
        <v>5250</v>
      </c>
      <c r="Q677" s="28" t="s">
        <v>2017</v>
      </c>
      <c r="R677" s="37">
        <v>18.687707641195999</v>
      </c>
      <c r="S677" s="29">
        <v>18060</v>
      </c>
      <c r="T677" s="32">
        <v>280.933333333333</v>
      </c>
      <c r="U677" s="32">
        <v>0</v>
      </c>
      <c r="V677" s="37">
        <v>18.687707641195999</v>
      </c>
      <c r="W677" s="36">
        <v>46105</v>
      </c>
      <c r="X677" s="36">
        <v>46105</v>
      </c>
    </row>
    <row r="678" spans="1:24" ht="15.75" thickBot="1" x14ac:dyDescent="0.3">
      <c r="A678" t="str">
        <f t="shared" si="10"/>
        <v>DET68612899AC</v>
      </c>
      <c r="B678" s="22" t="s">
        <v>1270</v>
      </c>
      <c r="C678" s="22" t="s">
        <v>4018</v>
      </c>
      <c r="D678" s="22" t="s">
        <v>4019</v>
      </c>
      <c r="E678" s="21"/>
      <c r="F678" s="22" t="s">
        <v>4020</v>
      </c>
      <c r="G678" s="28" t="s">
        <v>2012</v>
      </c>
      <c r="H678" s="22" t="s">
        <v>3677</v>
      </c>
      <c r="I678" s="21"/>
      <c r="J678" s="22" t="s">
        <v>1164</v>
      </c>
      <c r="K678" s="22" t="s">
        <v>924</v>
      </c>
      <c r="L678" s="21"/>
      <c r="M678" s="22" t="s">
        <v>2034</v>
      </c>
      <c r="N678" s="28" t="s">
        <v>2015</v>
      </c>
      <c r="O678" s="28" t="s">
        <v>2016</v>
      </c>
      <c r="P678" s="29">
        <v>3184</v>
      </c>
      <c r="Q678" s="28" t="s">
        <v>2017</v>
      </c>
      <c r="R678" s="37">
        <v>18.049886621315</v>
      </c>
      <c r="S678" s="29">
        <v>11340</v>
      </c>
      <c r="T678" s="32">
        <v>176.4</v>
      </c>
      <c r="U678" s="32">
        <v>0</v>
      </c>
      <c r="V678" s="37">
        <v>18.049886621315</v>
      </c>
      <c r="W678" s="36">
        <v>46105</v>
      </c>
      <c r="X678" s="36">
        <v>46105</v>
      </c>
    </row>
    <row r="679" spans="1:24" ht="15.75" thickBot="1" x14ac:dyDescent="0.3">
      <c r="A679" t="str">
        <f t="shared" si="10"/>
        <v>DET7YS89AAOS</v>
      </c>
      <c r="B679" s="22" t="s">
        <v>705</v>
      </c>
      <c r="C679" s="22" t="s">
        <v>4021</v>
      </c>
      <c r="D679" s="22" t="s">
        <v>4022</v>
      </c>
      <c r="E679" s="22" t="s">
        <v>3231</v>
      </c>
      <c r="F679" s="22" t="s">
        <v>3232</v>
      </c>
      <c r="G679" s="28" t="s">
        <v>2012</v>
      </c>
      <c r="H679" s="22" t="s">
        <v>3233</v>
      </c>
      <c r="I679" s="21"/>
      <c r="J679" s="22" t="s">
        <v>698</v>
      </c>
      <c r="K679" s="22" t="s">
        <v>262</v>
      </c>
      <c r="L679" s="21"/>
      <c r="M679" s="22" t="s">
        <v>2014</v>
      </c>
      <c r="N679" s="28" t="s">
        <v>2015</v>
      </c>
      <c r="O679" s="28" t="s">
        <v>2016</v>
      </c>
      <c r="P679" s="29">
        <v>5760</v>
      </c>
      <c r="Q679" s="28" t="s">
        <v>2017</v>
      </c>
      <c r="R679" s="37">
        <v>18.907563025209999</v>
      </c>
      <c r="S679" s="29">
        <v>19584</v>
      </c>
      <c r="T679" s="32">
        <v>304.64</v>
      </c>
      <c r="U679" s="32">
        <v>0</v>
      </c>
      <c r="V679" s="37">
        <v>18.907563025209999</v>
      </c>
      <c r="W679" s="36">
        <v>46105</v>
      </c>
      <c r="X679" s="36">
        <v>46105</v>
      </c>
    </row>
    <row r="680" spans="1:24" ht="15.75" thickBot="1" x14ac:dyDescent="0.3">
      <c r="A680" t="str">
        <f t="shared" si="10"/>
        <v>MLDE23901APIA02</v>
      </c>
      <c r="B680" s="22" t="s">
        <v>835</v>
      </c>
      <c r="C680" s="22" t="s">
        <v>4023</v>
      </c>
      <c r="D680" s="22" t="s">
        <v>4024</v>
      </c>
      <c r="E680" s="21"/>
      <c r="F680" s="22" t="s">
        <v>4025</v>
      </c>
      <c r="G680" s="28" t="s">
        <v>2012</v>
      </c>
      <c r="H680" s="22" t="s">
        <v>2013</v>
      </c>
      <c r="I680" s="21"/>
      <c r="J680" s="22" t="s">
        <v>261</v>
      </c>
      <c r="K680" s="22" t="s">
        <v>262</v>
      </c>
      <c r="L680" s="21"/>
      <c r="M680" s="22" t="s">
        <v>2034</v>
      </c>
      <c r="N680" s="28" t="s">
        <v>2015</v>
      </c>
      <c r="O680" s="28" t="s">
        <v>2016</v>
      </c>
      <c r="P680" s="29">
        <v>1538</v>
      </c>
      <c r="Q680" s="28" t="s">
        <v>2017</v>
      </c>
      <c r="R680" s="37">
        <v>18.676129310810001</v>
      </c>
      <c r="S680" s="29">
        <v>5294</v>
      </c>
      <c r="T680" s="32">
        <v>82.351111111110995</v>
      </c>
      <c r="U680" s="32">
        <v>0</v>
      </c>
      <c r="V680" s="37">
        <v>18.676129310810001</v>
      </c>
      <c r="W680" s="36">
        <v>46105</v>
      </c>
      <c r="X680" s="36">
        <v>46105</v>
      </c>
    </row>
    <row r="681" spans="1:24" ht="15.75" thickBot="1" x14ac:dyDescent="0.3">
      <c r="A681" t="str">
        <f t="shared" si="10"/>
        <v>N1WB E26291 BA</v>
      </c>
      <c r="B681" s="22" t="s">
        <v>1245</v>
      </c>
      <c r="C681" s="22" t="s">
        <v>4026</v>
      </c>
      <c r="D681" s="22" t="s">
        <v>4027</v>
      </c>
      <c r="E681" s="22" t="s">
        <v>4028</v>
      </c>
      <c r="F681" s="22" t="s">
        <v>2255</v>
      </c>
      <c r="G681" s="28" t="s">
        <v>2012</v>
      </c>
      <c r="H681" s="22" t="s">
        <v>2013</v>
      </c>
      <c r="I681" s="21"/>
      <c r="J681" s="22" t="s">
        <v>261</v>
      </c>
      <c r="K681" s="22" t="s">
        <v>924</v>
      </c>
      <c r="L681" s="21"/>
      <c r="M681" s="22" t="s">
        <v>2014</v>
      </c>
      <c r="N681" s="28" t="s">
        <v>2015</v>
      </c>
      <c r="O681" s="28" t="s">
        <v>2016</v>
      </c>
      <c r="P681" s="29">
        <v>4381</v>
      </c>
      <c r="Q681" s="28" t="s">
        <v>2017</v>
      </c>
      <c r="R681" s="37">
        <v>18.288033395176001</v>
      </c>
      <c r="S681" s="29">
        <v>15400</v>
      </c>
      <c r="T681" s="32">
        <v>239.555555555556</v>
      </c>
      <c r="U681" s="32">
        <v>0</v>
      </c>
      <c r="V681" s="37">
        <v>18.288033395176001</v>
      </c>
      <c r="W681" s="36">
        <v>46105</v>
      </c>
      <c r="X681" s="36">
        <v>46105</v>
      </c>
    </row>
    <row r="682" spans="1:24" ht="15.75" thickBot="1" x14ac:dyDescent="0.3">
      <c r="A682" t="str">
        <f t="shared" si="10"/>
        <v>PC.WL68507883</v>
      </c>
      <c r="B682" s="22" t="s">
        <v>1779</v>
      </c>
      <c r="C682" s="22" t="s">
        <v>4029</v>
      </c>
      <c r="D682" s="22" t="s">
        <v>4030</v>
      </c>
      <c r="E682" s="22" t="s">
        <v>4031</v>
      </c>
      <c r="F682" s="22" t="s">
        <v>2139</v>
      </c>
      <c r="G682" s="28" t="s">
        <v>2012</v>
      </c>
      <c r="H682" s="22" t="s">
        <v>2022</v>
      </c>
      <c r="I682" s="21"/>
      <c r="J682" s="22" t="s">
        <v>1117</v>
      </c>
      <c r="K682" s="22" t="s">
        <v>924</v>
      </c>
      <c r="L682" s="21"/>
      <c r="M682" s="22" t="s">
        <v>2014</v>
      </c>
      <c r="N682" s="28" t="s">
        <v>2015</v>
      </c>
      <c r="O682" s="28" t="s">
        <v>2016</v>
      </c>
      <c r="P682" s="29">
        <v>10002</v>
      </c>
      <c r="Q682" s="28" t="s">
        <v>2017</v>
      </c>
      <c r="R682" s="37">
        <v>18.911344537815001</v>
      </c>
      <c r="S682" s="29">
        <v>34000</v>
      </c>
      <c r="T682" s="32">
        <v>528.88888888888903</v>
      </c>
      <c r="U682" s="32">
        <v>0</v>
      </c>
      <c r="V682" s="37">
        <v>18.911344537815001</v>
      </c>
      <c r="W682" s="36">
        <v>46105</v>
      </c>
      <c r="X682" s="36">
        <v>46105</v>
      </c>
    </row>
    <row r="683" spans="1:24" ht="15.75" thickBot="1" x14ac:dyDescent="0.3">
      <c r="A683" t="str">
        <f t="shared" si="10"/>
        <v>PC30462A</v>
      </c>
      <c r="B683" s="22" t="s">
        <v>1509</v>
      </c>
      <c r="C683" s="22" t="s">
        <v>4032</v>
      </c>
      <c r="D683" s="22" t="s">
        <v>4033</v>
      </c>
      <c r="E683" s="22" t="s">
        <v>4034</v>
      </c>
      <c r="F683" s="22" t="s">
        <v>2139</v>
      </c>
      <c r="G683" s="28" t="s">
        <v>2012</v>
      </c>
      <c r="H683" s="22" t="s">
        <v>2022</v>
      </c>
      <c r="I683" s="21"/>
      <c r="J683" s="22" t="s">
        <v>1117</v>
      </c>
      <c r="K683" s="22" t="s">
        <v>924</v>
      </c>
      <c r="L683" s="21"/>
      <c r="M683" s="22" t="s">
        <v>2014</v>
      </c>
      <c r="N683" s="28" t="s">
        <v>2015</v>
      </c>
      <c r="O683" s="28" t="s">
        <v>2016</v>
      </c>
      <c r="P683" s="29">
        <v>9960</v>
      </c>
      <c r="Q683" s="28" t="s">
        <v>2017</v>
      </c>
      <c r="R683" s="37">
        <v>18.831932773108999</v>
      </c>
      <c r="S683" s="29">
        <v>34000</v>
      </c>
      <c r="T683" s="32">
        <v>528.88888888888903</v>
      </c>
      <c r="U683" s="32">
        <v>0</v>
      </c>
      <c r="V683" s="37">
        <v>18.831932773108999</v>
      </c>
      <c r="W683" s="36">
        <v>46105</v>
      </c>
      <c r="X683" s="36">
        <v>46105</v>
      </c>
    </row>
    <row r="684" spans="1:24" ht="15.75" thickBot="1" x14ac:dyDescent="0.3">
      <c r="A684" t="str">
        <f t="shared" si="10"/>
        <v>PC30463A</v>
      </c>
      <c r="B684" s="22" t="s">
        <v>1511</v>
      </c>
      <c r="C684" s="22" t="s">
        <v>4035</v>
      </c>
      <c r="D684" s="22" t="s">
        <v>4033</v>
      </c>
      <c r="E684" s="22" t="s">
        <v>4036</v>
      </c>
      <c r="F684" s="22" t="s">
        <v>2139</v>
      </c>
      <c r="G684" s="28" t="s">
        <v>2012</v>
      </c>
      <c r="H684" s="22" t="s">
        <v>2022</v>
      </c>
      <c r="I684" s="21"/>
      <c r="J684" s="22" t="s">
        <v>1117</v>
      </c>
      <c r="K684" s="22" t="s">
        <v>924</v>
      </c>
      <c r="L684" s="21"/>
      <c r="M684" s="22" t="s">
        <v>2014</v>
      </c>
      <c r="N684" s="28" t="s">
        <v>2015</v>
      </c>
      <c r="O684" s="28" t="s">
        <v>2016</v>
      </c>
      <c r="P684" s="29">
        <v>10000</v>
      </c>
      <c r="Q684" s="28" t="s">
        <v>2017</v>
      </c>
      <c r="R684" s="37">
        <v>18.907563025209999</v>
      </c>
      <c r="S684" s="29">
        <v>34000</v>
      </c>
      <c r="T684" s="32">
        <v>528.88888888888903</v>
      </c>
      <c r="U684" s="32">
        <v>0</v>
      </c>
      <c r="V684" s="37">
        <v>18.907563025209999</v>
      </c>
      <c r="W684" s="36">
        <v>46105</v>
      </c>
      <c r="X684" s="36">
        <v>46105</v>
      </c>
    </row>
    <row r="685" spans="1:24" ht="15.75" thickBot="1" x14ac:dyDescent="0.3">
      <c r="A685" t="str">
        <f t="shared" si="10"/>
        <v>PCPE23942AR02.HA</v>
      </c>
      <c r="B685" s="22" t="s">
        <v>4037</v>
      </c>
      <c r="C685" s="21"/>
      <c r="D685" s="22" t="s">
        <v>4038</v>
      </c>
      <c r="E685" s="21"/>
      <c r="F685" s="22" t="s">
        <v>2030</v>
      </c>
      <c r="G685" s="28" t="s">
        <v>2012</v>
      </c>
      <c r="H685" s="22" t="s">
        <v>3459</v>
      </c>
      <c r="I685" s="22" t="s">
        <v>3460</v>
      </c>
      <c r="J685" s="22" t="s">
        <v>261</v>
      </c>
      <c r="K685" s="22" t="s">
        <v>262</v>
      </c>
      <c r="L685" s="22" t="s">
        <v>3318</v>
      </c>
      <c r="M685" s="22" t="s">
        <v>2130</v>
      </c>
      <c r="N685" s="28" t="s">
        <v>2494</v>
      </c>
      <c r="O685" s="28" t="s">
        <v>2016</v>
      </c>
      <c r="P685" s="29">
        <v>1661</v>
      </c>
      <c r="Q685" s="28" t="s">
        <v>2017</v>
      </c>
      <c r="R685" s="37">
        <v>18.284001956947002</v>
      </c>
      <c r="S685" s="29">
        <v>5840</v>
      </c>
      <c r="T685" s="32">
        <v>90.844444444443994</v>
      </c>
      <c r="U685" s="32">
        <v>0</v>
      </c>
      <c r="V685" s="37">
        <v>18.284001956947002</v>
      </c>
      <c r="W685" s="36">
        <v>46105</v>
      </c>
      <c r="X685" s="36">
        <v>46105</v>
      </c>
    </row>
    <row r="686" spans="1:24" ht="15.75" thickBot="1" x14ac:dyDescent="0.3">
      <c r="A686" t="str">
        <f t="shared" si="10"/>
        <v>PCPE27406MPIA05</v>
      </c>
      <c r="B686" s="22" t="s">
        <v>4039</v>
      </c>
      <c r="C686" s="22" t="s">
        <v>4040</v>
      </c>
      <c r="D686" s="22" t="s">
        <v>4041</v>
      </c>
      <c r="E686" s="21"/>
      <c r="F686" s="22" t="s">
        <v>2030</v>
      </c>
      <c r="G686" s="28" t="s">
        <v>2012</v>
      </c>
      <c r="H686" s="22" t="s">
        <v>3871</v>
      </c>
      <c r="I686" s="22" t="s">
        <v>3872</v>
      </c>
      <c r="J686" s="22" t="s">
        <v>261</v>
      </c>
      <c r="K686" s="22" t="s">
        <v>262</v>
      </c>
      <c r="L686" s="22" t="s">
        <v>4042</v>
      </c>
      <c r="M686" s="22" t="s">
        <v>2130</v>
      </c>
      <c r="N686" s="28" t="s">
        <v>2494</v>
      </c>
      <c r="O686" s="28" t="s">
        <v>2016</v>
      </c>
      <c r="P686" s="29">
        <v>3103</v>
      </c>
      <c r="Q686" s="28" t="s">
        <v>2017</v>
      </c>
      <c r="R686" s="37">
        <v>18.542347223328001</v>
      </c>
      <c r="S686" s="29">
        <v>10758</v>
      </c>
      <c r="T686" s="32">
        <v>167.34666666666701</v>
      </c>
      <c r="U686" s="32">
        <v>0</v>
      </c>
      <c r="V686" s="37">
        <v>18.542347223328001</v>
      </c>
      <c r="W686" s="36">
        <v>46105</v>
      </c>
      <c r="X686" s="36">
        <v>46105</v>
      </c>
    </row>
    <row r="687" spans="1:24" ht="15.75" thickBot="1" x14ac:dyDescent="0.3">
      <c r="A687" t="str">
        <f t="shared" si="10"/>
        <v>PCPE27407AR05.HA</v>
      </c>
      <c r="B687" s="22" t="s">
        <v>4043</v>
      </c>
      <c r="C687" s="22" t="s">
        <v>4044</v>
      </c>
      <c r="D687" s="22" t="s">
        <v>4045</v>
      </c>
      <c r="E687" s="21"/>
      <c r="F687" s="22" t="s">
        <v>2030</v>
      </c>
      <c r="G687" s="28" t="s">
        <v>2012</v>
      </c>
      <c r="H687" s="22" t="s">
        <v>3459</v>
      </c>
      <c r="I687" s="22" t="s">
        <v>3460</v>
      </c>
      <c r="J687" s="22" t="s">
        <v>261</v>
      </c>
      <c r="K687" s="22" t="s">
        <v>262</v>
      </c>
      <c r="L687" s="22" t="s">
        <v>3318</v>
      </c>
      <c r="M687" s="22" t="s">
        <v>2130</v>
      </c>
      <c r="N687" s="28" t="s">
        <v>2494</v>
      </c>
      <c r="O687" s="28" t="s">
        <v>2016</v>
      </c>
      <c r="P687" s="29">
        <v>1146</v>
      </c>
      <c r="Q687" s="28" t="s">
        <v>2017</v>
      </c>
      <c r="R687" s="37">
        <v>18.473276973777999</v>
      </c>
      <c r="S687" s="29">
        <v>3988</v>
      </c>
      <c r="T687" s="32">
        <v>62.035555555555</v>
      </c>
      <c r="U687" s="32">
        <v>0</v>
      </c>
      <c r="V687" s="37">
        <v>18.473276973777999</v>
      </c>
      <c r="W687" s="36">
        <v>46105</v>
      </c>
      <c r="X687" s="36">
        <v>46105</v>
      </c>
    </row>
    <row r="688" spans="1:24" ht="15.75" thickBot="1" x14ac:dyDescent="0.3">
      <c r="A688" t="str">
        <f t="shared" si="10"/>
        <v>PCPE403A86APIA05</v>
      </c>
      <c r="B688" s="22" t="s">
        <v>4046</v>
      </c>
      <c r="C688" s="22" t="s">
        <v>4047</v>
      </c>
      <c r="D688" s="22" t="s">
        <v>4048</v>
      </c>
      <c r="E688" s="22" t="s">
        <v>4049</v>
      </c>
      <c r="F688" s="22" t="s">
        <v>2030</v>
      </c>
      <c r="G688" s="28" t="s">
        <v>2012</v>
      </c>
      <c r="H688" s="22" t="s">
        <v>4050</v>
      </c>
      <c r="I688" s="22" t="s">
        <v>4051</v>
      </c>
      <c r="J688" s="22" t="s">
        <v>261</v>
      </c>
      <c r="K688" s="22" t="s">
        <v>262</v>
      </c>
      <c r="L688" s="22" t="s">
        <v>3868</v>
      </c>
      <c r="M688" s="22" t="s">
        <v>2130</v>
      </c>
      <c r="N688" s="28" t="s">
        <v>2494</v>
      </c>
      <c r="O688" s="28" t="s">
        <v>2016</v>
      </c>
      <c r="P688" s="29">
        <v>9604</v>
      </c>
      <c r="Q688" s="28" t="s">
        <v>2017</v>
      </c>
      <c r="R688" s="37">
        <v>18.885354215098001</v>
      </c>
      <c r="S688" s="29">
        <v>32692</v>
      </c>
      <c r="T688" s="32">
        <v>508.54222222222199</v>
      </c>
      <c r="U688" s="32">
        <v>0</v>
      </c>
      <c r="V688" s="37">
        <v>18.885354215098001</v>
      </c>
      <c r="W688" s="36">
        <v>46105</v>
      </c>
      <c r="X688" s="36">
        <v>46105</v>
      </c>
    </row>
    <row r="689" spans="1:24" ht="15.75" thickBot="1" x14ac:dyDescent="0.3">
      <c r="A689" t="str">
        <f t="shared" si="10"/>
        <v>PCPGMBEE17703</v>
      </c>
      <c r="B689" s="22" t="s">
        <v>4052</v>
      </c>
      <c r="C689" s="21"/>
      <c r="D689" s="22" t="s">
        <v>4053</v>
      </c>
      <c r="E689" s="22" t="s">
        <v>4054</v>
      </c>
      <c r="F689" s="22" t="s">
        <v>2030</v>
      </c>
      <c r="G689" s="28" t="s">
        <v>2012</v>
      </c>
      <c r="H689" s="22" t="s">
        <v>3897</v>
      </c>
      <c r="I689" s="22" t="s">
        <v>3898</v>
      </c>
      <c r="J689" s="22" t="s">
        <v>404</v>
      </c>
      <c r="K689" s="22" t="s">
        <v>262</v>
      </c>
      <c r="L689" s="22" t="s">
        <v>3858</v>
      </c>
      <c r="M689" s="22" t="s">
        <v>4055</v>
      </c>
      <c r="N689" s="28" t="s">
        <v>2494</v>
      </c>
      <c r="O689" s="28" t="s">
        <v>2016</v>
      </c>
      <c r="P689" s="29">
        <v>437</v>
      </c>
      <c r="Q689" s="28" t="s">
        <v>2017</v>
      </c>
      <c r="R689" s="37">
        <v>18.728571428571001</v>
      </c>
      <c r="S689" s="29">
        <v>1500</v>
      </c>
      <c r="T689" s="32">
        <v>23.333333333333002</v>
      </c>
      <c r="U689" s="32">
        <v>0</v>
      </c>
      <c r="V689" s="37">
        <v>18.728571428571001</v>
      </c>
      <c r="W689" s="36">
        <v>46105</v>
      </c>
      <c r="X689" s="36">
        <v>46105</v>
      </c>
    </row>
    <row r="690" spans="1:24" ht="15.75" thickBot="1" x14ac:dyDescent="0.3">
      <c r="A690" t="str">
        <f t="shared" si="10"/>
        <v>PCPW710338</v>
      </c>
      <c r="B690" s="22" t="s">
        <v>4056</v>
      </c>
      <c r="C690" s="22" t="s">
        <v>4057</v>
      </c>
      <c r="D690" s="22" t="s">
        <v>3618</v>
      </c>
      <c r="E690" s="22" t="s">
        <v>3619</v>
      </c>
      <c r="F690" s="22" t="s">
        <v>2030</v>
      </c>
      <c r="G690" s="28" t="s">
        <v>2012</v>
      </c>
      <c r="H690" s="22" t="s">
        <v>4058</v>
      </c>
      <c r="I690" s="22" t="s">
        <v>4059</v>
      </c>
      <c r="J690" s="22" t="s">
        <v>261</v>
      </c>
      <c r="K690" s="22" t="s">
        <v>262</v>
      </c>
      <c r="L690" s="22" t="s">
        <v>3620</v>
      </c>
      <c r="M690" s="22" t="s">
        <v>2130</v>
      </c>
      <c r="N690" s="28" t="s">
        <v>2494</v>
      </c>
      <c r="O690" s="28" t="s">
        <v>2016</v>
      </c>
      <c r="P690" s="29">
        <v>236696</v>
      </c>
      <c r="Q690" s="28" t="s">
        <v>2017</v>
      </c>
      <c r="R690" s="37">
        <v>18.127934680806</v>
      </c>
      <c r="S690" s="29">
        <v>839377</v>
      </c>
      <c r="T690" s="32">
        <v>13056.9755555556</v>
      </c>
      <c r="U690" s="32">
        <v>0</v>
      </c>
      <c r="V690" s="37">
        <v>18.127934680806</v>
      </c>
      <c r="W690" s="36">
        <v>46105</v>
      </c>
      <c r="X690" s="36">
        <v>46105</v>
      </c>
    </row>
    <row r="691" spans="1:24" ht="15.75" thickBot="1" x14ac:dyDescent="0.3">
      <c r="A691" t="str">
        <f t="shared" si="10"/>
        <v>PCS21101C84B</v>
      </c>
      <c r="B691" s="22" t="s">
        <v>4060</v>
      </c>
      <c r="C691" s="22" t="s">
        <v>4061</v>
      </c>
      <c r="D691" s="22" t="s">
        <v>4062</v>
      </c>
      <c r="E691" s="21"/>
      <c r="F691" s="22" t="s">
        <v>2030</v>
      </c>
      <c r="G691" s="28" t="s">
        <v>2012</v>
      </c>
      <c r="H691" s="22" t="s">
        <v>4063</v>
      </c>
      <c r="I691" s="22" t="s">
        <v>4064</v>
      </c>
      <c r="J691" s="22" t="s">
        <v>364</v>
      </c>
      <c r="K691" s="22" t="s">
        <v>924</v>
      </c>
      <c r="L691" s="22" t="s">
        <v>2501</v>
      </c>
      <c r="M691" s="22" t="s">
        <v>2130</v>
      </c>
      <c r="N691" s="28" t="s">
        <v>2494</v>
      </c>
      <c r="O691" s="28" t="s">
        <v>2016</v>
      </c>
      <c r="P691" s="29">
        <v>35690</v>
      </c>
      <c r="Q691" s="28" t="s">
        <v>2017</v>
      </c>
      <c r="R691" s="37">
        <v>18.807747707657001</v>
      </c>
      <c r="S691" s="29">
        <v>121990</v>
      </c>
      <c r="T691" s="32">
        <v>1897.62222222222</v>
      </c>
      <c r="U691" s="32">
        <v>0</v>
      </c>
      <c r="V691" s="37">
        <v>18.807747707657001</v>
      </c>
      <c r="W691" s="36">
        <v>46105</v>
      </c>
      <c r="X691" s="36">
        <v>46105</v>
      </c>
    </row>
    <row r="692" spans="1:24" ht="15.75" thickBot="1" x14ac:dyDescent="0.3">
      <c r="A692" t="str">
        <f t="shared" si="10"/>
        <v>PCS21108A60BAPIA02</v>
      </c>
      <c r="B692" s="22" t="s">
        <v>4065</v>
      </c>
      <c r="C692" s="21"/>
      <c r="D692" s="22" t="s">
        <v>4066</v>
      </c>
      <c r="E692" s="22" t="s">
        <v>3342</v>
      </c>
      <c r="F692" s="22" t="s">
        <v>2030</v>
      </c>
      <c r="G692" s="28" t="s">
        <v>2012</v>
      </c>
      <c r="H692" s="22" t="s">
        <v>4067</v>
      </c>
      <c r="I692" s="22" t="s">
        <v>4068</v>
      </c>
      <c r="J692" s="22" t="s">
        <v>494</v>
      </c>
      <c r="K692" s="22" t="s">
        <v>924</v>
      </c>
      <c r="L692" s="22" t="s">
        <v>4069</v>
      </c>
      <c r="M692" s="22" t="s">
        <v>2130</v>
      </c>
      <c r="N692" s="28" t="s">
        <v>2494</v>
      </c>
      <c r="O692" s="28" t="s">
        <v>2016</v>
      </c>
      <c r="P692" s="29">
        <v>8747</v>
      </c>
      <c r="Q692" s="28" t="s">
        <v>2017</v>
      </c>
      <c r="R692" s="37">
        <v>18.318580364123001</v>
      </c>
      <c r="S692" s="29">
        <v>30696</v>
      </c>
      <c r="T692" s="32">
        <v>477.493333333333</v>
      </c>
      <c r="U692" s="32">
        <v>0</v>
      </c>
      <c r="V692" s="37">
        <v>18.318580364123001</v>
      </c>
      <c r="W692" s="36">
        <v>46105</v>
      </c>
      <c r="X692" s="36">
        <v>46105</v>
      </c>
    </row>
    <row r="693" spans="1:24" ht="15.75" thickBot="1" x14ac:dyDescent="0.3">
      <c r="A693" t="str">
        <f t="shared" si="10"/>
        <v>RMPWPP-351</v>
      </c>
      <c r="B693" s="22" t="s">
        <v>4070</v>
      </c>
      <c r="C693" s="22" t="s">
        <v>4071</v>
      </c>
      <c r="D693" s="22" t="s">
        <v>4072</v>
      </c>
      <c r="E693" s="22" t="s">
        <v>2975</v>
      </c>
      <c r="F693" s="22" t="s">
        <v>2030</v>
      </c>
      <c r="G693" s="28" t="s">
        <v>2012</v>
      </c>
      <c r="H693" s="22" t="s">
        <v>3118</v>
      </c>
      <c r="I693" s="22" t="s">
        <v>3119</v>
      </c>
      <c r="J693" s="22" t="s">
        <v>261</v>
      </c>
      <c r="K693" s="22" t="s">
        <v>262</v>
      </c>
      <c r="L693" s="22" t="s">
        <v>2711</v>
      </c>
      <c r="M693" s="22" t="s">
        <v>2523</v>
      </c>
      <c r="N693" s="28" t="s">
        <v>2494</v>
      </c>
      <c r="O693" s="28" t="s">
        <v>2016</v>
      </c>
      <c r="P693" s="29">
        <v>9040.2900000000009</v>
      </c>
      <c r="Q693" s="28" t="s">
        <v>1164</v>
      </c>
      <c r="R693" s="37">
        <v>18.522308239021001</v>
      </c>
      <c r="S693" s="34">
        <v>31376.3</v>
      </c>
      <c r="T693" s="32">
        <v>488.075777777778</v>
      </c>
      <c r="U693" s="32">
        <v>0</v>
      </c>
      <c r="V693" s="37">
        <v>18.522308239021001</v>
      </c>
      <c r="W693" s="36">
        <v>46105</v>
      </c>
      <c r="X693" s="36">
        <v>46105</v>
      </c>
    </row>
    <row r="694" spans="1:24" ht="15.75" thickBot="1" x14ac:dyDescent="0.3">
      <c r="A694" t="str">
        <f t="shared" si="10"/>
        <v>RMSBR5B018A</v>
      </c>
      <c r="B694" s="22" t="s">
        <v>4073</v>
      </c>
      <c r="C694" s="22" t="s">
        <v>4074</v>
      </c>
      <c r="D694" s="22" t="s">
        <v>4075</v>
      </c>
      <c r="E694" s="22" t="s">
        <v>3123</v>
      </c>
      <c r="F694" s="22" t="s">
        <v>4076</v>
      </c>
      <c r="G694" s="28" t="s">
        <v>2012</v>
      </c>
      <c r="H694" s="22" t="s">
        <v>2716</v>
      </c>
      <c r="I694" s="22" t="s">
        <v>2717</v>
      </c>
      <c r="J694" s="22" t="s">
        <v>364</v>
      </c>
      <c r="K694" s="22" t="s">
        <v>924</v>
      </c>
      <c r="L694" s="22" t="s">
        <v>2558</v>
      </c>
      <c r="M694" s="22" t="s">
        <v>2532</v>
      </c>
      <c r="N694" s="28" t="s">
        <v>2494</v>
      </c>
      <c r="O694" s="28" t="s">
        <v>2016</v>
      </c>
      <c r="P694" s="29">
        <v>86913.964000000007</v>
      </c>
      <c r="Q694" s="28" t="s">
        <v>1164</v>
      </c>
      <c r="R694" s="37">
        <v>18.443347696648001</v>
      </c>
      <c r="S694" s="34">
        <v>302945.34100000001</v>
      </c>
      <c r="T694" s="32">
        <v>4712.4830822222202</v>
      </c>
      <c r="U694" s="32">
        <v>0</v>
      </c>
      <c r="V694" s="37">
        <v>18.443347696648001</v>
      </c>
      <c r="W694" s="36">
        <v>46105</v>
      </c>
      <c r="X694" s="36">
        <v>46105</v>
      </c>
    </row>
    <row r="695" spans="1:24" ht="15.75" thickBot="1" x14ac:dyDescent="0.3">
      <c r="A695" t="str">
        <f t="shared" si="10"/>
        <v>RMSBR7P026A</v>
      </c>
      <c r="B695" s="22" t="s">
        <v>4077</v>
      </c>
      <c r="C695" s="22" t="s">
        <v>4078</v>
      </c>
      <c r="D695" s="22" t="s">
        <v>4079</v>
      </c>
      <c r="E695" s="22" t="s">
        <v>3123</v>
      </c>
      <c r="F695" s="22" t="s">
        <v>4080</v>
      </c>
      <c r="G695" s="28" t="s">
        <v>2012</v>
      </c>
      <c r="H695" s="22" t="s">
        <v>2556</v>
      </c>
      <c r="I695" s="22" t="s">
        <v>2557</v>
      </c>
      <c r="J695" s="22" t="s">
        <v>364</v>
      </c>
      <c r="K695" s="22" t="s">
        <v>924</v>
      </c>
      <c r="L695" s="22" t="s">
        <v>2558</v>
      </c>
      <c r="M695" s="22" t="s">
        <v>2532</v>
      </c>
      <c r="N695" s="28" t="s">
        <v>2494</v>
      </c>
      <c r="O695" s="28" t="s">
        <v>2016</v>
      </c>
      <c r="P695" s="29">
        <v>20447.05</v>
      </c>
      <c r="Q695" s="28" t="s">
        <v>1164</v>
      </c>
      <c r="R695" s="37">
        <v>18.170323774840998</v>
      </c>
      <c r="S695" s="34">
        <v>72340.66</v>
      </c>
      <c r="T695" s="32">
        <v>1125.29915555556</v>
      </c>
      <c r="U695" s="32">
        <v>0</v>
      </c>
      <c r="V695" s="37">
        <v>18.170323774840998</v>
      </c>
      <c r="W695" s="36">
        <v>46105</v>
      </c>
      <c r="X695" s="36">
        <v>46105</v>
      </c>
    </row>
    <row r="696" spans="1:24" ht="15.75" thickBot="1" x14ac:dyDescent="0.3">
      <c r="A696" t="str">
        <f t="shared" si="10"/>
        <v>RMSGM7243401</v>
      </c>
      <c r="B696" s="22" t="s">
        <v>4081</v>
      </c>
      <c r="C696" s="22" t="s">
        <v>4082</v>
      </c>
      <c r="D696" s="22" t="s">
        <v>4083</v>
      </c>
      <c r="E696" s="22" t="s">
        <v>4084</v>
      </c>
      <c r="F696" s="22" t="s">
        <v>4085</v>
      </c>
      <c r="G696" s="28" t="s">
        <v>2012</v>
      </c>
      <c r="H696" s="22" t="s">
        <v>2549</v>
      </c>
      <c r="I696" s="22" t="s">
        <v>2550</v>
      </c>
      <c r="J696" s="22" t="s">
        <v>404</v>
      </c>
      <c r="K696" s="22" t="s">
        <v>924</v>
      </c>
      <c r="L696" s="22" t="s">
        <v>2558</v>
      </c>
      <c r="M696" s="22" t="s">
        <v>2532</v>
      </c>
      <c r="N696" s="28" t="s">
        <v>2494</v>
      </c>
      <c r="O696" s="28" t="s">
        <v>2016</v>
      </c>
      <c r="P696" s="29">
        <v>402774.1998</v>
      </c>
      <c r="Q696" s="28" t="s">
        <v>1164</v>
      </c>
      <c r="R696" s="37">
        <v>18.832023737642999</v>
      </c>
      <c r="S696" s="34">
        <v>1374925.3659999999</v>
      </c>
      <c r="T696" s="32">
        <v>21387.727915555599</v>
      </c>
      <c r="U696" s="32">
        <v>0</v>
      </c>
      <c r="V696" s="37">
        <v>18.832023737642999</v>
      </c>
      <c r="W696" s="36">
        <v>46105</v>
      </c>
      <c r="X696" s="36">
        <v>46105</v>
      </c>
    </row>
    <row r="697" spans="1:24" ht="15.75" thickBot="1" x14ac:dyDescent="0.3">
      <c r="A697" t="str">
        <f t="shared" si="10"/>
        <v>RMSLB68586410/1</v>
      </c>
      <c r="B697" s="22" t="s">
        <v>4086</v>
      </c>
      <c r="C697" s="22" t="s">
        <v>4087</v>
      </c>
      <c r="D697" s="22" t="s">
        <v>4088</v>
      </c>
      <c r="E697" s="22" t="s">
        <v>3123</v>
      </c>
      <c r="F697" s="22" t="s">
        <v>4089</v>
      </c>
      <c r="G697" s="28" t="s">
        <v>2012</v>
      </c>
      <c r="H697" s="22" t="s">
        <v>4090</v>
      </c>
      <c r="I697" s="22" t="s">
        <v>4091</v>
      </c>
      <c r="J697" s="22" t="s">
        <v>1117</v>
      </c>
      <c r="K697" s="22" t="s">
        <v>924</v>
      </c>
      <c r="L697" s="22" t="s">
        <v>2558</v>
      </c>
      <c r="M697" s="22" t="s">
        <v>2532</v>
      </c>
      <c r="N697" s="28" t="s">
        <v>2494</v>
      </c>
      <c r="O697" s="28" t="s">
        <v>2016</v>
      </c>
      <c r="P697" s="29">
        <v>5328.0519999999997</v>
      </c>
      <c r="Q697" s="28" t="s">
        <v>1164</v>
      </c>
      <c r="R697" s="37">
        <v>18.975776774103</v>
      </c>
      <c r="S697" s="34">
        <v>18050.256000000001</v>
      </c>
      <c r="T697" s="32">
        <v>280.78176000000002</v>
      </c>
      <c r="U697" s="32">
        <v>0</v>
      </c>
      <c r="V697" s="37">
        <v>18.975776774103</v>
      </c>
      <c r="W697" s="36">
        <v>46105</v>
      </c>
      <c r="X697" s="36">
        <v>46105</v>
      </c>
    </row>
    <row r="698" spans="1:24" ht="15.75" thickBot="1" x14ac:dyDescent="0.3">
      <c r="A698" t="str">
        <f t="shared" si="10"/>
        <v>85648120</v>
      </c>
      <c r="B698" s="22" t="s">
        <v>449</v>
      </c>
      <c r="C698" s="22" t="s">
        <v>4092</v>
      </c>
      <c r="D698" s="22" t="s">
        <v>4093</v>
      </c>
      <c r="E698" s="22" t="s">
        <v>4094</v>
      </c>
      <c r="F698" s="22" t="s">
        <v>4095</v>
      </c>
      <c r="G698" s="28" t="s">
        <v>2012</v>
      </c>
      <c r="H698" s="22" t="s">
        <v>2027</v>
      </c>
      <c r="I698" s="21"/>
      <c r="J698" s="22" t="s">
        <v>404</v>
      </c>
      <c r="K698" s="22" t="s">
        <v>262</v>
      </c>
      <c r="L698" s="21"/>
      <c r="M698" s="22" t="s">
        <v>2014</v>
      </c>
      <c r="N698" s="28" t="s">
        <v>2015</v>
      </c>
      <c r="O698" s="28" t="s">
        <v>2016</v>
      </c>
      <c r="P698" s="29">
        <v>409</v>
      </c>
      <c r="Q698" s="28" t="s">
        <v>2017</v>
      </c>
      <c r="R698" s="37">
        <v>19.219924812030001</v>
      </c>
      <c r="S698" s="29">
        <v>1368</v>
      </c>
      <c r="T698" s="32">
        <v>21.28</v>
      </c>
      <c r="U698" s="32">
        <v>0</v>
      </c>
      <c r="V698" s="37">
        <v>19.219924812030001</v>
      </c>
      <c r="W698" s="36">
        <v>46106</v>
      </c>
      <c r="X698" s="36">
        <v>46106</v>
      </c>
    </row>
    <row r="699" spans="1:24" ht="15.75" thickBot="1" x14ac:dyDescent="0.3">
      <c r="A699" t="str">
        <f t="shared" si="10"/>
        <v>85686515</v>
      </c>
      <c r="B699" s="22" t="s">
        <v>756</v>
      </c>
      <c r="C699" s="22" t="s">
        <v>4096</v>
      </c>
      <c r="D699" s="22" t="s">
        <v>4097</v>
      </c>
      <c r="E699" s="22" t="s">
        <v>4098</v>
      </c>
      <c r="F699" s="22" t="s">
        <v>4099</v>
      </c>
      <c r="G699" s="28" t="s">
        <v>2012</v>
      </c>
      <c r="H699" s="22" t="s">
        <v>2027</v>
      </c>
      <c r="I699" s="21"/>
      <c r="J699" s="22" t="s">
        <v>404</v>
      </c>
      <c r="K699" s="22" t="s">
        <v>262</v>
      </c>
      <c r="L699" s="21"/>
      <c r="M699" s="22" t="s">
        <v>2014</v>
      </c>
      <c r="N699" s="28" t="s">
        <v>2015</v>
      </c>
      <c r="O699" s="28" t="s">
        <v>2016</v>
      </c>
      <c r="P699" s="29">
        <v>144</v>
      </c>
      <c r="Q699" s="28" t="s">
        <v>2017</v>
      </c>
      <c r="R699" s="37">
        <v>19.285714285714</v>
      </c>
      <c r="S699" s="29">
        <v>480</v>
      </c>
      <c r="T699" s="32">
        <v>7.4666666666659998</v>
      </c>
      <c r="U699" s="32">
        <v>0</v>
      </c>
      <c r="V699" s="37">
        <v>19.285714285714</v>
      </c>
      <c r="W699" s="36">
        <v>46106</v>
      </c>
      <c r="X699" s="36">
        <v>46106</v>
      </c>
    </row>
    <row r="700" spans="1:24" ht="15.75" thickBot="1" x14ac:dyDescent="0.3">
      <c r="A700" t="str">
        <f t="shared" si="10"/>
        <v>DET21410A49A</v>
      </c>
      <c r="B700" s="22" t="s">
        <v>1098</v>
      </c>
      <c r="C700" s="22" t="s">
        <v>3004</v>
      </c>
      <c r="D700" s="22" t="s">
        <v>4100</v>
      </c>
      <c r="E700" s="22" t="s">
        <v>4101</v>
      </c>
      <c r="F700" s="22" t="s">
        <v>4102</v>
      </c>
      <c r="G700" s="28" t="s">
        <v>2012</v>
      </c>
      <c r="H700" s="22" t="s">
        <v>2080</v>
      </c>
      <c r="I700" s="21"/>
      <c r="J700" s="22" t="s">
        <v>494</v>
      </c>
      <c r="K700" s="22" t="s">
        <v>924</v>
      </c>
      <c r="L700" s="21"/>
      <c r="M700" s="22" t="s">
        <v>2034</v>
      </c>
      <c r="N700" s="28" t="s">
        <v>2015</v>
      </c>
      <c r="O700" s="28" t="s">
        <v>2016</v>
      </c>
      <c r="P700" s="29">
        <v>5169</v>
      </c>
      <c r="Q700" s="28" t="s">
        <v>2017</v>
      </c>
      <c r="R700" s="37">
        <v>19.064420949102001</v>
      </c>
      <c r="S700" s="29">
        <v>17430</v>
      </c>
      <c r="T700" s="32">
        <v>271.13333333333298</v>
      </c>
      <c r="U700" s="32">
        <v>0</v>
      </c>
      <c r="V700" s="37">
        <v>19.064420949102001</v>
      </c>
      <c r="W700" s="36">
        <v>46106</v>
      </c>
      <c r="X700" s="36">
        <v>46106</v>
      </c>
    </row>
    <row r="701" spans="1:24" ht="15.75" thickBot="1" x14ac:dyDescent="0.3">
      <c r="A701" t="str">
        <f t="shared" si="10"/>
        <v>DETS444A20OS</v>
      </c>
      <c r="B701" s="22" t="s">
        <v>1605</v>
      </c>
      <c r="C701" s="21"/>
      <c r="D701" s="22" t="s">
        <v>4103</v>
      </c>
      <c r="E701" s="21"/>
      <c r="F701" s="22" t="s">
        <v>4104</v>
      </c>
      <c r="G701" s="28" t="s">
        <v>2012</v>
      </c>
      <c r="H701" s="22" t="s">
        <v>2013</v>
      </c>
      <c r="I701" s="21"/>
      <c r="J701" s="22" t="s">
        <v>364</v>
      </c>
      <c r="K701" s="22" t="s">
        <v>924</v>
      </c>
      <c r="L701" s="21"/>
      <c r="M701" s="22" t="s">
        <v>2034</v>
      </c>
      <c r="N701" s="28" t="s">
        <v>2015</v>
      </c>
      <c r="O701" s="28" t="s">
        <v>2016</v>
      </c>
      <c r="P701" s="29">
        <v>12179</v>
      </c>
      <c r="Q701" s="28" t="s">
        <v>2017</v>
      </c>
      <c r="R701" s="37">
        <v>19.119309262165999</v>
      </c>
      <c r="S701" s="29">
        <v>40950</v>
      </c>
      <c r="T701" s="32">
        <v>637</v>
      </c>
      <c r="U701" s="32">
        <v>0</v>
      </c>
      <c r="V701" s="37">
        <v>19.119309262165999</v>
      </c>
      <c r="W701" s="36">
        <v>46106</v>
      </c>
      <c r="X701" s="36">
        <v>46106</v>
      </c>
    </row>
    <row r="702" spans="1:24" ht="15.75" thickBot="1" x14ac:dyDescent="0.3">
      <c r="A702" t="str">
        <f t="shared" si="10"/>
        <v>M2DB X27830 AB</v>
      </c>
      <c r="B702" s="22" t="s">
        <v>1862</v>
      </c>
      <c r="C702" s="22" t="s">
        <v>4105</v>
      </c>
      <c r="D702" s="22" t="s">
        <v>4106</v>
      </c>
      <c r="E702" s="21"/>
      <c r="F702" s="22" t="s">
        <v>4107</v>
      </c>
      <c r="G702" s="28" t="s">
        <v>2012</v>
      </c>
      <c r="H702" s="22" t="s">
        <v>2080</v>
      </c>
      <c r="I702" s="21"/>
      <c r="J702" s="22" t="s">
        <v>364</v>
      </c>
      <c r="K702" s="22" t="s">
        <v>924</v>
      </c>
      <c r="L702" s="21"/>
      <c r="M702" s="22" t="s">
        <v>2014</v>
      </c>
      <c r="N702" s="28" t="s">
        <v>2015</v>
      </c>
      <c r="O702" s="28" t="s">
        <v>2016</v>
      </c>
      <c r="P702" s="29">
        <v>450</v>
      </c>
      <c r="Q702" s="28" t="s">
        <v>2017</v>
      </c>
      <c r="R702" s="37">
        <v>19.363166953528001</v>
      </c>
      <c r="S702" s="29">
        <v>1494</v>
      </c>
      <c r="T702" s="32">
        <v>23.24</v>
      </c>
      <c r="U702" s="32">
        <v>0</v>
      </c>
      <c r="V702" s="37">
        <v>19.363166953528001</v>
      </c>
      <c r="W702" s="36">
        <v>46106</v>
      </c>
      <c r="X702" s="36">
        <v>46106</v>
      </c>
    </row>
    <row r="703" spans="1:24" ht="15.75" thickBot="1" x14ac:dyDescent="0.3">
      <c r="A703" t="str">
        <f t="shared" si="10"/>
        <v>N1WB E22869 CB</v>
      </c>
      <c r="B703" s="22" t="s">
        <v>1313</v>
      </c>
      <c r="C703" s="22" t="s">
        <v>4108</v>
      </c>
      <c r="D703" s="22" t="s">
        <v>3595</v>
      </c>
      <c r="E703" s="21"/>
      <c r="F703" s="22" t="s">
        <v>2030</v>
      </c>
      <c r="G703" s="28" t="s">
        <v>2012</v>
      </c>
      <c r="H703" s="22" t="s">
        <v>2013</v>
      </c>
      <c r="I703" s="21"/>
      <c r="J703" s="22" t="s">
        <v>261</v>
      </c>
      <c r="K703" s="22" t="s">
        <v>924</v>
      </c>
      <c r="L703" s="21"/>
      <c r="M703" s="22" t="s">
        <v>2014</v>
      </c>
      <c r="N703" s="28" t="s">
        <v>2015</v>
      </c>
      <c r="O703" s="28" t="s">
        <v>2016</v>
      </c>
      <c r="P703" s="29">
        <v>5555</v>
      </c>
      <c r="Q703" s="28" t="s">
        <v>2017</v>
      </c>
      <c r="R703" s="37">
        <v>19.839285714285001</v>
      </c>
      <c r="S703" s="29">
        <v>18000</v>
      </c>
      <c r="T703" s="32">
        <v>280</v>
      </c>
      <c r="U703" s="32">
        <v>0</v>
      </c>
      <c r="V703" s="37">
        <v>19.839285714285001</v>
      </c>
      <c r="W703" s="36">
        <v>46106</v>
      </c>
      <c r="X703" s="36">
        <v>46106</v>
      </c>
    </row>
    <row r="704" spans="1:24" ht="15.75" thickBot="1" x14ac:dyDescent="0.3">
      <c r="A704" t="str">
        <f t="shared" si="10"/>
        <v>PC24959A</v>
      </c>
      <c r="B704" s="22" t="s">
        <v>1169</v>
      </c>
      <c r="C704" s="22" t="s">
        <v>4109</v>
      </c>
      <c r="D704" s="22" t="s">
        <v>4110</v>
      </c>
      <c r="E704" s="22" t="s">
        <v>4111</v>
      </c>
      <c r="F704" s="22" t="s">
        <v>4112</v>
      </c>
      <c r="G704" s="28" t="s">
        <v>2012</v>
      </c>
      <c r="H704" s="22" t="s">
        <v>2022</v>
      </c>
      <c r="I704" s="21"/>
      <c r="J704" s="22" t="s">
        <v>1117</v>
      </c>
      <c r="K704" s="22" t="s">
        <v>924</v>
      </c>
      <c r="L704" s="21"/>
      <c r="M704" s="22" t="s">
        <v>2014</v>
      </c>
      <c r="N704" s="28" t="s">
        <v>2015</v>
      </c>
      <c r="O704" s="28" t="s">
        <v>2016</v>
      </c>
      <c r="P704" s="29">
        <v>10052</v>
      </c>
      <c r="Q704" s="28" t="s">
        <v>2017</v>
      </c>
      <c r="R704" s="37">
        <v>19.005882352941001</v>
      </c>
      <c r="S704" s="29">
        <v>34000</v>
      </c>
      <c r="T704" s="32">
        <v>528.88888888888903</v>
      </c>
      <c r="U704" s="32">
        <v>0</v>
      </c>
      <c r="V704" s="37">
        <v>19.005882352941001</v>
      </c>
      <c r="W704" s="36">
        <v>46106</v>
      </c>
      <c r="X704" s="36">
        <v>46106</v>
      </c>
    </row>
    <row r="705" spans="1:24" ht="15.75" thickBot="1" x14ac:dyDescent="0.3">
      <c r="A705" t="str">
        <f t="shared" si="10"/>
        <v>PCPE237W29APIA71</v>
      </c>
      <c r="B705" s="22" t="s">
        <v>4113</v>
      </c>
      <c r="C705" s="21"/>
      <c r="D705" s="22" t="s">
        <v>4114</v>
      </c>
      <c r="E705" s="21"/>
      <c r="F705" s="22" t="s">
        <v>2030</v>
      </c>
      <c r="G705" s="28" t="s">
        <v>2012</v>
      </c>
      <c r="H705" s="22" t="s">
        <v>3866</v>
      </c>
      <c r="I705" s="22" t="s">
        <v>3867</v>
      </c>
      <c r="J705" s="22" t="s">
        <v>261</v>
      </c>
      <c r="K705" s="22" t="s">
        <v>262</v>
      </c>
      <c r="L705" s="22" t="s">
        <v>4115</v>
      </c>
      <c r="M705" s="22" t="s">
        <v>2130</v>
      </c>
      <c r="N705" s="28" t="s">
        <v>2494</v>
      </c>
      <c r="O705" s="28" t="s">
        <v>2016</v>
      </c>
      <c r="P705" s="29">
        <v>833</v>
      </c>
      <c r="Q705" s="28" t="s">
        <v>2017</v>
      </c>
      <c r="R705" s="37">
        <v>19.125</v>
      </c>
      <c r="S705" s="29">
        <v>2800</v>
      </c>
      <c r="T705" s="32">
        <v>43.555555555555003</v>
      </c>
      <c r="U705" s="32">
        <v>0</v>
      </c>
      <c r="V705" s="37">
        <v>19.125</v>
      </c>
      <c r="W705" s="36">
        <v>46106</v>
      </c>
      <c r="X705" s="36">
        <v>46106</v>
      </c>
    </row>
    <row r="706" spans="1:24" ht="15.75" thickBot="1" x14ac:dyDescent="0.3">
      <c r="A706" t="str">
        <f t="shared" si="10"/>
        <v>PCPE23942IN01.H</v>
      </c>
      <c r="B706" s="22" t="s">
        <v>4116</v>
      </c>
      <c r="C706" s="21"/>
      <c r="D706" s="22" t="s">
        <v>4117</v>
      </c>
      <c r="E706" s="21"/>
      <c r="F706" s="22" t="s">
        <v>2030</v>
      </c>
      <c r="G706" s="28" t="s">
        <v>2012</v>
      </c>
      <c r="H706" s="22" t="s">
        <v>3459</v>
      </c>
      <c r="I706" s="22" t="s">
        <v>3460</v>
      </c>
      <c r="J706" s="22" t="s">
        <v>261</v>
      </c>
      <c r="K706" s="22" t="s">
        <v>262</v>
      </c>
      <c r="L706" s="22" t="s">
        <v>3318</v>
      </c>
      <c r="M706" s="22" t="s">
        <v>2130</v>
      </c>
      <c r="N706" s="28" t="s">
        <v>2494</v>
      </c>
      <c r="O706" s="28" t="s">
        <v>2016</v>
      </c>
      <c r="P706" s="29">
        <v>863</v>
      </c>
      <c r="Q706" s="28" t="s">
        <v>2017</v>
      </c>
      <c r="R706" s="37">
        <v>19.906197139781</v>
      </c>
      <c r="S706" s="29">
        <v>2787</v>
      </c>
      <c r="T706" s="32">
        <v>43.353333333332998</v>
      </c>
      <c r="U706" s="32">
        <v>0</v>
      </c>
      <c r="V706" s="37">
        <v>19.906197139781</v>
      </c>
      <c r="W706" s="36">
        <v>46106</v>
      </c>
      <c r="X706" s="36">
        <v>46106</v>
      </c>
    </row>
    <row r="707" spans="1:24" ht="15.75" thickBot="1" x14ac:dyDescent="0.3">
      <c r="A707" t="str">
        <f t="shared" si="10"/>
        <v>PCPE23943AR04.HA</v>
      </c>
      <c r="B707" s="22" t="s">
        <v>4118</v>
      </c>
      <c r="C707" s="21"/>
      <c r="D707" s="22" t="s">
        <v>4119</v>
      </c>
      <c r="E707" s="22" t="s">
        <v>4120</v>
      </c>
      <c r="F707" s="22" t="s">
        <v>2030</v>
      </c>
      <c r="G707" s="28" t="s">
        <v>2012</v>
      </c>
      <c r="H707" s="22" t="s">
        <v>3459</v>
      </c>
      <c r="I707" s="22" t="s">
        <v>3460</v>
      </c>
      <c r="J707" s="22" t="s">
        <v>261</v>
      </c>
      <c r="K707" s="22" t="s">
        <v>262</v>
      </c>
      <c r="L707" s="22" t="s">
        <v>3318</v>
      </c>
      <c r="M707" s="22" t="s">
        <v>2130</v>
      </c>
      <c r="N707" s="28" t="s">
        <v>2494</v>
      </c>
      <c r="O707" s="28" t="s">
        <v>2016</v>
      </c>
      <c r="P707" s="29">
        <v>802</v>
      </c>
      <c r="Q707" s="28" t="s">
        <v>2017</v>
      </c>
      <c r="R707" s="37">
        <v>19.960179193628001</v>
      </c>
      <c r="S707" s="29">
        <v>2583</v>
      </c>
      <c r="T707" s="32">
        <v>40.18</v>
      </c>
      <c r="U707" s="32">
        <v>0</v>
      </c>
      <c r="V707" s="37">
        <v>19.960179193628001</v>
      </c>
      <c r="W707" s="36">
        <v>46106</v>
      </c>
      <c r="X707" s="36">
        <v>46106</v>
      </c>
    </row>
    <row r="708" spans="1:24" ht="15.75" thickBot="1" x14ac:dyDescent="0.3">
      <c r="A708" t="str">
        <f t="shared" si="10"/>
        <v>PCPE27406AR01.HA</v>
      </c>
      <c r="B708" s="22" t="s">
        <v>4121</v>
      </c>
      <c r="C708" s="21"/>
      <c r="D708" s="22" t="s">
        <v>4122</v>
      </c>
      <c r="E708" s="21"/>
      <c r="F708" s="22" t="s">
        <v>2030</v>
      </c>
      <c r="G708" s="28" t="s">
        <v>2012</v>
      </c>
      <c r="H708" s="22" t="s">
        <v>3459</v>
      </c>
      <c r="I708" s="22" t="s">
        <v>3460</v>
      </c>
      <c r="J708" s="22" t="s">
        <v>261</v>
      </c>
      <c r="K708" s="22" t="s">
        <v>262</v>
      </c>
      <c r="L708" s="22" t="s">
        <v>3318</v>
      </c>
      <c r="M708" s="22" t="s">
        <v>2130</v>
      </c>
      <c r="N708" s="28" t="s">
        <v>2494</v>
      </c>
      <c r="O708" s="28" t="s">
        <v>2016</v>
      </c>
      <c r="P708" s="29">
        <v>1476</v>
      </c>
      <c r="Q708" s="28" t="s">
        <v>2017</v>
      </c>
      <c r="R708" s="37">
        <v>19.495729255333998</v>
      </c>
      <c r="S708" s="29">
        <v>4867</v>
      </c>
      <c r="T708" s="32">
        <v>75.708888888887998</v>
      </c>
      <c r="U708" s="32">
        <v>0</v>
      </c>
      <c r="V708" s="37">
        <v>19.495729255333998</v>
      </c>
      <c r="W708" s="36">
        <v>46106</v>
      </c>
      <c r="X708" s="36">
        <v>46106</v>
      </c>
    </row>
    <row r="709" spans="1:24" ht="15.75" thickBot="1" x14ac:dyDescent="0.3">
      <c r="A709" t="str">
        <f t="shared" ref="A709:A772" si="11">TRIM(B709)</f>
        <v>PCPW715255</v>
      </c>
      <c r="B709" s="22" t="s">
        <v>4123</v>
      </c>
      <c r="C709" s="22" t="s">
        <v>4124</v>
      </c>
      <c r="D709" s="22" t="s">
        <v>3712</v>
      </c>
      <c r="E709" s="22" t="s">
        <v>4125</v>
      </c>
      <c r="F709" s="22" t="s">
        <v>2030</v>
      </c>
      <c r="G709" s="28" t="s">
        <v>2012</v>
      </c>
      <c r="H709" s="22" t="s">
        <v>3906</v>
      </c>
      <c r="I709" s="22" t="s">
        <v>3907</v>
      </c>
      <c r="J709" s="22" t="s">
        <v>261</v>
      </c>
      <c r="K709" s="22" t="s">
        <v>262</v>
      </c>
      <c r="L709" s="22" t="s">
        <v>4126</v>
      </c>
      <c r="M709" s="22" t="s">
        <v>2130</v>
      </c>
      <c r="N709" s="28" t="s">
        <v>2494</v>
      </c>
      <c r="O709" s="28" t="s">
        <v>2016</v>
      </c>
      <c r="P709" s="29">
        <v>43374</v>
      </c>
      <c r="Q709" s="28" t="s">
        <v>2017</v>
      </c>
      <c r="R709" s="37">
        <v>19.967692896323999</v>
      </c>
      <c r="S709" s="29">
        <v>139642</v>
      </c>
      <c r="T709" s="32">
        <v>2172.2088888888902</v>
      </c>
      <c r="U709" s="32">
        <v>0</v>
      </c>
      <c r="V709" s="37">
        <v>19.967692896323999</v>
      </c>
      <c r="W709" s="36">
        <v>46106</v>
      </c>
      <c r="X709" s="36">
        <v>46106</v>
      </c>
    </row>
    <row r="710" spans="1:24" ht="15.75" thickBot="1" x14ac:dyDescent="0.3">
      <c r="A710" t="str">
        <f t="shared" si="11"/>
        <v>PCPW718046</v>
      </c>
      <c r="B710" s="22" t="s">
        <v>4127</v>
      </c>
      <c r="C710" s="22" t="s">
        <v>4128</v>
      </c>
      <c r="D710" s="22" t="s">
        <v>3712</v>
      </c>
      <c r="E710" s="22" t="s">
        <v>3902</v>
      </c>
      <c r="F710" s="22" t="s">
        <v>2030</v>
      </c>
      <c r="G710" s="28" t="s">
        <v>2012</v>
      </c>
      <c r="H710" s="22" t="s">
        <v>3714</v>
      </c>
      <c r="I710" s="22" t="s">
        <v>3715</v>
      </c>
      <c r="J710" s="22" t="s">
        <v>261</v>
      </c>
      <c r="K710" s="22" t="s">
        <v>262</v>
      </c>
      <c r="L710" s="22" t="s">
        <v>4126</v>
      </c>
      <c r="M710" s="22" t="s">
        <v>2130</v>
      </c>
      <c r="N710" s="28" t="s">
        <v>2494</v>
      </c>
      <c r="O710" s="28" t="s">
        <v>2016</v>
      </c>
      <c r="P710" s="29">
        <v>20114</v>
      </c>
      <c r="Q710" s="28" t="s">
        <v>2017</v>
      </c>
      <c r="R710" s="37">
        <v>19.048110088575999</v>
      </c>
      <c r="S710" s="29">
        <v>67883</v>
      </c>
      <c r="T710" s="32">
        <v>1055.9577777777799</v>
      </c>
      <c r="U710" s="32">
        <v>0</v>
      </c>
      <c r="V710" s="37">
        <v>19.048110088575999</v>
      </c>
      <c r="W710" s="36">
        <v>46106</v>
      </c>
      <c r="X710" s="36">
        <v>46106</v>
      </c>
    </row>
    <row r="711" spans="1:24" ht="15.75" thickBot="1" x14ac:dyDescent="0.3">
      <c r="A711" t="str">
        <f t="shared" si="11"/>
        <v>PCS21105A40AA</v>
      </c>
      <c r="B711" s="22" t="s">
        <v>4129</v>
      </c>
      <c r="C711" s="21"/>
      <c r="D711" s="22" t="s">
        <v>4130</v>
      </c>
      <c r="E711" s="22" t="s">
        <v>3619</v>
      </c>
      <c r="F711" s="22" t="s">
        <v>2030</v>
      </c>
      <c r="G711" s="28" t="s">
        <v>2012</v>
      </c>
      <c r="H711" s="22" t="s">
        <v>4067</v>
      </c>
      <c r="I711" s="22" t="s">
        <v>4068</v>
      </c>
      <c r="J711" s="22" t="s">
        <v>494</v>
      </c>
      <c r="K711" s="22" t="s">
        <v>924</v>
      </c>
      <c r="L711" s="22" t="s">
        <v>4131</v>
      </c>
      <c r="M711" s="22" t="s">
        <v>2130</v>
      </c>
      <c r="N711" s="28" t="s">
        <v>2494</v>
      </c>
      <c r="O711" s="28" t="s">
        <v>2016</v>
      </c>
      <c r="P711" s="29">
        <v>47970</v>
      </c>
      <c r="Q711" s="28" t="s">
        <v>2017</v>
      </c>
      <c r="R711" s="37">
        <v>19.631443777123</v>
      </c>
      <c r="S711" s="29">
        <v>157084</v>
      </c>
      <c r="T711" s="32">
        <v>2443.5288888888899</v>
      </c>
      <c r="U711" s="32">
        <v>0</v>
      </c>
      <c r="V711" s="37">
        <v>19.631443777123</v>
      </c>
      <c r="W711" s="36">
        <v>46106</v>
      </c>
      <c r="X711" s="36">
        <v>46106</v>
      </c>
    </row>
    <row r="712" spans="1:24" ht="15.75" thickBot="1" x14ac:dyDescent="0.3">
      <c r="A712" t="str">
        <f t="shared" si="11"/>
        <v>PCS2640226A</v>
      </c>
      <c r="B712" s="22" t="s">
        <v>4132</v>
      </c>
      <c r="C712" s="21"/>
      <c r="D712" s="22" t="s">
        <v>4133</v>
      </c>
      <c r="E712" s="22" t="s">
        <v>4134</v>
      </c>
      <c r="F712" s="22" t="s">
        <v>2030</v>
      </c>
      <c r="G712" s="28" t="s">
        <v>2012</v>
      </c>
      <c r="H712" s="22" t="s">
        <v>4135</v>
      </c>
      <c r="I712" s="22" t="s">
        <v>4136</v>
      </c>
      <c r="J712" s="22" t="s">
        <v>494</v>
      </c>
      <c r="K712" s="22" t="s">
        <v>924</v>
      </c>
      <c r="L712" s="22" t="s">
        <v>3628</v>
      </c>
      <c r="M712" s="22" t="s">
        <v>2130</v>
      </c>
      <c r="N712" s="28" t="s">
        <v>2494</v>
      </c>
      <c r="O712" s="28" t="s">
        <v>2016</v>
      </c>
      <c r="P712" s="29">
        <v>5600</v>
      </c>
      <c r="Q712" s="28" t="s">
        <v>2017</v>
      </c>
      <c r="R712" s="37">
        <v>19.933554817274999</v>
      </c>
      <c r="S712" s="29">
        <v>18060</v>
      </c>
      <c r="T712" s="32">
        <v>280.933333333333</v>
      </c>
      <c r="U712" s="32">
        <v>0</v>
      </c>
      <c r="V712" s="37">
        <v>19.933554817274999</v>
      </c>
      <c r="W712" s="36">
        <v>46106</v>
      </c>
      <c r="X712" s="36">
        <v>46106</v>
      </c>
    </row>
    <row r="713" spans="1:24" ht="15.75" thickBot="1" x14ac:dyDescent="0.3">
      <c r="A713" t="str">
        <f t="shared" si="11"/>
        <v>PCSW520753S300</v>
      </c>
      <c r="B713" s="22" t="s">
        <v>4137</v>
      </c>
      <c r="C713" s="22" t="s">
        <v>4138</v>
      </c>
      <c r="D713" s="22" t="s">
        <v>2959</v>
      </c>
      <c r="E713" s="22" t="s">
        <v>3357</v>
      </c>
      <c r="F713" s="22" t="s">
        <v>2030</v>
      </c>
      <c r="G713" s="28" t="s">
        <v>2012</v>
      </c>
      <c r="H713" s="22" t="s">
        <v>3927</v>
      </c>
      <c r="I713" s="22" t="s">
        <v>3928</v>
      </c>
      <c r="J713" s="22" t="s">
        <v>494</v>
      </c>
      <c r="K713" s="22" t="s">
        <v>924</v>
      </c>
      <c r="L713" s="22" t="s">
        <v>2964</v>
      </c>
      <c r="M713" s="22" t="s">
        <v>2130</v>
      </c>
      <c r="N713" s="28" t="s">
        <v>2494</v>
      </c>
      <c r="O713" s="28" t="s">
        <v>2016</v>
      </c>
      <c r="P713" s="29">
        <v>41706</v>
      </c>
      <c r="Q713" s="28" t="s">
        <v>2017</v>
      </c>
      <c r="R713" s="37">
        <v>19.403795214729001</v>
      </c>
      <c r="S713" s="29">
        <v>138174</v>
      </c>
      <c r="T713" s="32">
        <v>2149.3733333333298</v>
      </c>
      <c r="U713" s="32">
        <v>0</v>
      </c>
      <c r="V713" s="37">
        <v>19.403795214729001</v>
      </c>
      <c r="W713" s="36">
        <v>46106</v>
      </c>
      <c r="X713" s="36">
        <v>46106</v>
      </c>
    </row>
    <row r="714" spans="1:24" ht="15.75" thickBot="1" x14ac:dyDescent="0.3">
      <c r="A714" t="str">
        <f t="shared" si="11"/>
        <v>PCSW520761S300</v>
      </c>
      <c r="B714" s="22" t="s">
        <v>4139</v>
      </c>
      <c r="C714" s="21"/>
      <c r="D714" s="22" t="s">
        <v>2959</v>
      </c>
      <c r="E714" s="22" t="s">
        <v>3357</v>
      </c>
      <c r="F714" s="22" t="s">
        <v>2030</v>
      </c>
      <c r="G714" s="28" t="s">
        <v>2012</v>
      </c>
      <c r="H714" s="22" t="s">
        <v>3927</v>
      </c>
      <c r="I714" s="22" t="s">
        <v>3928</v>
      </c>
      <c r="J714" s="22" t="s">
        <v>494</v>
      </c>
      <c r="K714" s="22" t="s">
        <v>924</v>
      </c>
      <c r="L714" s="22" t="s">
        <v>2964</v>
      </c>
      <c r="M714" s="22" t="s">
        <v>2130</v>
      </c>
      <c r="N714" s="28" t="s">
        <v>2494</v>
      </c>
      <c r="O714" s="28" t="s">
        <v>2016</v>
      </c>
      <c r="P714" s="29">
        <v>15549</v>
      </c>
      <c r="Q714" s="28" t="s">
        <v>2017</v>
      </c>
      <c r="R714" s="37">
        <v>19.237092654655001</v>
      </c>
      <c r="S714" s="29">
        <v>51961</v>
      </c>
      <c r="T714" s="32">
        <v>808.282222222222</v>
      </c>
      <c r="U714" s="32">
        <v>0</v>
      </c>
      <c r="V714" s="37">
        <v>19.237092654655001</v>
      </c>
      <c r="W714" s="36">
        <v>46106</v>
      </c>
      <c r="X714" s="36">
        <v>46106</v>
      </c>
    </row>
    <row r="715" spans="1:24" ht="15.75" thickBot="1" x14ac:dyDescent="0.3">
      <c r="A715" t="str">
        <f t="shared" si="11"/>
        <v>RMS26403B48A</v>
      </c>
      <c r="B715" s="22" t="s">
        <v>4140</v>
      </c>
      <c r="C715" s="22" t="s">
        <v>4141</v>
      </c>
      <c r="D715" s="22" t="s">
        <v>4142</v>
      </c>
      <c r="E715" s="22" t="s">
        <v>2527</v>
      </c>
      <c r="F715" s="22" t="s">
        <v>4143</v>
      </c>
      <c r="G715" s="28" t="s">
        <v>2012</v>
      </c>
      <c r="H715" s="22" t="s">
        <v>2529</v>
      </c>
      <c r="I715" s="22" t="s">
        <v>2530</v>
      </c>
      <c r="J715" s="22" t="s">
        <v>261</v>
      </c>
      <c r="K715" s="22" t="s">
        <v>924</v>
      </c>
      <c r="L715" s="22" t="s">
        <v>2531</v>
      </c>
      <c r="M715" s="22" t="s">
        <v>2532</v>
      </c>
      <c r="N715" s="28" t="s">
        <v>2494</v>
      </c>
      <c r="O715" s="28" t="s">
        <v>2016</v>
      </c>
      <c r="P715" s="29">
        <v>26028.562000000002</v>
      </c>
      <c r="Q715" s="28" t="s">
        <v>1164</v>
      </c>
      <c r="R715" s="37">
        <v>19.933525715630001</v>
      </c>
      <c r="S715" s="34">
        <v>83942.235000000001</v>
      </c>
      <c r="T715" s="32">
        <v>1305.7681</v>
      </c>
      <c r="U715" s="32">
        <v>0</v>
      </c>
      <c r="V715" s="37">
        <v>19.933525715630001</v>
      </c>
      <c r="W715" s="36">
        <v>46106</v>
      </c>
      <c r="X715" s="36">
        <v>46106</v>
      </c>
    </row>
    <row r="716" spans="1:24" ht="15.75" thickBot="1" x14ac:dyDescent="0.3">
      <c r="A716" t="str">
        <f t="shared" si="11"/>
        <v>RMS26410A22RLAA</v>
      </c>
      <c r="B716" s="22" t="s">
        <v>4144</v>
      </c>
      <c r="C716" s="22" t="s">
        <v>4145</v>
      </c>
      <c r="D716" s="22" t="s">
        <v>4146</v>
      </c>
      <c r="E716" s="22" t="s">
        <v>4147</v>
      </c>
      <c r="F716" s="22" t="s">
        <v>4148</v>
      </c>
      <c r="G716" s="28" t="s">
        <v>2012</v>
      </c>
      <c r="H716" s="22" t="s">
        <v>2529</v>
      </c>
      <c r="I716" s="22" t="s">
        <v>2530</v>
      </c>
      <c r="J716" s="22" t="s">
        <v>261</v>
      </c>
      <c r="K716" s="22" t="s">
        <v>924</v>
      </c>
      <c r="L716" s="22" t="s">
        <v>2531</v>
      </c>
      <c r="M716" s="22" t="s">
        <v>2532</v>
      </c>
      <c r="N716" s="28" t="s">
        <v>2494</v>
      </c>
      <c r="O716" s="28" t="s">
        <v>2016</v>
      </c>
      <c r="P716" s="29">
        <v>15645.52</v>
      </c>
      <c r="Q716" s="28" t="s">
        <v>1164</v>
      </c>
      <c r="R716" s="37">
        <v>19.942725257991</v>
      </c>
      <c r="S716" s="34">
        <v>50433.599999999999</v>
      </c>
      <c r="T716" s="32">
        <v>784.52266666666696</v>
      </c>
      <c r="U716" s="32">
        <v>0</v>
      </c>
      <c r="V716" s="37">
        <v>19.942725257991</v>
      </c>
      <c r="W716" s="36">
        <v>46106</v>
      </c>
      <c r="X716" s="36">
        <v>46106</v>
      </c>
    </row>
    <row r="717" spans="1:24" ht="15.75" thickBot="1" x14ac:dyDescent="0.3">
      <c r="A717" t="str">
        <f t="shared" si="11"/>
        <v>RMS8A297PIA03</v>
      </c>
      <c r="B717" s="22" t="s">
        <v>4149</v>
      </c>
      <c r="C717" s="22" t="s">
        <v>4150</v>
      </c>
      <c r="D717" s="22" t="s">
        <v>4151</v>
      </c>
      <c r="E717" s="22" t="s">
        <v>2720</v>
      </c>
      <c r="F717" s="22" t="s">
        <v>4152</v>
      </c>
      <c r="G717" s="28" t="s">
        <v>2012</v>
      </c>
      <c r="H717" s="22" t="s">
        <v>2847</v>
      </c>
      <c r="I717" s="22" t="s">
        <v>2848</v>
      </c>
      <c r="J717" s="22" t="s">
        <v>1128</v>
      </c>
      <c r="K717" s="22" t="s">
        <v>924</v>
      </c>
      <c r="L717" s="22" t="s">
        <v>2531</v>
      </c>
      <c r="M717" s="22" t="s">
        <v>2532</v>
      </c>
      <c r="N717" s="28" t="s">
        <v>2494</v>
      </c>
      <c r="O717" s="28" t="s">
        <v>2016</v>
      </c>
      <c r="P717" s="29">
        <v>29853.382000000001</v>
      </c>
      <c r="Q717" s="28" t="s">
        <v>1164</v>
      </c>
      <c r="R717" s="37">
        <v>19.053227358927</v>
      </c>
      <c r="S717" s="34">
        <v>100725.507</v>
      </c>
      <c r="T717" s="32">
        <v>1566.84122</v>
      </c>
      <c r="U717" s="32">
        <v>0</v>
      </c>
      <c r="V717" s="37">
        <v>19.053227358927</v>
      </c>
      <c r="W717" s="36">
        <v>46106</v>
      </c>
      <c r="X717" s="36">
        <v>46106</v>
      </c>
    </row>
    <row r="718" spans="1:24" ht="15.75" thickBot="1" x14ac:dyDescent="0.3">
      <c r="A718" t="str">
        <f t="shared" si="11"/>
        <v>RMSE20170RL</v>
      </c>
      <c r="B718" s="22" t="s">
        <v>4153</v>
      </c>
      <c r="C718" s="22" t="s">
        <v>4154</v>
      </c>
      <c r="D718" s="22" t="s">
        <v>4155</v>
      </c>
      <c r="E718" s="22" t="s">
        <v>3752</v>
      </c>
      <c r="F718" s="22" t="s">
        <v>4156</v>
      </c>
      <c r="G718" s="28" t="s">
        <v>2012</v>
      </c>
      <c r="H718" s="22" t="s">
        <v>2716</v>
      </c>
      <c r="I718" s="22" t="s">
        <v>2717</v>
      </c>
      <c r="J718" s="22" t="s">
        <v>261</v>
      </c>
      <c r="K718" s="22" t="s">
        <v>924</v>
      </c>
      <c r="L718" s="22" t="s">
        <v>3136</v>
      </c>
      <c r="M718" s="22" t="s">
        <v>2532</v>
      </c>
      <c r="N718" s="28" t="s">
        <v>2494</v>
      </c>
      <c r="O718" s="28" t="s">
        <v>2016</v>
      </c>
      <c r="P718" s="29">
        <v>14801.664000000001</v>
      </c>
      <c r="Q718" s="28" t="s">
        <v>1164</v>
      </c>
      <c r="R718" s="37">
        <v>19.886625657172001</v>
      </c>
      <c r="S718" s="34">
        <v>47848.014000000003</v>
      </c>
      <c r="T718" s="32">
        <v>744.30244000000005</v>
      </c>
      <c r="U718" s="32">
        <v>0</v>
      </c>
      <c r="V718" s="37">
        <v>19.886625657172001</v>
      </c>
      <c r="W718" s="36">
        <v>46106</v>
      </c>
      <c r="X718" s="36">
        <v>46106</v>
      </c>
    </row>
    <row r="719" spans="1:24" ht="15.75" thickBot="1" x14ac:dyDescent="0.3">
      <c r="A719" t="str">
        <f t="shared" si="11"/>
        <v>RMSWL68431587B</v>
      </c>
      <c r="B719" s="22" t="s">
        <v>4157</v>
      </c>
      <c r="C719" s="22" t="s">
        <v>4158</v>
      </c>
      <c r="D719" s="22" t="s">
        <v>4159</v>
      </c>
      <c r="E719" s="22" t="s">
        <v>2527</v>
      </c>
      <c r="F719" s="22" t="s">
        <v>4002</v>
      </c>
      <c r="G719" s="28" t="s">
        <v>2012</v>
      </c>
      <c r="H719" s="22" t="s">
        <v>3758</v>
      </c>
      <c r="I719" s="22" t="s">
        <v>3759</v>
      </c>
      <c r="J719" s="22" t="s">
        <v>1117</v>
      </c>
      <c r="K719" s="22" t="s">
        <v>924</v>
      </c>
      <c r="L719" s="22" t="s">
        <v>2531</v>
      </c>
      <c r="M719" s="22" t="s">
        <v>2532</v>
      </c>
      <c r="N719" s="28" t="s">
        <v>2494</v>
      </c>
      <c r="O719" s="28" t="s">
        <v>2016</v>
      </c>
      <c r="P719" s="29">
        <v>45073.375999999997</v>
      </c>
      <c r="Q719" s="28" t="s">
        <v>1164</v>
      </c>
      <c r="R719" s="37">
        <v>19.155593164606</v>
      </c>
      <c r="S719" s="34">
        <v>151265.17600000001</v>
      </c>
      <c r="T719" s="32">
        <v>2353.0138488888902</v>
      </c>
      <c r="U719" s="32">
        <v>0</v>
      </c>
      <c r="V719" s="37">
        <v>19.155593164606</v>
      </c>
      <c r="W719" s="36">
        <v>46106</v>
      </c>
      <c r="X719" s="36">
        <v>46106</v>
      </c>
    </row>
    <row r="720" spans="1:24" ht="15.75" thickBot="1" x14ac:dyDescent="0.3">
      <c r="A720" t="str">
        <f t="shared" si="11"/>
        <v>DET2116386A</v>
      </c>
      <c r="B720" s="22" t="s">
        <v>1419</v>
      </c>
      <c r="C720" s="22" t="s">
        <v>4160</v>
      </c>
      <c r="D720" s="22" t="s">
        <v>4161</v>
      </c>
      <c r="E720" s="22" t="s">
        <v>4162</v>
      </c>
      <c r="F720" s="22" t="s">
        <v>4163</v>
      </c>
      <c r="G720" s="28" t="s">
        <v>2012</v>
      </c>
      <c r="H720" s="22" t="s">
        <v>2055</v>
      </c>
      <c r="I720" s="21"/>
      <c r="J720" s="22" t="s">
        <v>494</v>
      </c>
      <c r="K720" s="22" t="s">
        <v>924</v>
      </c>
      <c r="L720" s="21"/>
      <c r="M720" s="22" t="s">
        <v>2034</v>
      </c>
      <c r="N720" s="28" t="s">
        <v>2015</v>
      </c>
      <c r="O720" s="28" t="s">
        <v>2016</v>
      </c>
      <c r="P720" s="29">
        <v>24736</v>
      </c>
      <c r="Q720" s="28" t="s">
        <v>2017</v>
      </c>
      <c r="R720" s="37">
        <v>20.943149148817</v>
      </c>
      <c r="S720" s="29">
        <v>75928</v>
      </c>
      <c r="T720" s="32">
        <v>1181.10222222222</v>
      </c>
      <c r="U720" s="32">
        <v>0</v>
      </c>
      <c r="V720" s="37">
        <v>20.943149148817</v>
      </c>
      <c r="W720" s="36">
        <v>46107</v>
      </c>
      <c r="X720" s="36">
        <v>46107</v>
      </c>
    </row>
    <row r="721" spans="1:24" ht="15.75" thickBot="1" x14ac:dyDescent="0.3">
      <c r="A721" t="str">
        <f t="shared" si="11"/>
        <v>DET7YS88AAOS</v>
      </c>
      <c r="B721" s="22" t="s">
        <v>703</v>
      </c>
      <c r="C721" s="22" t="s">
        <v>4164</v>
      </c>
      <c r="D721" s="22" t="s">
        <v>4165</v>
      </c>
      <c r="E721" s="22" t="s">
        <v>3231</v>
      </c>
      <c r="F721" s="22" t="s">
        <v>3232</v>
      </c>
      <c r="G721" s="28" t="s">
        <v>2012</v>
      </c>
      <c r="H721" s="22" t="s">
        <v>3233</v>
      </c>
      <c r="I721" s="21"/>
      <c r="J721" s="22" t="s">
        <v>698</v>
      </c>
      <c r="K721" s="22" t="s">
        <v>262</v>
      </c>
      <c r="L721" s="21"/>
      <c r="M721" s="22" t="s">
        <v>2014</v>
      </c>
      <c r="N721" s="28" t="s">
        <v>2015</v>
      </c>
      <c r="O721" s="28" t="s">
        <v>2016</v>
      </c>
      <c r="P721" s="29">
        <v>6336</v>
      </c>
      <c r="Q721" s="28" t="s">
        <v>2017</v>
      </c>
      <c r="R721" s="37">
        <v>20.798319327731001</v>
      </c>
      <c r="S721" s="29">
        <v>19584</v>
      </c>
      <c r="T721" s="32">
        <v>304.64</v>
      </c>
      <c r="U721" s="32">
        <v>0</v>
      </c>
      <c r="V721" s="37">
        <v>20.798319327731001</v>
      </c>
      <c r="W721" s="36">
        <v>46107</v>
      </c>
      <c r="X721" s="36">
        <v>46107</v>
      </c>
    </row>
    <row r="722" spans="1:24" ht="15.75" thickBot="1" x14ac:dyDescent="0.3">
      <c r="A722" t="str">
        <f t="shared" si="11"/>
        <v>DETBR18K586</v>
      </c>
      <c r="B722" s="22" t="s">
        <v>1551</v>
      </c>
      <c r="C722" s="22" t="s">
        <v>2247</v>
      </c>
      <c r="D722" s="22" t="s">
        <v>4166</v>
      </c>
      <c r="E722" s="21"/>
      <c r="F722" s="22" t="s">
        <v>4167</v>
      </c>
      <c r="G722" s="28" t="s">
        <v>2012</v>
      </c>
      <c r="H722" s="22" t="s">
        <v>2080</v>
      </c>
      <c r="I722" s="21"/>
      <c r="J722" s="22" t="s">
        <v>364</v>
      </c>
      <c r="K722" s="22" t="s">
        <v>924</v>
      </c>
      <c r="L722" s="21"/>
      <c r="M722" s="22" t="s">
        <v>2034</v>
      </c>
      <c r="N722" s="28" t="s">
        <v>2015</v>
      </c>
      <c r="O722" s="28" t="s">
        <v>2016</v>
      </c>
      <c r="P722" s="29">
        <v>18728</v>
      </c>
      <c r="Q722" s="28" t="s">
        <v>2017</v>
      </c>
      <c r="R722" s="37">
        <v>20.238075226391999</v>
      </c>
      <c r="S722" s="29">
        <v>59489</v>
      </c>
      <c r="T722" s="32">
        <v>925.38444444444394</v>
      </c>
      <c r="U722" s="32">
        <v>0</v>
      </c>
      <c r="V722" s="37">
        <v>20.238075226391999</v>
      </c>
      <c r="W722" s="36">
        <v>46107</v>
      </c>
      <c r="X722" s="36">
        <v>46107</v>
      </c>
    </row>
    <row r="723" spans="1:24" ht="15.75" thickBot="1" x14ac:dyDescent="0.3">
      <c r="A723" t="str">
        <f t="shared" si="11"/>
        <v>DETE27726AC</v>
      </c>
      <c r="B723" s="22" t="s">
        <v>1480</v>
      </c>
      <c r="C723" s="22" t="s">
        <v>4168</v>
      </c>
      <c r="D723" s="22" t="s">
        <v>4169</v>
      </c>
      <c r="E723" s="21"/>
      <c r="F723" s="22" t="s">
        <v>4170</v>
      </c>
      <c r="G723" s="28" t="s">
        <v>2012</v>
      </c>
      <c r="H723" s="22" t="s">
        <v>2013</v>
      </c>
      <c r="I723" s="21"/>
      <c r="J723" s="22" t="s">
        <v>261</v>
      </c>
      <c r="K723" s="22" t="s">
        <v>924</v>
      </c>
      <c r="L723" s="21"/>
      <c r="M723" s="22" t="s">
        <v>2034</v>
      </c>
      <c r="N723" s="28" t="s">
        <v>2015</v>
      </c>
      <c r="O723" s="28" t="s">
        <v>2016</v>
      </c>
      <c r="P723" s="29">
        <v>9148</v>
      </c>
      <c r="Q723" s="28" t="s">
        <v>2017</v>
      </c>
      <c r="R723" s="37">
        <v>20.492219467757</v>
      </c>
      <c r="S723" s="29">
        <v>28698</v>
      </c>
      <c r="T723" s="32">
        <v>446.41333333333301</v>
      </c>
      <c r="U723" s="32">
        <v>0</v>
      </c>
      <c r="V723" s="37">
        <v>20.492219467757</v>
      </c>
      <c r="W723" s="36">
        <v>46107</v>
      </c>
      <c r="X723" s="36">
        <v>46107</v>
      </c>
    </row>
    <row r="724" spans="1:24" ht="15.75" thickBot="1" x14ac:dyDescent="0.3">
      <c r="A724" t="str">
        <f t="shared" si="11"/>
        <v>DETE41212A</v>
      </c>
      <c r="B724" s="22" t="s">
        <v>1366</v>
      </c>
      <c r="C724" s="22" t="s">
        <v>2724</v>
      </c>
      <c r="D724" s="22" t="s">
        <v>2912</v>
      </c>
      <c r="E724" s="22" t="s">
        <v>2726</v>
      </c>
      <c r="F724" s="22" t="s">
        <v>4171</v>
      </c>
      <c r="G724" s="28" t="s">
        <v>2012</v>
      </c>
      <c r="H724" s="22" t="s">
        <v>2080</v>
      </c>
      <c r="I724" s="21"/>
      <c r="J724" s="22" t="s">
        <v>261</v>
      </c>
      <c r="K724" s="22" t="s">
        <v>924</v>
      </c>
      <c r="L724" s="21"/>
      <c r="M724" s="22" t="s">
        <v>2034</v>
      </c>
      <c r="N724" s="28" t="s">
        <v>2015</v>
      </c>
      <c r="O724" s="28" t="s">
        <v>2016</v>
      </c>
      <c r="P724" s="29">
        <v>4921</v>
      </c>
      <c r="Q724" s="28" t="s">
        <v>2017</v>
      </c>
      <c r="R724" s="37">
        <v>20.131729667811999</v>
      </c>
      <c r="S724" s="29">
        <v>15714</v>
      </c>
      <c r="T724" s="32">
        <v>244.44</v>
      </c>
      <c r="U724" s="32">
        <v>0</v>
      </c>
      <c r="V724" s="37">
        <v>20.131729667811999</v>
      </c>
      <c r="W724" s="36">
        <v>46107</v>
      </c>
      <c r="X724" s="36">
        <v>46107</v>
      </c>
    </row>
    <row r="725" spans="1:24" ht="15.75" thickBot="1" x14ac:dyDescent="0.3">
      <c r="A725" t="str">
        <f t="shared" si="11"/>
        <v>MLDE23943APIA41</v>
      </c>
      <c r="B725" s="22" t="s">
        <v>767</v>
      </c>
      <c r="C725" s="22" t="s">
        <v>4172</v>
      </c>
      <c r="D725" s="22" t="s">
        <v>4173</v>
      </c>
      <c r="E725" s="22" t="s">
        <v>2290</v>
      </c>
      <c r="F725" s="22" t="s">
        <v>3050</v>
      </c>
      <c r="G725" s="28" t="s">
        <v>2012</v>
      </c>
      <c r="H725" s="22" t="s">
        <v>2013</v>
      </c>
      <c r="I725" s="21"/>
      <c r="J725" s="22" t="s">
        <v>261</v>
      </c>
      <c r="K725" s="22" t="s">
        <v>262</v>
      </c>
      <c r="L725" s="21"/>
      <c r="M725" s="22" t="s">
        <v>2034</v>
      </c>
      <c r="N725" s="28" t="s">
        <v>2015</v>
      </c>
      <c r="O725" s="28" t="s">
        <v>2016</v>
      </c>
      <c r="P725" s="29">
        <v>4841</v>
      </c>
      <c r="Q725" s="28" t="s">
        <v>2017</v>
      </c>
      <c r="R725" s="37">
        <v>20.92430194696</v>
      </c>
      <c r="S725" s="29">
        <v>14873</v>
      </c>
      <c r="T725" s="32">
        <v>231.35777777777801</v>
      </c>
      <c r="U725" s="32">
        <v>0</v>
      </c>
      <c r="V725" s="37">
        <v>20.92430194696</v>
      </c>
      <c r="W725" s="36">
        <v>46107</v>
      </c>
      <c r="X725" s="36">
        <v>46107</v>
      </c>
    </row>
    <row r="726" spans="1:24" ht="15.75" thickBot="1" x14ac:dyDescent="0.3">
      <c r="A726" t="str">
        <f t="shared" si="11"/>
        <v>PC30491A</v>
      </c>
      <c r="B726" s="22" t="s">
        <v>1626</v>
      </c>
      <c r="C726" s="22" t="s">
        <v>4174</v>
      </c>
      <c r="D726" s="22" t="s">
        <v>1627</v>
      </c>
      <c r="E726" s="22" t="s">
        <v>4175</v>
      </c>
      <c r="F726" s="22" t="s">
        <v>4176</v>
      </c>
      <c r="G726" s="28" t="s">
        <v>2012</v>
      </c>
      <c r="H726" s="22" t="s">
        <v>2022</v>
      </c>
      <c r="I726" s="21"/>
      <c r="J726" s="22" t="s">
        <v>1117</v>
      </c>
      <c r="K726" s="22" t="s">
        <v>924</v>
      </c>
      <c r="L726" s="21"/>
      <c r="M726" s="22" t="s">
        <v>2014</v>
      </c>
      <c r="N726" s="28" t="s">
        <v>2015</v>
      </c>
      <c r="O726" s="28" t="s">
        <v>2016</v>
      </c>
      <c r="P726" s="29">
        <v>10963</v>
      </c>
      <c r="Q726" s="28" t="s">
        <v>2017</v>
      </c>
      <c r="R726" s="37">
        <v>20.728361344536999</v>
      </c>
      <c r="S726" s="29">
        <v>34000</v>
      </c>
      <c r="T726" s="32">
        <v>528.88888888888903</v>
      </c>
      <c r="U726" s="32">
        <v>0</v>
      </c>
      <c r="V726" s="37">
        <v>20.728361344536999</v>
      </c>
      <c r="W726" s="36">
        <v>46107</v>
      </c>
      <c r="X726" s="36">
        <v>46107</v>
      </c>
    </row>
    <row r="727" spans="1:24" ht="15.75" thickBot="1" x14ac:dyDescent="0.3">
      <c r="A727" t="str">
        <f t="shared" si="11"/>
        <v>PCP2627406FB00</v>
      </c>
      <c r="B727" s="22" t="s">
        <v>4177</v>
      </c>
      <c r="C727" s="22" t="s">
        <v>4178</v>
      </c>
      <c r="D727" s="22" t="s">
        <v>4179</v>
      </c>
      <c r="E727" s="21"/>
      <c r="F727" s="22" t="s">
        <v>2030</v>
      </c>
      <c r="G727" s="28" t="s">
        <v>2012</v>
      </c>
      <c r="H727" s="22" t="s">
        <v>4180</v>
      </c>
      <c r="I727" s="22" t="s">
        <v>3857</v>
      </c>
      <c r="J727" s="22" t="s">
        <v>261</v>
      </c>
      <c r="K727" s="22" t="s">
        <v>262</v>
      </c>
      <c r="L727" s="22" t="s">
        <v>3858</v>
      </c>
      <c r="M727" s="22" t="s">
        <v>2130</v>
      </c>
      <c r="N727" s="28" t="s">
        <v>2494</v>
      </c>
      <c r="O727" s="28" t="s">
        <v>2016</v>
      </c>
      <c r="P727" s="29">
        <v>11453</v>
      </c>
      <c r="Q727" s="28" t="s">
        <v>2017</v>
      </c>
      <c r="R727" s="37">
        <v>20.583290067494001</v>
      </c>
      <c r="S727" s="29">
        <v>35770</v>
      </c>
      <c r="T727" s="32">
        <v>556.42222222222199</v>
      </c>
      <c r="U727" s="32">
        <v>0</v>
      </c>
      <c r="V727" s="37">
        <v>20.583290067494001</v>
      </c>
      <c r="W727" s="36">
        <v>46107</v>
      </c>
      <c r="X727" s="36">
        <v>46107</v>
      </c>
    </row>
    <row r="728" spans="1:24" ht="15.75" thickBot="1" x14ac:dyDescent="0.3">
      <c r="A728" t="str">
        <f t="shared" si="11"/>
        <v>PCPE23900TOP01.H</v>
      </c>
      <c r="B728" s="22" t="s">
        <v>4181</v>
      </c>
      <c r="C728" s="21"/>
      <c r="D728" s="22" t="s">
        <v>4182</v>
      </c>
      <c r="E728" s="22" t="s">
        <v>3697</v>
      </c>
      <c r="F728" s="22" t="s">
        <v>2030</v>
      </c>
      <c r="G728" s="28" t="s">
        <v>2012</v>
      </c>
      <c r="H728" s="22" t="s">
        <v>3459</v>
      </c>
      <c r="I728" s="22" t="s">
        <v>3460</v>
      </c>
      <c r="J728" s="22" t="s">
        <v>261</v>
      </c>
      <c r="K728" s="22" t="s">
        <v>262</v>
      </c>
      <c r="L728" s="22" t="s">
        <v>3318</v>
      </c>
      <c r="M728" s="22" t="s">
        <v>2130</v>
      </c>
      <c r="N728" s="28" t="s">
        <v>2494</v>
      </c>
      <c r="O728" s="28" t="s">
        <v>2016</v>
      </c>
      <c r="P728" s="29">
        <v>495</v>
      </c>
      <c r="Q728" s="28" t="s">
        <v>2017</v>
      </c>
      <c r="R728" s="37">
        <v>20.866510538640998</v>
      </c>
      <c r="S728" s="29">
        <v>1525</v>
      </c>
      <c r="T728" s="32">
        <v>23.722222222222001</v>
      </c>
      <c r="U728" s="32">
        <v>0</v>
      </c>
      <c r="V728" s="37">
        <v>20.866510538640998</v>
      </c>
      <c r="W728" s="36">
        <v>46107</v>
      </c>
      <c r="X728" s="36">
        <v>46107</v>
      </c>
    </row>
    <row r="729" spans="1:24" ht="15.75" thickBot="1" x14ac:dyDescent="0.3">
      <c r="A729" t="str">
        <f t="shared" si="11"/>
        <v>PCPE23900TOP03.H</v>
      </c>
      <c r="B729" s="22" t="s">
        <v>4183</v>
      </c>
      <c r="C729" s="21"/>
      <c r="D729" s="22" t="s">
        <v>4184</v>
      </c>
      <c r="E729" s="21"/>
      <c r="F729" s="22" t="s">
        <v>2030</v>
      </c>
      <c r="G729" s="28" t="s">
        <v>2012</v>
      </c>
      <c r="H729" s="22" t="s">
        <v>3459</v>
      </c>
      <c r="I729" s="22" t="s">
        <v>3460</v>
      </c>
      <c r="J729" s="22" t="s">
        <v>261</v>
      </c>
      <c r="K729" s="22" t="s">
        <v>262</v>
      </c>
      <c r="L729" s="22" t="s">
        <v>3318</v>
      </c>
      <c r="M729" s="22" t="s">
        <v>2130</v>
      </c>
      <c r="N729" s="28" t="s">
        <v>2494</v>
      </c>
      <c r="O729" s="28" t="s">
        <v>2016</v>
      </c>
      <c r="P729" s="29">
        <v>392</v>
      </c>
      <c r="Q729" s="28" t="s">
        <v>2017</v>
      </c>
      <c r="R729" s="37">
        <v>20.063694267515</v>
      </c>
      <c r="S729" s="29">
        <v>1256</v>
      </c>
      <c r="T729" s="32">
        <v>19.537777777776999</v>
      </c>
      <c r="U729" s="32">
        <v>0</v>
      </c>
      <c r="V729" s="37">
        <v>20.063694267515</v>
      </c>
      <c r="W729" s="36">
        <v>46107</v>
      </c>
      <c r="X729" s="36">
        <v>46107</v>
      </c>
    </row>
    <row r="730" spans="1:24" ht="15.75" thickBot="1" x14ac:dyDescent="0.3">
      <c r="A730" t="str">
        <f t="shared" si="11"/>
        <v>PCS06511931AAWL</v>
      </c>
      <c r="B730" s="22" t="s">
        <v>4185</v>
      </c>
      <c r="C730" s="22" t="s">
        <v>4186</v>
      </c>
      <c r="D730" s="22" t="s">
        <v>2959</v>
      </c>
      <c r="E730" s="22" t="s">
        <v>2960</v>
      </c>
      <c r="F730" s="22" t="s">
        <v>2961</v>
      </c>
      <c r="G730" s="28" t="s">
        <v>2012</v>
      </c>
      <c r="H730" s="22" t="s">
        <v>2962</v>
      </c>
      <c r="I730" s="22" t="s">
        <v>2963</v>
      </c>
      <c r="J730" s="22" t="s">
        <v>1117</v>
      </c>
      <c r="K730" s="22" t="s">
        <v>924</v>
      </c>
      <c r="L730" s="22" t="s">
        <v>2964</v>
      </c>
      <c r="M730" s="22" t="s">
        <v>2130</v>
      </c>
      <c r="N730" s="28" t="s">
        <v>2494</v>
      </c>
      <c r="O730" s="28" t="s">
        <v>2016</v>
      </c>
      <c r="P730" s="29">
        <v>43991</v>
      </c>
      <c r="Q730" s="28" t="s">
        <v>2017</v>
      </c>
      <c r="R730" s="37">
        <v>20.354937287797</v>
      </c>
      <c r="S730" s="29">
        <v>138934</v>
      </c>
      <c r="T730" s="32">
        <v>2161.1955555555601</v>
      </c>
      <c r="U730" s="32">
        <v>0</v>
      </c>
      <c r="V730" s="37">
        <v>20.354937287797</v>
      </c>
      <c r="W730" s="36">
        <v>46107</v>
      </c>
      <c r="X730" s="36">
        <v>46107</v>
      </c>
    </row>
    <row r="731" spans="1:24" ht="15.75" thickBot="1" x14ac:dyDescent="0.3">
      <c r="A731" t="str">
        <f t="shared" si="11"/>
        <v>PCSE413A14BB</v>
      </c>
      <c r="B731" s="22" t="s">
        <v>4187</v>
      </c>
      <c r="C731" s="21"/>
      <c r="D731" s="22" t="s">
        <v>4188</v>
      </c>
      <c r="E731" s="21"/>
      <c r="F731" s="22" t="s">
        <v>2030</v>
      </c>
      <c r="G731" s="28" t="s">
        <v>2012</v>
      </c>
      <c r="H731" s="22" t="s">
        <v>3721</v>
      </c>
      <c r="I731" s="22" t="s">
        <v>3722</v>
      </c>
      <c r="J731" s="22" t="s">
        <v>261</v>
      </c>
      <c r="K731" s="22" t="s">
        <v>924</v>
      </c>
      <c r="L731" s="22" t="s">
        <v>2829</v>
      </c>
      <c r="M731" s="22" t="s">
        <v>2130</v>
      </c>
      <c r="N731" s="28" t="s">
        <v>2494</v>
      </c>
      <c r="O731" s="28" t="s">
        <v>2016</v>
      </c>
      <c r="P731" s="29">
        <v>5531</v>
      </c>
      <c r="Q731" s="28" t="s">
        <v>2017</v>
      </c>
      <c r="R731" s="37">
        <v>20.306355551928998</v>
      </c>
      <c r="S731" s="29">
        <v>17510</v>
      </c>
      <c r="T731" s="32">
        <v>272.37777777777802</v>
      </c>
      <c r="U731" s="32">
        <v>0</v>
      </c>
      <c r="V731" s="37">
        <v>20.306355551928998</v>
      </c>
      <c r="W731" s="36">
        <v>46107</v>
      </c>
      <c r="X731" s="36">
        <v>46107</v>
      </c>
    </row>
    <row r="732" spans="1:24" ht="15.75" thickBot="1" x14ac:dyDescent="0.3">
      <c r="A732" t="str">
        <f t="shared" si="11"/>
        <v>PCSW520782S300</v>
      </c>
      <c r="B732" s="22" t="s">
        <v>4189</v>
      </c>
      <c r="C732" s="21"/>
      <c r="D732" s="22" t="s">
        <v>2959</v>
      </c>
      <c r="E732" s="22" t="s">
        <v>3357</v>
      </c>
      <c r="F732" s="22" t="s">
        <v>2030</v>
      </c>
      <c r="G732" s="28" t="s">
        <v>2012</v>
      </c>
      <c r="H732" s="22" t="s">
        <v>3927</v>
      </c>
      <c r="I732" s="22" t="s">
        <v>3928</v>
      </c>
      <c r="J732" s="22" t="s">
        <v>261</v>
      </c>
      <c r="K732" s="22" t="s">
        <v>924</v>
      </c>
      <c r="L732" s="22" t="s">
        <v>2964</v>
      </c>
      <c r="M732" s="22" t="s">
        <v>2130</v>
      </c>
      <c r="N732" s="28" t="s">
        <v>2494</v>
      </c>
      <c r="O732" s="28" t="s">
        <v>2016</v>
      </c>
      <c r="P732" s="29">
        <v>46256</v>
      </c>
      <c r="Q732" s="28" t="s">
        <v>2017</v>
      </c>
      <c r="R732" s="37">
        <v>20.968458462905001</v>
      </c>
      <c r="S732" s="29">
        <v>141813</v>
      </c>
      <c r="T732" s="32">
        <v>2205.98</v>
      </c>
      <c r="U732" s="32">
        <v>0</v>
      </c>
      <c r="V732" s="37">
        <v>20.968458462905001</v>
      </c>
      <c r="W732" s="36">
        <v>46107</v>
      </c>
      <c r="X732" s="36">
        <v>46107</v>
      </c>
    </row>
    <row r="733" spans="1:24" ht="15.75" thickBot="1" x14ac:dyDescent="0.3">
      <c r="A733" t="str">
        <f t="shared" si="11"/>
        <v>PCSW702989S403</v>
      </c>
      <c r="B733" s="22" t="s">
        <v>4190</v>
      </c>
      <c r="C733" s="21"/>
      <c r="D733" s="22" t="s">
        <v>3356</v>
      </c>
      <c r="E733" s="22" t="s">
        <v>3357</v>
      </c>
      <c r="F733" s="22" t="s">
        <v>2030</v>
      </c>
      <c r="G733" s="28" t="s">
        <v>2012</v>
      </c>
      <c r="H733" s="22" t="s">
        <v>4191</v>
      </c>
      <c r="I733" s="22" t="s">
        <v>4192</v>
      </c>
      <c r="J733" s="22" t="s">
        <v>364</v>
      </c>
      <c r="K733" s="22" t="s">
        <v>924</v>
      </c>
      <c r="L733" s="22" t="s">
        <v>3353</v>
      </c>
      <c r="M733" s="22" t="s">
        <v>2130</v>
      </c>
      <c r="N733" s="28" t="s">
        <v>2494</v>
      </c>
      <c r="O733" s="28" t="s">
        <v>2016</v>
      </c>
      <c r="P733" s="29">
        <v>138785</v>
      </c>
      <c r="Q733" s="28" t="s">
        <v>2017</v>
      </c>
      <c r="R733" s="37">
        <v>20.896075456167999</v>
      </c>
      <c r="S733" s="29">
        <v>426965</v>
      </c>
      <c r="T733" s="32">
        <v>6641.6777777777797</v>
      </c>
      <c r="U733" s="32">
        <v>0</v>
      </c>
      <c r="V733" s="37">
        <v>20.896075456167999</v>
      </c>
      <c r="W733" s="36">
        <v>46107</v>
      </c>
      <c r="X733" s="36">
        <v>46107</v>
      </c>
    </row>
    <row r="734" spans="1:24" ht="15.75" thickBot="1" x14ac:dyDescent="0.3">
      <c r="A734" t="str">
        <f t="shared" si="11"/>
        <v>RMSBR5B852APIA1</v>
      </c>
      <c r="B734" s="22" t="s">
        <v>4193</v>
      </c>
      <c r="C734" s="22" t="s">
        <v>4194</v>
      </c>
      <c r="D734" s="22" t="s">
        <v>4195</v>
      </c>
      <c r="E734" s="22" t="s">
        <v>3123</v>
      </c>
      <c r="F734" s="22" t="s">
        <v>3969</v>
      </c>
      <c r="G734" s="28" t="s">
        <v>2012</v>
      </c>
      <c r="H734" s="22" t="s">
        <v>2556</v>
      </c>
      <c r="I734" s="22" t="s">
        <v>2557</v>
      </c>
      <c r="J734" s="22" t="s">
        <v>364</v>
      </c>
      <c r="K734" s="22" t="s">
        <v>924</v>
      </c>
      <c r="L734" s="22" t="s">
        <v>2558</v>
      </c>
      <c r="M734" s="22" t="s">
        <v>2532</v>
      </c>
      <c r="N734" s="28" t="s">
        <v>2494</v>
      </c>
      <c r="O734" s="28" t="s">
        <v>2016</v>
      </c>
      <c r="P734" s="29">
        <v>9015.4830000000002</v>
      </c>
      <c r="Q734" s="28" t="s">
        <v>1164</v>
      </c>
      <c r="R734" s="37">
        <v>20.714129629483999</v>
      </c>
      <c r="S734" s="34">
        <v>27979.295999999998</v>
      </c>
      <c r="T734" s="32">
        <v>435.233493333333</v>
      </c>
      <c r="U734" s="32">
        <v>0</v>
      </c>
      <c r="V734" s="37">
        <v>20.714129629483999</v>
      </c>
      <c r="W734" s="36">
        <v>46107</v>
      </c>
      <c r="X734" s="36">
        <v>46107</v>
      </c>
    </row>
    <row r="735" spans="1:24" ht="15.75" thickBot="1" x14ac:dyDescent="0.3">
      <c r="A735" t="str">
        <f t="shared" si="11"/>
        <v>RMSF12C04/5</v>
      </c>
      <c r="B735" s="22" t="s">
        <v>4196</v>
      </c>
      <c r="C735" s="22" t="s">
        <v>4197</v>
      </c>
      <c r="D735" s="22" t="s">
        <v>4198</v>
      </c>
      <c r="E735" s="22" t="s">
        <v>3123</v>
      </c>
      <c r="F735" s="22" t="s">
        <v>4199</v>
      </c>
      <c r="G735" s="28" t="s">
        <v>2012</v>
      </c>
      <c r="H735" s="22" t="s">
        <v>2529</v>
      </c>
      <c r="I735" s="22" t="s">
        <v>2530</v>
      </c>
      <c r="J735" s="22" t="s">
        <v>364</v>
      </c>
      <c r="K735" s="22" t="s">
        <v>924</v>
      </c>
      <c r="L735" s="22" t="s">
        <v>2558</v>
      </c>
      <c r="M735" s="22" t="s">
        <v>2532</v>
      </c>
      <c r="N735" s="28" t="s">
        <v>2494</v>
      </c>
      <c r="O735" s="28" t="s">
        <v>2016</v>
      </c>
      <c r="P735" s="29">
        <v>71361.2</v>
      </c>
      <c r="Q735" s="28" t="s">
        <v>1164</v>
      </c>
      <c r="R735" s="37">
        <v>20.409895658450999</v>
      </c>
      <c r="S735" s="34">
        <v>224768.7</v>
      </c>
      <c r="T735" s="32">
        <v>3496.402</v>
      </c>
      <c r="U735" s="32">
        <v>0</v>
      </c>
      <c r="V735" s="37">
        <v>20.409895658450999</v>
      </c>
      <c r="W735" s="36">
        <v>46107</v>
      </c>
      <c r="X735" s="36">
        <v>46107</v>
      </c>
    </row>
    <row r="736" spans="1:24" ht="15.75" thickBot="1" x14ac:dyDescent="0.3">
      <c r="A736" t="str">
        <f t="shared" si="11"/>
        <v>ASYHS11714W16</v>
      </c>
      <c r="B736" s="22" t="s">
        <v>1662</v>
      </c>
      <c r="C736" s="22" t="s">
        <v>4200</v>
      </c>
      <c r="D736" s="22" t="s">
        <v>1663</v>
      </c>
      <c r="E736" s="22" t="s">
        <v>4201</v>
      </c>
      <c r="F736" s="22" t="s">
        <v>4202</v>
      </c>
      <c r="G736" s="28" t="s">
        <v>2012</v>
      </c>
      <c r="H736" s="22" t="s">
        <v>2055</v>
      </c>
      <c r="I736" s="21"/>
      <c r="J736" s="22" t="s">
        <v>261</v>
      </c>
      <c r="K736" s="22" t="s">
        <v>924</v>
      </c>
      <c r="L736" s="21"/>
      <c r="M736" s="22" t="s">
        <v>2034</v>
      </c>
      <c r="N736" s="28" t="s">
        <v>2015</v>
      </c>
      <c r="O736" s="28" t="s">
        <v>2016</v>
      </c>
      <c r="P736" s="29">
        <v>5807</v>
      </c>
      <c r="Q736" s="28" t="s">
        <v>2017</v>
      </c>
      <c r="R736" s="37">
        <v>21.521223501506999</v>
      </c>
      <c r="S736" s="29">
        <v>17346</v>
      </c>
      <c r="T736" s="32">
        <v>269.82666666666699</v>
      </c>
      <c r="U736" s="32">
        <v>0</v>
      </c>
      <c r="V736" s="37">
        <v>21.521223501506999</v>
      </c>
      <c r="W736" s="36">
        <v>46108</v>
      </c>
      <c r="X736" s="36">
        <v>46108</v>
      </c>
    </row>
    <row r="737" spans="1:24" ht="15.75" thickBot="1" x14ac:dyDescent="0.3">
      <c r="A737" t="str">
        <f t="shared" si="11"/>
        <v>ASYHS11B04W2</v>
      </c>
      <c r="B737" s="22" t="s">
        <v>1664</v>
      </c>
      <c r="C737" s="22" t="s">
        <v>2159</v>
      </c>
      <c r="D737" s="22" t="s">
        <v>4203</v>
      </c>
      <c r="E737" s="22" t="s">
        <v>4204</v>
      </c>
      <c r="F737" s="22" t="s">
        <v>4205</v>
      </c>
      <c r="G737" s="28" t="s">
        <v>2012</v>
      </c>
      <c r="H737" s="22" t="s">
        <v>2055</v>
      </c>
      <c r="I737" s="21"/>
      <c r="J737" s="22" t="s">
        <v>261</v>
      </c>
      <c r="K737" s="22" t="s">
        <v>924</v>
      </c>
      <c r="L737" s="21"/>
      <c r="M737" s="22" t="s">
        <v>2034</v>
      </c>
      <c r="N737" s="28" t="s">
        <v>2015</v>
      </c>
      <c r="O737" s="28" t="s">
        <v>2016</v>
      </c>
      <c r="P737" s="29">
        <v>5745</v>
      </c>
      <c r="Q737" s="28" t="s">
        <v>2017</v>
      </c>
      <c r="R737" s="37">
        <v>21.063158923886</v>
      </c>
      <c r="S737" s="29">
        <v>17534</v>
      </c>
      <c r="T737" s="32">
        <v>272.75111111111102</v>
      </c>
      <c r="U737" s="32">
        <v>0</v>
      </c>
      <c r="V737" s="37">
        <v>21.063158923886</v>
      </c>
      <c r="W737" s="36">
        <v>46108</v>
      </c>
      <c r="X737" s="36">
        <v>46108</v>
      </c>
    </row>
    <row r="738" spans="1:24" ht="15.75" thickBot="1" x14ac:dyDescent="0.3">
      <c r="A738" t="str">
        <f t="shared" si="11"/>
        <v>BLKBR5802220</v>
      </c>
      <c r="B738" s="22" t="s">
        <v>4206</v>
      </c>
      <c r="C738" s="21"/>
      <c r="D738" s="22" t="s">
        <v>4207</v>
      </c>
      <c r="E738" s="22" t="s">
        <v>4208</v>
      </c>
      <c r="F738" s="22" t="s">
        <v>4209</v>
      </c>
      <c r="G738" s="28" t="s">
        <v>2012</v>
      </c>
      <c r="H738" s="22" t="s">
        <v>2013</v>
      </c>
      <c r="I738" s="21"/>
      <c r="J738" s="22" t="s">
        <v>364</v>
      </c>
      <c r="K738" s="22" t="s">
        <v>924</v>
      </c>
      <c r="L738" s="21"/>
      <c r="M738" s="22" t="s">
        <v>2130</v>
      </c>
      <c r="N738" s="28" t="s">
        <v>2015</v>
      </c>
      <c r="O738" s="28" t="s">
        <v>2016</v>
      </c>
      <c r="P738" s="29">
        <v>13806</v>
      </c>
      <c r="Q738" s="28" t="s">
        <v>2017</v>
      </c>
      <c r="R738" s="37">
        <v>21.135155178923998</v>
      </c>
      <c r="S738" s="29">
        <v>41993</v>
      </c>
      <c r="T738" s="32">
        <v>653.22444444444398</v>
      </c>
      <c r="U738" s="32">
        <v>0</v>
      </c>
      <c r="V738" s="37">
        <v>21.135155178923998</v>
      </c>
      <c r="W738" s="36">
        <v>46108</v>
      </c>
      <c r="X738" s="36">
        <v>46108</v>
      </c>
    </row>
    <row r="739" spans="1:24" ht="15.75" thickBot="1" x14ac:dyDescent="0.3">
      <c r="A739" t="str">
        <f t="shared" si="11"/>
        <v>DETE104B02A</v>
      </c>
      <c r="B739" s="22" t="s">
        <v>1641</v>
      </c>
      <c r="C739" s="22" t="s">
        <v>4210</v>
      </c>
      <c r="D739" s="22" t="s">
        <v>4211</v>
      </c>
      <c r="E739" s="21"/>
      <c r="F739" s="22" t="s">
        <v>4212</v>
      </c>
      <c r="G739" s="28" t="s">
        <v>2012</v>
      </c>
      <c r="H739" s="22" t="s">
        <v>2080</v>
      </c>
      <c r="I739" s="21"/>
      <c r="J739" s="22" t="s">
        <v>261</v>
      </c>
      <c r="K739" s="22" t="s">
        <v>924</v>
      </c>
      <c r="L739" s="21"/>
      <c r="M739" s="22" t="s">
        <v>2034</v>
      </c>
      <c r="N739" s="28" t="s">
        <v>2015</v>
      </c>
      <c r="O739" s="28" t="s">
        <v>2016</v>
      </c>
      <c r="P739" s="29">
        <v>12215</v>
      </c>
      <c r="Q739" s="28" t="s">
        <v>2017</v>
      </c>
      <c r="R739" s="37">
        <v>21.706979958533999</v>
      </c>
      <c r="S739" s="29">
        <v>36175</v>
      </c>
      <c r="T739" s="32">
        <v>562.72222222222194</v>
      </c>
      <c r="U739" s="32">
        <v>0</v>
      </c>
      <c r="V739" s="37">
        <v>21.706979958533999</v>
      </c>
      <c r="W739" s="36">
        <v>46108</v>
      </c>
      <c r="X739" s="36">
        <v>46108</v>
      </c>
    </row>
    <row r="740" spans="1:24" ht="15.75" thickBot="1" x14ac:dyDescent="0.3">
      <c r="A740" t="str">
        <f t="shared" si="11"/>
        <v>DETE410A23A</v>
      </c>
      <c r="B740" s="22" t="s">
        <v>1601</v>
      </c>
      <c r="C740" s="22" t="s">
        <v>2728</v>
      </c>
      <c r="D740" s="22" t="s">
        <v>4213</v>
      </c>
      <c r="E740" s="22" t="s">
        <v>4214</v>
      </c>
      <c r="F740" s="22" t="s">
        <v>4215</v>
      </c>
      <c r="G740" s="28" t="s">
        <v>2012</v>
      </c>
      <c r="H740" s="22" t="s">
        <v>2080</v>
      </c>
      <c r="I740" s="21"/>
      <c r="J740" s="22" t="s">
        <v>494</v>
      </c>
      <c r="K740" s="22" t="s">
        <v>924</v>
      </c>
      <c r="L740" s="21"/>
      <c r="M740" s="22" t="s">
        <v>2034</v>
      </c>
      <c r="N740" s="28" t="s">
        <v>2015</v>
      </c>
      <c r="O740" s="28" t="s">
        <v>2016</v>
      </c>
      <c r="P740" s="29">
        <v>5727</v>
      </c>
      <c r="Q740" s="28" t="s">
        <v>2017</v>
      </c>
      <c r="R740" s="37">
        <v>21.122448979590999</v>
      </c>
      <c r="S740" s="29">
        <v>17430</v>
      </c>
      <c r="T740" s="32">
        <v>271.13333333333298</v>
      </c>
      <c r="U740" s="32">
        <v>0</v>
      </c>
      <c r="V740" s="37">
        <v>21.122448979590999</v>
      </c>
      <c r="W740" s="36">
        <v>46108</v>
      </c>
      <c r="X740" s="36">
        <v>46108</v>
      </c>
    </row>
    <row r="741" spans="1:24" ht="15.75" thickBot="1" x14ac:dyDescent="0.3">
      <c r="A741" t="str">
        <f t="shared" si="11"/>
        <v>KTN1WB 16L558 FB</v>
      </c>
      <c r="B741" s="22" t="s">
        <v>360</v>
      </c>
      <c r="C741" s="22" t="s">
        <v>4216</v>
      </c>
      <c r="D741" s="22" t="s">
        <v>2221</v>
      </c>
      <c r="E741" s="21"/>
      <c r="F741" s="22" t="s">
        <v>2291</v>
      </c>
      <c r="G741" s="28" t="s">
        <v>2012</v>
      </c>
      <c r="H741" s="22" t="s">
        <v>2080</v>
      </c>
      <c r="I741" s="21"/>
      <c r="J741" s="22" t="s">
        <v>261</v>
      </c>
      <c r="K741" s="22" t="s">
        <v>262</v>
      </c>
      <c r="L741" s="21"/>
      <c r="M741" s="22" t="s">
        <v>2014</v>
      </c>
      <c r="N741" s="28" t="s">
        <v>2015</v>
      </c>
      <c r="O741" s="28" t="s">
        <v>2016</v>
      </c>
      <c r="P741" s="29">
        <v>900</v>
      </c>
      <c r="Q741" s="28" t="s">
        <v>2017</v>
      </c>
      <c r="R741" s="37">
        <v>21.816418875242</v>
      </c>
      <c r="S741" s="29">
        <v>2652</v>
      </c>
      <c r="T741" s="32">
        <v>41.253333333333003</v>
      </c>
      <c r="U741" s="32">
        <v>0</v>
      </c>
      <c r="V741" s="37">
        <v>21.816418875242</v>
      </c>
      <c r="W741" s="36">
        <v>46108</v>
      </c>
      <c r="X741" s="36">
        <v>46108</v>
      </c>
    </row>
    <row r="742" spans="1:24" ht="15.75" thickBot="1" x14ac:dyDescent="0.3">
      <c r="A742" t="str">
        <f t="shared" si="11"/>
        <v>KTN1WB 16L559 FB</v>
      </c>
      <c r="B742" s="22" t="s">
        <v>298</v>
      </c>
      <c r="C742" s="22" t="s">
        <v>4217</v>
      </c>
      <c r="D742" s="22" t="s">
        <v>2221</v>
      </c>
      <c r="E742" s="21"/>
      <c r="F742" s="22" t="s">
        <v>2291</v>
      </c>
      <c r="G742" s="28" t="s">
        <v>2012</v>
      </c>
      <c r="H742" s="22" t="s">
        <v>2080</v>
      </c>
      <c r="I742" s="21"/>
      <c r="J742" s="22" t="s">
        <v>261</v>
      </c>
      <c r="K742" s="22" t="s">
        <v>262</v>
      </c>
      <c r="L742" s="21"/>
      <c r="M742" s="22" t="s">
        <v>2014</v>
      </c>
      <c r="N742" s="28" t="s">
        <v>2015</v>
      </c>
      <c r="O742" s="28" t="s">
        <v>2016</v>
      </c>
      <c r="P742" s="29">
        <v>888</v>
      </c>
      <c r="Q742" s="28" t="s">
        <v>2017</v>
      </c>
      <c r="R742" s="37">
        <v>21.525533290239</v>
      </c>
      <c r="S742" s="29">
        <v>2652</v>
      </c>
      <c r="T742" s="32">
        <v>41.253333333333003</v>
      </c>
      <c r="U742" s="32">
        <v>0</v>
      </c>
      <c r="V742" s="37">
        <v>21.525533290239</v>
      </c>
      <c r="W742" s="36">
        <v>46108</v>
      </c>
      <c r="X742" s="36">
        <v>46108</v>
      </c>
    </row>
    <row r="743" spans="1:24" ht="15.75" thickBot="1" x14ac:dyDescent="0.3">
      <c r="A743" t="str">
        <f t="shared" si="11"/>
        <v>MLD85132701</v>
      </c>
      <c r="B743" s="22" t="s">
        <v>805</v>
      </c>
      <c r="C743" s="22" t="s">
        <v>4218</v>
      </c>
      <c r="D743" s="22" t="s">
        <v>4219</v>
      </c>
      <c r="E743" s="21"/>
      <c r="F743" s="22" t="s">
        <v>4220</v>
      </c>
      <c r="G743" s="28" t="s">
        <v>2012</v>
      </c>
      <c r="H743" s="22" t="s">
        <v>2027</v>
      </c>
      <c r="I743" s="21"/>
      <c r="J743" s="22" t="s">
        <v>404</v>
      </c>
      <c r="K743" s="22" t="s">
        <v>262</v>
      </c>
      <c r="L743" s="21"/>
      <c r="M743" s="22" t="s">
        <v>2034</v>
      </c>
      <c r="N743" s="28" t="s">
        <v>2015</v>
      </c>
      <c r="O743" s="28" t="s">
        <v>2016</v>
      </c>
      <c r="P743" s="29">
        <v>102</v>
      </c>
      <c r="Q743" s="28" t="s">
        <v>2017</v>
      </c>
      <c r="R743" s="37">
        <v>21.498829039812001</v>
      </c>
      <c r="S743" s="29">
        <v>305</v>
      </c>
      <c r="T743" s="32">
        <v>4.7444444444440004</v>
      </c>
      <c r="U743" s="32">
        <v>0</v>
      </c>
      <c r="V743" s="37">
        <v>21.498829039812001</v>
      </c>
      <c r="W743" s="36">
        <v>46108</v>
      </c>
      <c r="X743" s="36">
        <v>46108</v>
      </c>
    </row>
    <row r="744" spans="1:24" ht="15.75" thickBot="1" x14ac:dyDescent="0.3">
      <c r="A744" t="str">
        <f t="shared" si="11"/>
        <v>PC26590A</v>
      </c>
      <c r="B744" s="22" t="s">
        <v>1620</v>
      </c>
      <c r="C744" s="22" t="s">
        <v>4221</v>
      </c>
      <c r="D744" s="22" t="s">
        <v>4222</v>
      </c>
      <c r="E744" s="22" t="s">
        <v>4223</v>
      </c>
      <c r="F744" s="22" t="s">
        <v>2139</v>
      </c>
      <c r="G744" s="28" t="s">
        <v>2012</v>
      </c>
      <c r="H744" s="22" t="s">
        <v>2022</v>
      </c>
      <c r="I744" s="21"/>
      <c r="J744" s="22" t="s">
        <v>1117</v>
      </c>
      <c r="K744" s="22" t="s">
        <v>924</v>
      </c>
      <c r="L744" s="21"/>
      <c r="M744" s="22" t="s">
        <v>2014</v>
      </c>
      <c r="N744" s="28" t="s">
        <v>2015</v>
      </c>
      <c r="O744" s="28" t="s">
        <v>2016</v>
      </c>
      <c r="P744" s="29">
        <v>11565</v>
      </c>
      <c r="Q744" s="28" t="s">
        <v>2017</v>
      </c>
      <c r="R744" s="37">
        <v>21.866596638655</v>
      </c>
      <c r="S744" s="29">
        <v>34000</v>
      </c>
      <c r="T744" s="32">
        <v>528.88888888888903</v>
      </c>
      <c r="U744" s="32">
        <v>0</v>
      </c>
      <c r="V744" s="37">
        <v>21.866596638655</v>
      </c>
      <c r="W744" s="36">
        <v>46108</v>
      </c>
      <c r="X744" s="36">
        <v>46108</v>
      </c>
    </row>
    <row r="745" spans="1:24" ht="15.75" thickBot="1" x14ac:dyDescent="0.3">
      <c r="A745" t="str">
        <f t="shared" si="11"/>
        <v>PC30490A</v>
      </c>
      <c r="B745" s="22" t="s">
        <v>1624</v>
      </c>
      <c r="C745" s="22" t="s">
        <v>4224</v>
      </c>
      <c r="D745" s="22" t="s">
        <v>1625</v>
      </c>
      <c r="E745" s="22" t="s">
        <v>4225</v>
      </c>
      <c r="F745" s="22" t="s">
        <v>4226</v>
      </c>
      <c r="G745" s="28" t="s">
        <v>2012</v>
      </c>
      <c r="H745" s="22" t="s">
        <v>2022</v>
      </c>
      <c r="I745" s="21"/>
      <c r="J745" s="22" t="s">
        <v>1117</v>
      </c>
      <c r="K745" s="22" t="s">
        <v>924</v>
      </c>
      <c r="L745" s="21"/>
      <c r="M745" s="22" t="s">
        <v>2014</v>
      </c>
      <c r="N745" s="28" t="s">
        <v>2015</v>
      </c>
      <c r="O745" s="28" t="s">
        <v>2016</v>
      </c>
      <c r="P745" s="29">
        <v>11664</v>
      </c>
      <c r="Q745" s="28" t="s">
        <v>2017</v>
      </c>
      <c r="R745" s="37">
        <v>21.423673469387001</v>
      </c>
      <c r="S745" s="29">
        <v>35000</v>
      </c>
      <c r="T745" s="32">
        <v>544.444444444444</v>
      </c>
      <c r="U745" s="32">
        <v>0</v>
      </c>
      <c r="V745" s="37">
        <v>21.423673469387001</v>
      </c>
      <c r="W745" s="36">
        <v>46108</v>
      </c>
      <c r="X745" s="36">
        <v>46108</v>
      </c>
    </row>
    <row r="746" spans="1:24" ht="15.75" thickBot="1" x14ac:dyDescent="0.3">
      <c r="A746" t="str">
        <f t="shared" si="11"/>
        <v>PCP14K011AD</v>
      </c>
      <c r="B746" s="22" t="s">
        <v>4227</v>
      </c>
      <c r="C746" s="21"/>
      <c r="D746" s="22" t="s">
        <v>4228</v>
      </c>
      <c r="E746" s="21"/>
      <c r="F746" s="22" t="s">
        <v>2030</v>
      </c>
      <c r="G746" s="28" t="s">
        <v>2012</v>
      </c>
      <c r="H746" s="22" t="s">
        <v>4229</v>
      </c>
      <c r="I746" s="22" t="s">
        <v>4230</v>
      </c>
      <c r="J746" s="22" t="s">
        <v>364</v>
      </c>
      <c r="K746" s="22" t="s">
        <v>262</v>
      </c>
      <c r="L746" s="22" t="s">
        <v>4231</v>
      </c>
      <c r="M746" s="22" t="s">
        <v>2830</v>
      </c>
      <c r="N746" s="28" t="s">
        <v>2494</v>
      </c>
      <c r="O746" s="28" t="s">
        <v>2016</v>
      </c>
      <c r="P746" s="29">
        <v>15430</v>
      </c>
      <c r="Q746" s="28" t="s">
        <v>2017</v>
      </c>
      <c r="R746" s="37">
        <v>21.942409667490001</v>
      </c>
      <c r="S746" s="29">
        <v>45206</v>
      </c>
      <c r="T746" s="32">
        <v>703.20444444444399</v>
      </c>
      <c r="U746" s="32">
        <v>0</v>
      </c>
      <c r="V746" s="37">
        <v>21.942409667490001</v>
      </c>
      <c r="W746" s="36">
        <v>46108</v>
      </c>
      <c r="X746" s="36">
        <v>46108</v>
      </c>
    </row>
    <row r="747" spans="1:24" ht="15.75" thickBot="1" x14ac:dyDescent="0.3">
      <c r="A747" t="str">
        <f t="shared" si="11"/>
        <v>PCPE23943AR05.HA</v>
      </c>
      <c r="B747" s="22" t="s">
        <v>4232</v>
      </c>
      <c r="C747" s="22" t="s">
        <v>4233</v>
      </c>
      <c r="D747" s="22" t="s">
        <v>4234</v>
      </c>
      <c r="E747" s="21"/>
      <c r="F747" s="22" t="s">
        <v>2030</v>
      </c>
      <c r="G747" s="28" t="s">
        <v>2012</v>
      </c>
      <c r="H747" s="22" t="s">
        <v>3459</v>
      </c>
      <c r="I747" s="22" t="s">
        <v>3460</v>
      </c>
      <c r="J747" s="22" t="s">
        <v>261</v>
      </c>
      <c r="K747" s="22" t="s">
        <v>262</v>
      </c>
      <c r="L747" s="22" t="s">
        <v>3318</v>
      </c>
      <c r="M747" s="22" t="s">
        <v>2130</v>
      </c>
      <c r="N747" s="28" t="s">
        <v>2494</v>
      </c>
      <c r="O747" s="28" t="s">
        <v>2016</v>
      </c>
      <c r="P747" s="29">
        <v>1312</v>
      </c>
      <c r="Q747" s="28" t="s">
        <v>2017</v>
      </c>
      <c r="R747" s="37">
        <v>21.149161771027</v>
      </c>
      <c r="S747" s="29">
        <v>3988</v>
      </c>
      <c r="T747" s="32">
        <v>62.035555555555</v>
      </c>
      <c r="U747" s="32">
        <v>0</v>
      </c>
      <c r="V747" s="37">
        <v>21.149161771027</v>
      </c>
      <c r="W747" s="36">
        <v>46108</v>
      </c>
      <c r="X747" s="36">
        <v>46108</v>
      </c>
    </row>
    <row r="748" spans="1:24" ht="15.75" thickBot="1" x14ac:dyDescent="0.3">
      <c r="A748" t="str">
        <f t="shared" si="11"/>
        <v>PCPE27406AR05.HA</v>
      </c>
      <c r="B748" s="22" t="s">
        <v>4235</v>
      </c>
      <c r="C748" s="22" t="s">
        <v>4236</v>
      </c>
      <c r="D748" s="22" t="s">
        <v>4237</v>
      </c>
      <c r="E748" s="21"/>
      <c r="F748" s="22" t="s">
        <v>2030</v>
      </c>
      <c r="G748" s="28" t="s">
        <v>2012</v>
      </c>
      <c r="H748" s="22" t="s">
        <v>3459</v>
      </c>
      <c r="I748" s="22" t="s">
        <v>3460</v>
      </c>
      <c r="J748" s="22" t="s">
        <v>261</v>
      </c>
      <c r="K748" s="22" t="s">
        <v>262</v>
      </c>
      <c r="L748" s="22" t="s">
        <v>3318</v>
      </c>
      <c r="M748" s="22" t="s">
        <v>2130</v>
      </c>
      <c r="N748" s="28" t="s">
        <v>2494</v>
      </c>
      <c r="O748" s="28" t="s">
        <v>2016</v>
      </c>
      <c r="P748" s="29">
        <v>1343</v>
      </c>
      <c r="Q748" s="28" t="s">
        <v>2017</v>
      </c>
      <c r="R748" s="37">
        <v>21.648875197018999</v>
      </c>
      <c r="S748" s="29">
        <v>3988</v>
      </c>
      <c r="T748" s="32">
        <v>62.035555555555</v>
      </c>
      <c r="U748" s="32">
        <v>0</v>
      </c>
      <c r="V748" s="37">
        <v>21.648875197018999</v>
      </c>
      <c r="W748" s="36">
        <v>46108</v>
      </c>
      <c r="X748" s="36">
        <v>46108</v>
      </c>
    </row>
    <row r="749" spans="1:24" ht="15.75" thickBot="1" x14ac:dyDescent="0.3">
      <c r="A749" t="str">
        <f t="shared" si="11"/>
        <v>PCPW506945MOD-S450</v>
      </c>
      <c r="B749" s="22" t="s">
        <v>4238</v>
      </c>
      <c r="C749" s="22" t="s">
        <v>4239</v>
      </c>
      <c r="D749" s="22" t="s">
        <v>4240</v>
      </c>
      <c r="E749" s="22" t="s">
        <v>4241</v>
      </c>
      <c r="F749" s="22" t="s">
        <v>2030</v>
      </c>
      <c r="G749" s="28" t="s">
        <v>2012</v>
      </c>
      <c r="H749" s="22" t="s">
        <v>3707</v>
      </c>
      <c r="I749" s="22" t="s">
        <v>3708</v>
      </c>
      <c r="J749" s="22" t="s">
        <v>261</v>
      </c>
      <c r="K749" s="22" t="s">
        <v>262</v>
      </c>
      <c r="L749" s="22" t="s">
        <v>4242</v>
      </c>
      <c r="M749" s="22" t="s">
        <v>2130</v>
      </c>
      <c r="N749" s="28" t="s">
        <v>2494</v>
      </c>
      <c r="O749" s="28" t="s">
        <v>2016</v>
      </c>
      <c r="P749" s="29">
        <v>163818</v>
      </c>
      <c r="Q749" s="28" t="s">
        <v>2017</v>
      </c>
      <c r="R749" s="37">
        <v>21.035977242207</v>
      </c>
      <c r="S749" s="29">
        <v>500626</v>
      </c>
      <c r="T749" s="32">
        <v>7787.5155555555502</v>
      </c>
      <c r="U749" s="32">
        <v>0</v>
      </c>
      <c r="V749" s="37">
        <v>21.035977242207</v>
      </c>
      <c r="W749" s="36">
        <v>46108</v>
      </c>
      <c r="X749" s="36">
        <v>46108</v>
      </c>
    </row>
    <row r="750" spans="1:24" ht="15.75" thickBot="1" x14ac:dyDescent="0.3">
      <c r="A750" t="str">
        <f t="shared" si="11"/>
        <v>PCPW506964-S450B</v>
      </c>
      <c r="B750" s="22" t="s">
        <v>4243</v>
      </c>
      <c r="C750" s="22" t="s">
        <v>4244</v>
      </c>
      <c r="D750" s="22" t="s">
        <v>4245</v>
      </c>
      <c r="E750" s="22" t="s">
        <v>4246</v>
      </c>
      <c r="F750" s="22" t="s">
        <v>2030</v>
      </c>
      <c r="G750" s="28" t="s">
        <v>2012</v>
      </c>
      <c r="H750" s="22" t="s">
        <v>4247</v>
      </c>
      <c r="I750" s="22" t="s">
        <v>4248</v>
      </c>
      <c r="J750" s="22" t="s">
        <v>261</v>
      </c>
      <c r="K750" s="22" t="s">
        <v>262</v>
      </c>
      <c r="L750" s="22" t="s">
        <v>3914</v>
      </c>
      <c r="M750" s="22" t="s">
        <v>2130</v>
      </c>
      <c r="N750" s="28" t="s">
        <v>2494</v>
      </c>
      <c r="O750" s="28" t="s">
        <v>2016</v>
      </c>
      <c r="P750" s="29">
        <v>11084</v>
      </c>
      <c r="Q750" s="28" t="s">
        <v>2017</v>
      </c>
      <c r="R750" s="37">
        <v>21.795633706804001</v>
      </c>
      <c r="S750" s="29">
        <v>32692</v>
      </c>
      <c r="T750" s="32">
        <v>508.54222222222199</v>
      </c>
      <c r="U750" s="32">
        <v>0</v>
      </c>
      <c r="V750" s="37">
        <v>21.795633706804001</v>
      </c>
      <c r="W750" s="36">
        <v>46108</v>
      </c>
      <c r="X750" s="36">
        <v>46108</v>
      </c>
    </row>
    <row r="751" spans="1:24" ht="15.75" thickBot="1" x14ac:dyDescent="0.3">
      <c r="A751" t="str">
        <f t="shared" si="11"/>
        <v>RMS2610130RLA</v>
      </c>
      <c r="B751" s="22" t="s">
        <v>4249</v>
      </c>
      <c r="C751" s="22" t="s">
        <v>4250</v>
      </c>
      <c r="D751" s="22" t="s">
        <v>4251</v>
      </c>
      <c r="E751" s="22" t="s">
        <v>2527</v>
      </c>
      <c r="F751" s="22" t="s">
        <v>4252</v>
      </c>
      <c r="G751" s="28" t="s">
        <v>2012</v>
      </c>
      <c r="H751" s="22" t="s">
        <v>3481</v>
      </c>
      <c r="I751" s="22" t="s">
        <v>3482</v>
      </c>
      <c r="J751" s="22" t="s">
        <v>261</v>
      </c>
      <c r="K751" s="22" t="s">
        <v>924</v>
      </c>
      <c r="L751" s="22" t="s">
        <v>2531</v>
      </c>
      <c r="M751" s="22" t="s">
        <v>2532</v>
      </c>
      <c r="N751" s="28" t="s">
        <v>2494</v>
      </c>
      <c r="O751" s="28" t="s">
        <v>2016</v>
      </c>
      <c r="P751" s="29">
        <v>167427.14000000001</v>
      </c>
      <c r="Q751" s="28" t="s">
        <v>1164</v>
      </c>
      <c r="R751" s="37">
        <v>21.308392173447999</v>
      </c>
      <c r="S751" s="34">
        <v>505114.28539999999</v>
      </c>
      <c r="T751" s="32">
        <v>7857.3333284444398</v>
      </c>
      <c r="U751" s="32">
        <v>0</v>
      </c>
      <c r="V751" s="37">
        <v>21.308392173447999</v>
      </c>
      <c r="W751" s="36">
        <v>46108</v>
      </c>
      <c r="X751" s="36">
        <v>46108</v>
      </c>
    </row>
    <row r="752" spans="1:24" ht="15.75" thickBot="1" x14ac:dyDescent="0.3">
      <c r="A752" t="str">
        <f t="shared" si="11"/>
        <v>RMS9D823AA</v>
      </c>
      <c r="B752" s="22" t="s">
        <v>4253</v>
      </c>
      <c r="C752" s="22" t="s">
        <v>4254</v>
      </c>
      <c r="D752" s="22" t="s">
        <v>4255</v>
      </c>
      <c r="E752" s="22" t="s">
        <v>2527</v>
      </c>
      <c r="F752" s="22" t="s">
        <v>4256</v>
      </c>
      <c r="G752" s="28" t="s">
        <v>2012</v>
      </c>
      <c r="H752" s="22" t="s">
        <v>2549</v>
      </c>
      <c r="I752" s="22" t="s">
        <v>2550</v>
      </c>
      <c r="J752" s="22" t="s">
        <v>494</v>
      </c>
      <c r="K752" s="22" t="s">
        <v>924</v>
      </c>
      <c r="L752" s="22" t="s">
        <v>2531</v>
      </c>
      <c r="M752" s="22" t="s">
        <v>2532</v>
      </c>
      <c r="N752" s="28" t="s">
        <v>2494</v>
      </c>
      <c r="O752" s="28" t="s">
        <v>2016</v>
      </c>
      <c r="P752" s="29">
        <v>5875.152</v>
      </c>
      <c r="Q752" s="28" t="s">
        <v>1164</v>
      </c>
      <c r="R752" s="37">
        <v>21.176094039849001</v>
      </c>
      <c r="S752" s="34">
        <v>17835.599999999999</v>
      </c>
      <c r="T752" s="32">
        <v>277.44266666666698</v>
      </c>
      <c r="U752" s="32">
        <v>0</v>
      </c>
      <c r="V752" s="37">
        <v>21.176094039849001</v>
      </c>
      <c r="W752" s="36">
        <v>46108</v>
      </c>
      <c r="X752" s="36">
        <v>46108</v>
      </c>
    </row>
    <row r="753" spans="1:24" ht="15.75" thickBot="1" x14ac:dyDescent="0.3">
      <c r="A753" t="str">
        <f t="shared" si="11"/>
        <v>85033346</v>
      </c>
      <c r="B753" s="22" t="s">
        <v>480</v>
      </c>
      <c r="C753" s="22" t="s">
        <v>4257</v>
      </c>
      <c r="D753" s="22" t="s">
        <v>4258</v>
      </c>
      <c r="E753" s="22" t="s">
        <v>4259</v>
      </c>
      <c r="F753" s="22" t="s">
        <v>3663</v>
      </c>
      <c r="G753" s="28" t="s">
        <v>2012</v>
      </c>
      <c r="H753" s="22" t="s">
        <v>2027</v>
      </c>
      <c r="I753" s="21"/>
      <c r="J753" s="22" t="s">
        <v>404</v>
      </c>
      <c r="K753" s="22" t="s">
        <v>262</v>
      </c>
      <c r="L753" s="21"/>
      <c r="M753" s="22" t="s">
        <v>2014</v>
      </c>
      <c r="N753" s="28" t="s">
        <v>2015</v>
      </c>
      <c r="O753" s="28" t="s">
        <v>2016</v>
      </c>
      <c r="P753" s="29">
        <v>72</v>
      </c>
      <c r="Q753" s="28" t="s">
        <v>2017</v>
      </c>
      <c r="R753" s="37">
        <v>24.107142857142001</v>
      </c>
      <c r="S753" s="29">
        <v>192</v>
      </c>
      <c r="T753" s="32">
        <v>2.9866666666659998</v>
      </c>
      <c r="U753" s="32">
        <v>0</v>
      </c>
      <c r="V753" s="37">
        <v>24.107142857142001</v>
      </c>
      <c r="W753" s="36">
        <v>46111</v>
      </c>
      <c r="X753" s="36">
        <v>46111</v>
      </c>
    </row>
    <row r="754" spans="1:24" ht="15.75" thickBot="1" x14ac:dyDescent="0.3">
      <c r="A754" t="str">
        <f t="shared" si="11"/>
        <v>85058020</v>
      </c>
      <c r="B754" s="22" t="s">
        <v>420</v>
      </c>
      <c r="C754" s="22" t="s">
        <v>4260</v>
      </c>
      <c r="D754" s="22" t="s">
        <v>4261</v>
      </c>
      <c r="E754" s="22" t="s">
        <v>4262</v>
      </c>
      <c r="F754" s="22" t="s">
        <v>4263</v>
      </c>
      <c r="G754" s="28" t="s">
        <v>2012</v>
      </c>
      <c r="H754" s="22" t="s">
        <v>2027</v>
      </c>
      <c r="I754" s="21"/>
      <c r="J754" s="22" t="s">
        <v>404</v>
      </c>
      <c r="K754" s="22" t="s">
        <v>262</v>
      </c>
      <c r="L754" s="21"/>
      <c r="M754" s="22" t="s">
        <v>2014</v>
      </c>
      <c r="N754" s="28" t="s">
        <v>2015</v>
      </c>
      <c r="O754" s="28" t="s">
        <v>2016</v>
      </c>
      <c r="P754" s="29">
        <v>444</v>
      </c>
      <c r="Q754" s="28" t="s">
        <v>2017</v>
      </c>
      <c r="R754" s="37">
        <v>22.023809523809</v>
      </c>
      <c r="S754" s="29">
        <v>1296</v>
      </c>
      <c r="T754" s="32">
        <v>20.16</v>
      </c>
      <c r="U754" s="32">
        <v>0</v>
      </c>
      <c r="V754" s="37">
        <v>22.023809523809</v>
      </c>
      <c r="W754" s="36">
        <v>46109</v>
      </c>
      <c r="X754" s="36">
        <v>46111</v>
      </c>
    </row>
    <row r="755" spans="1:24" ht="15.75" thickBot="1" x14ac:dyDescent="0.3">
      <c r="A755" t="str">
        <f t="shared" si="11"/>
        <v>85154936</v>
      </c>
      <c r="B755" s="22" t="s">
        <v>694</v>
      </c>
      <c r="C755" s="22" t="s">
        <v>4264</v>
      </c>
      <c r="D755" s="22" t="s">
        <v>695</v>
      </c>
      <c r="E755" s="22" t="s">
        <v>3496</v>
      </c>
      <c r="F755" s="22" t="s">
        <v>4265</v>
      </c>
      <c r="G755" s="28" t="s">
        <v>2012</v>
      </c>
      <c r="H755" s="22" t="s">
        <v>4266</v>
      </c>
      <c r="I755" s="21"/>
      <c r="J755" s="22" t="s">
        <v>404</v>
      </c>
      <c r="K755" s="22" t="s">
        <v>262</v>
      </c>
      <c r="L755" s="21"/>
      <c r="M755" s="22" t="s">
        <v>2014</v>
      </c>
      <c r="N755" s="28" t="s">
        <v>2015</v>
      </c>
      <c r="O755" s="28" t="s">
        <v>2016</v>
      </c>
      <c r="P755" s="29">
        <v>663</v>
      </c>
      <c r="Q755" s="28" t="s">
        <v>2017</v>
      </c>
      <c r="R755" s="37">
        <v>23.214285714285001</v>
      </c>
      <c r="S755" s="29">
        <v>1836</v>
      </c>
      <c r="T755" s="32">
        <v>28.56</v>
      </c>
      <c r="U755" s="32">
        <v>0</v>
      </c>
      <c r="V755" s="37">
        <v>23.214285714285001</v>
      </c>
      <c r="W755" s="36">
        <v>46110</v>
      </c>
      <c r="X755" s="36">
        <v>46111</v>
      </c>
    </row>
    <row r="756" spans="1:24" ht="15.75" thickBot="1" x14ac:dyDescent="0.3">
      <c r="A756" t="str">
        <f t="shared" si="11"/>
        <v>85163268</v>
      </c>
      <c r="B756" s="22" t="s">
        <v>843</v>
      </c>
      <c r="C756" s="22" t="s">
        <v>4267</v>
      </c>
      <c r="D756" s="22" t="s">
        <v>4268</v>
      </c>
      <c r="E756" s="22" t="s">
        <v>3496</v>
      </c>
      <c r="F756" s="22" t="s">
        <v>3497</v>
      </c>
      <c r="G756" s="28" t="s">
        <v>2012</v>
      </c>
      <c r="H756" s="22" t="s">
        <v>2027</v>
      </c>
      <c r="I756" s="21"/>
      <c r="J756" s="22" t="s">
        <v>404</v>
      </c>
      <c r="K756" s="22" t="s">
        <v>262</v>
      </c>
      <c r="L756" s="21"/>
      <c r="M756" s="22" t="s">
        <v>2014</v>
      </c>
      <c r="N756" s="28" t="s">
        <v>2015</v>
      </c>
      <c r="O756" s="28" t="s">
        <v>2016</v>
      </c>
      <c r="P756" s="29">
        <v>902</v>
      </c>
      <c r="Q756" s="28" t="s">
        <v>2017</v>
      </c>
      <c r="R756" s="37">
        <v>24.160714285714</v>
      </c>
      <c r="S756" s="29">
        <v>2400</v>
      </c>
      <c r="T756" s="32">
        <v>37.333333333333002</v>
      </c>
      <c r="U756" s="32">
        <v>0</v>
      </c>
      <c r="V756" s="37">
        <v>24.160714285714</v>
      </c>
      <c r="W756" s="36">
        <v>46111</v>
      </c>
      <c r="X756" s="36">
        <v>46111</v>
      </c>
    </row>
    <row r="757" spans="1:24" ht="15.75" thickBot="1" x14ac:dyDescent="0.3">
      <c r="A757" t="str">
        <f t="shared" si="11"/>
        <v>85701330</v>
      </c>
      <c r="B757" s="22" t="s">
        <v>423</v>
      </c>
      <c r="C757" s="22" t="s">
        <v>2322</v>
      </c>
      <c r="D757" s="22" t="s">
        <v>424</v>
      </c>
      <c r="E757" s="22" t="s">
        <v>4269</v>
      </c>
      <c r="F757" s="22" t="s">
        <v>4270</v>
      </c>
      <c r="G757" s="28" t="s">
        <v>2012</v>
      </c>
      <c r="H757" s="22" t="s">
        <v>2027</v>
      </c>
      <c r="I757" s="21"/>
      <c r="J757" s="22" t="s">
        <v>404</v>
      </c>
      <c r="K757" s="22" t="s">
        <v>262</v>
      </c>
      <c r="L757" s="21"/>
      <c r="M757" s="22" t="s">
        <v>2014</v>
      </c>
      <c r="N757" s="28" t="s">
        <v>2015</v>
      </c>
      <c r="O757" s="28" t="s">
        <v>2016</v>
      </c>
      <c r="P757" s="29">
        <v>267</v>
      </c>
      <c r="Q757" s="28" t="s">
        <v>2017</v>
      </c>
      <c r="R757" s="37">
        <v>23.839285714285001</v>
      </c>
      <c r="S757" s="29">
        <v>720</v>
      </c>
      <c r="T757" s="32">
        <v>11.2</v>
      </c>
      <c r="U757" s="32">
        <v>0</v>
      </c>
      <c r="V757" s="37">
        <v>23.839285714285001</v>
      </c>
      <c r="W757" s="36">
        <v>46110</v>
      </c>
      <c r="X757" s="36">
        <v>46111</v>
      </c>
    </row>
    <row r="758" spans="1:24" ht="15.75" thickBot="1" x14ac:dyDescent="0.3">
      <c r="A758" t="str">
        <f t="shared" si="11"/>
        <v>DET21410A48A</v>
      </c>
      <c r="B758" s="22" t="s">
        <v>1096</v>
      </c>
      <c r="C758" s="22" t="s">
        <v>2876</v>
      </c>
      <c r="D758" s="22" t="s">
        <v>4100</v>
      </c>
      <c r="E758" s="22" t="s">
        <v>4271</v>
      </c>
      <c r="F758" s="22" t="s">
        <v>4272</v>
      </c>
      <c r="G758" s="28" t="s">
        <v>2012</v>
      </c>
      <c r="H758" s="22" t="s">
        <v>2080</v>
      </c>
      <c r="I758" s="21"/>
      <c r="J758" s="22" t="s">
        <v>494</v>
      </c>
      <c r="K758" s="22" t="s">
        <v>924</v>
      </c>
      <c r="L758" s="21"/>
      <c r="M758" s="22" t="s">
        <v>2034</v>
      </c>
      <c r="N758" s="28" t="s">
        <v>2015</v>
      </c>
      <c r="O758" s="28" t="s">
        <v>2016</v>
      </c>
      <c r="P758" s="29">
        <v>6606</v>
      </c>
      <c r="Q758" s="28" t="s">
        <v>2017</v>
      </c>
      <c r="R758" s="37">
        <v>24.253079872724999</v>
      </c>
      <c r="S758" s="29">
        <v>17510</v>
      </c>
      <c r="T758" s="32">
        <v>272.37777777777802</v>
      </c>
      <c r="U758" s="32">
        <v>0</v>
      </c>
      <c r="V758" s="37">
        <v>24.253079872724999</v>
      </c>
      <c r="W758" s="36">
        <v>46111</v>
      </c>
      <c r="X758" s="36">
        <v>46111</v>
      </c>
    </row>
    <row r="759" spans="1:24" ht="15.75" thickBot="1" x14ac:dyDescent="0.3">
      <c r="A759" t="str">
        <f t="shared" si="11"/>
        <v>DET26605A41A</v>
      </c>
      <c r="B759" s="22" t="s">
        <v>1432</v>
      </c>
      <c r="C759" s="22" t="s">
        <v>2161</v>
      </c>
      <c r="D759" s="22" t="s">
        <v>2756</v>
      </c>
      <c r="E759" s="22" t="s">
        <v>2589</v>
      </c>
      <c r="F759" s="22" t="s">
        <v>4273</v>
      </c>
      <c r="G759" s="28" t="s">
        <v>2012</v>
      </c>
      <c r="H759" s="22" t="s">
        <v>2080</v>
      </c>
      <c r="I759" s="21"/>
      <c r="J759" s="22" t="s">
        <v>494</v>
      </c>
      <c r="K759" s="22" t="s">
        <v>924</v>
      </c>
      <c r="L759" s="21"/>
      <c r="M759" s="22" t="s">
        <v>2034</v>
      </c>
      <c r="N759" s="28" t="s">
        <v>2015</v>
      </c>
      <c r="O759" s="28" t="s">
        <v>2016</v>
      </c>
      <c r="P759" s="29">
        <v>6233</v>
      </c>
      <c r="Q759" s="28" t="s">
        <v>2017</v>
      </c>
      <c r="R759" s="37">
        <v>24.586909071783001</v>
      </c>
      <c r="S759" s="29">
        <v>16297</v>
      </c>
      <c r="T759" s="32">
        <v>253.508888888889</v>
      </c>
      <c r="U759" s="32">
        <v>0</v>
      </c>
      <c r="V759" s="37">
        <v>24.586909071783001</v>
      </c>
      <c r="W759" s="36">
        <v>46111</v>
      </c>
      <c r="X759" s="36">
        <v>46111</v>
      </c>
    </row>
    <row r="760" spans="1:24" ht="15.75" thickBot="1" x14ac:dyDescent="0.3">
      <c r="A760" t="str">
        <f t="shared" si="11"/>
        <v>DET5F147OS</v>
      </c>
      <c r="B760" s="22" t="s">
        <v>1447</v>
      </c>
      <c r="C760" s="21"/>
      <c r="D760" s="22" t="s">
        <v>2788</v>
      </c>
      <c r="E760" s="22" t="s">
        <v>4274</v>
      </c>
      <c r="F760" s="22" t="s">
        <v>4275</v>
      </c>
      <c r="G760" s="28" t="s">
        <v>2012</v>
      </c>
      <c r="H760" s="22" t="s">
        <v>2013</v>
      </c>
      <c r="I760" s="21"/>
      <c r="J760" s="22" t="s">
        <v>364</v>
      </c>
      <c r="K760" s="22" t="s">
        <v>924</v>
      </c>
      <c r="L760" s="21"/>
      <c r="M760" s="22" t="s">
        <v>2034</v>
      </c>
      <c r="N760" s="28" t="s">
        <v>2015</v>
      </c>
      <c r="O760" s="28" t="s">
        <v>2016</v>
      </c>
      <c r="P760" s="29">
        <v>13691</v>
      </c>
      <c r="Q760" s="28" t="s">
        <v>2017</v>
      </c>
      <c r="R760" s="37">
        <v>22.567582417581999</v>
      </c>
      <c r="S760" s="29">
        <v>39000</v>
      </c>
      <c r="T760" s="32">
        <v>606.66666666666697</v>
      </c>
      <c r="U760" s="32">
        <v>0</v>
      </c>
      <c r="V760" s="37">
        <v>22.567582417581999</v>
      </c>
      <c r="W760" s="36">
        <v>46109</v>
      </c>
      <c r="X760" s="36">
        <v>46111</v>
      </c>
    </row>
    <row r="761" spans="1:24" ht="15.75" thickBot="1" x14ac:dyDescent="0.3">
      <c r="A761" t="str">
        <f t="shared" si="11"/>
        <v>DET68645025AA</v>
      </c>
      <c r="B761" s="22" t="s">
        <v>1463</v>
      </c>
      <c r="C761" s="22" t="s">
        <v>4276</v>
      </c>
      <c r="D761" s="22" t="s">
        <v>4277</v>
      </c>
      <c r="E761" s="21"/>
      <c r="F761" s="22" t="s">
        <v>4278</v>
      </c>
      <c r="G761" s="28" t="s">
        <v>2012</v>
      </c>
      <c r="H761" s="22" t="s">
        <v>4279</v>
      </c>
      <c r="I761" s="21"/>
      <c r="J761" s="22" t="s">
        <v>1164</v>
      </c>
      <c r="K761" s="22" t="s">
        <v>924</v>
      </c>
      <c r="L761" s="21"/>
      <c r="M761" s="22" t="s">
        <v>2034</v>
      </c>
      <c r="N761" s="28" t="s">
        <v>2015</v>
      </c>
      <c r="O761" s="28" t="s">
        <v>2016</v>
      </c>
      <c r="P761" s="29">
        <v>8573</v>
      </c>
      <c r="Q761" s="28" t="s">
        <v>2017</v>
      </c>
      <c r="R761" s="37">
        <v>24.797364615136999</v>
      </c>
      <c r="S761" s="29">
        <v>22225</v>
      </c>
      <c r="T761" s="32">
        <v>345.722222222222</v>
      </c>
      <c r="U761" s="32">
        <v>0</v>
      </c>
      <c r="V761" s="37">
        <v>24.797364615136999</v>
      </c>
      <c r="W761" s="36">
        <v>46111</v>
      </c>
      <c r="X761" s="36">
        <v>46111</v>
      </c>
    </row>
    <row r="762" spans="1:24" ht="15.75" thickBot="1" x14ac:dyDescent="0.3">
      <c r="A762" t="str">
        <f t="shared" si="11"/>
        <v>DETBR5B018OS</v>
      </c>
      <c r="B762" s="22" t="s">
        <v>1225</v>
      </c>
      <c r="C762" s="21"/>
      <c r="D762" s="22" t="s">
        <v>4280</v>
      </c>
      <c r="E762" s="22" t="s">
        <v>4274</v>
      </c>
      <c r="F762" s="22" t="s">
        <v>4281</v>
      </c>
      <c r="G762" s="28" t="s">
        <v>2012</v>
      </c>
      <c r="H762" s="22" t="s">
        <v>2013</v>
      </c>
      <c r="I762" s="21"/>
      <c r="J762" s="22" t="s">
        <v>364</v>
      </c>
      <c r="K762" s="22" t="s">
        <v>924</v>
      </c>
      <c r="L762" s="21"/>
      <c r="M762" s="22" t="s">
        <v>2034</v>
      </c>
      <c r="N762" s="28" t="s">
        <v>2015</v>
      </c>
      <c r="O762" s="28" t="s">
        <v>2016</v>
      </c>
      <c r="P762" s="29">
        <v>7639</v>
      </c>
      <c r="Q762" s="28" t="s">
        <v>2017</v>
      </c>
      <c r="R762" s="37">
        <v>22.567949054621</v>
      </c>
      <c r="S762" s="29">
        <v>21760</v>
      </c>
      <c r="T762" s="32">
        <v>338.48888888888899</v>
      </c>
      <c r="U762" s="32">
        <v>0</v>
      </c>
      <c r="V762" s="37">
        <v>22.567949054621</v>
      </c>
      <c r="W762" s="36">
        <v>46109</v>
      </c>
      <c r="X762" s="36">
        <v>46111</v>
      </c>
    </row>
    <row r="763" spans="1:24" ht="15.75" thickBot="1" x14ac:dyDescent="0.3">
      <c r="A763" t="str">
        <f t="shared" si="11"/>
        <v>DETE279D58AA</v>
      </c>
      <c r="B763" s="22" t="s">
        <v>1278</v>
      </c>
      <c r="C763" s="22" t="s">
        <v>3172</v>
      </c>
      <c r="D763" s="22" t="s">
        <v>4282</v>
      </c>
      <c r="E763" s="22" t="s">
        <v>4283</v>
      </c>
      <c r="F763" s="22" t="s">
        <v>4284</v>
      </c>
      <c r="G763" s="28" t="s">
        <v>2012</v>
      </c>
      <c r="H763" s="22" t="s">
        <v>2055</v>
      </c>
      <c r="I763" s="21"/>
      <c r="J763" s="22" t="s">
        <v>261</v>
      </c>
      <c r="K763" s="22" t="s">
        <v>924</v>
      </c>
      <c r="L763" s="21"/>
      <c r="M763" s="22" t="s">
        <v>2034</v>
      </c>
      <c r="N763" s="28" t="s">
        <v>2015</v>
      </c>
      <c r="O763" s="28" t="s">
        <v>2016</v>
      </c>
      <c r="P763" s="29">
        <v>6210</v>
      </c>
      <c r="Q763" s="28" t="s">
        <v>2017</v>
      </c>
      <c r="R763" s="37">
        <v>23.109365309074999</v>
      </c>
      <c r="S763" s="29">
        <v>17275</v>
      </c>
      <c r="T763" s="32">
        <v>268.722222222222</v>
      </c>
      <c r="U763" s="32">
        <v>0</v>
      </c>
      <c r="V763" s="37">
        <v>23.109365309074999</v>
      </c>
      <c r="W763" s="36">
        <v>46110</v>
      </c>
      <c r="X763" s="36">
        <v>46111</v>
      </c>
    </row>
    <row r="764" spans="1:24" ht="15.75" thickBot="1" x14ac:dyDescent="0.3">
      <c r="A764" t="str">
        <f t="shared" si="11"/>
        <v>DETE279D59AA</v>
      </c>
      <c r="B764" s="22" t="s">
        <v>1280</v>
      </c>
      <c r="C764" s="22" t="s">
        <v>2993</v>
      </c>
      <c r="D764" s="22" t="s">
        <v>4282</v>
      </c>
      <c r="E764" s="22" t="s">
        <v>4285</v>
      </c>
      <c r="F764" s="22" t="s">
        <v>4286</v>
      </c>
      <c r="G764" s="28" t="s">
        <v>2012</v>
      </c>
      <c r="H764" s="22" t="s">
        <v>2055</v>
      </c>
      <c r="I764" s="21"/>
      <c r="J764" s="22" t="s">
        <v>261</v>
      </c>
      <c r="K764" s="22" t="s">
        <v>924</v>
      </c>
      <c r="L764" s="21"/>
      <c r="M764" s="22" t="s">
        <v>2034</v>
      </c>
      <c r="N764" s="28" t="s">
        <v>2015</v>
      </c>
      <c r="O764" s="28" t="s">
        <v>2016</v>
      </c>
      <c r="P764" s="29">
        <v>6043</v>
      </c>
      <c r="Q764" s="28" t="s">
        <v>2017</v>
      </c>
      <c r="R764" s="37">
        <v>23.209378147243999</v>
      </c>
      <c r="S764" s="29">
        <v>16738</v>
      </c>
      <c r="T764" s="32">
        <v>260.36888888888899</v>
      </c>
      <c r="U764" s="32">
        <v>0</v>
      </c>
      <c r="V764" s="37">
        <v>23.209378147243999</v>
      </c>
      <c r="W764" s="36">
        <v>46110</v>
      </c>
      <c r="X764" s="36">
        <v>46111</v>
      </c>
    </row>
    <row r="765" spans="1:24" ht="15.75" thickBot="1" x14ac:dyDescent="0.3">
      <c r="A765" t="str">
        <f t="shared" si="11"/>
        <v>DETE279E13A</v>
      </c>
      <c r="B765" s="22" t="s">
        <v>1557</v>
      </c>
      <c r="C765" s="22" t="s">
        <v>4287</v>
      </c>
      <c r="D765" s="22" t="s">
        <v>1558</v>
      </c>
      <c r="E765" s="21"/>
      <c r="F765" s="22" t="s">
        <v>4288</v>
      </c>
      <c r="G765" s="28" t="s">
        <v>2012</v>
      </c>
      <c r="H765" s="22" t="s">
        <v>2080</v>
      </c>
      <c r="I765" s="21"/>
      <c r="J765" s="22" t="s">
        <v>261</v>
      </c>
      <c r="K765" s="22" t="s">
        <v>924</v>
      </c>
      <c r="L765" s="21"/>
      <c r="M765" s="22" t="s">
        <v>2034</v>
      </c>
      <c r="N765" s="28" t="s">
        <v>2015</v>
      </c>
      <c r="O765" s="28" t="s">
        <v>2016</v>
      </c>
      <c r="P765" s="29">
        <v>6900</v>
      </c>
      <c r="Q765" s="28" t="s">
        <v>2017</v>
      </c>
      <c r="R765" s="37">
        <v>23.342179054435</v>
      </c>
      <c r="S765" s="29">
        <v>19003</v>
      </c>
      <c r="T765" s="32">
        <v>295.602222222222</v>
      </c>
      <c r="U765" s="32">
        <v>0</v>
      </c>
      <c r="V765" s="37">
        <v>23.342179054435</v>
      </c>
      <c r="W765" s="36">
        <v>46110</v>
      </c>
      <c r="X765" s="36">
        <v>46111</v>
      </c>
    </row>
    <row r="766" spans="1:24" ht="15.75" thickBot="1" x14ac:dyDescent="0.3">
      <c r="A766" t="str">
        <f t="shared" si="11"/>
        <v>DETE41022B</v>
      </c>
      <c r="B766" s="22" t="s">
        <v>1287</v>
      </c>
      <c r="C766" s="22" t="s">
        <v>2185</v>
      </c>
      <c r="D766" s="22" t="s">
        <v>3442</v>
      </c>
      <c r="E766" s="22" t="s">
        <v>4289</v>
      </c>
      <c r="F766" s="22" t="s">
        <v>4290</v>
      </c>
      <c r="G766" s="28" t="s">
        <v>2012</v>
      </c>
      <c r="H766" s="22" t="s">
        <v>2080</v>
      </c>
      <c r="I766" s="21"/>
      <c r="J766" s="22" t="s">
        <v>261</v>
      </c>
      <c r="K766" s="22" t="s">
        <v>924</v>
      </c>
      <c r="L766" s="21"/>
      <c r="M766" s="22" t="s">
        <v>2034</v>
      </c>
      <c r="N766" s="28" t="s">
        <v>2015</v>
      </c>
      <c r="O766" s="28" t="s">
        <v>2016</v>
      </c>
      <c r="P766" s="29">
        <v>6926</v>
      </c>
      <c r="Q766" s="28" t="s">
        <v>2017</v>
      </c>
      <c r="R766" s="37">
        <v>24.119331372851999</v>
      </c>
      <c r="S766" s="29">
        <v>18460</v>
      </c>
      <c r="T766" s="32">
        <v>287.15555555555602</v>
      </c>
      <c r="U766" s="32">
        <v>0</v>
      </c>
      <c r="V766" s="37">
        <v>24.119331372851999</v>
      </c>
      <c r="W766" s="36">
        <v>46111</v>
      </c>
      <c r="X766" s="36">
        <v>46111</v>
      </c>
    </row>
    <row r="767" spans="1:24" ht="15.75" thickBot="1" x14ac:dyDescent="0.3">
      <c r="A767" t="str">
        <f t="shared" si="11"/>
        <v>DETE41023B</v>
      </c>
      <c r="B767" s="22" t="s">
        <v>1289</v>
      </c>
      <c r="C767" s="22" t="s">
        <v>2073</v>
      </c>
      <c r="D767" s="22" t="s">
        <v>3035</v>
      </c>
      <c r="E767" s="22" t="s">
        <v>4291</v>
      </c>
      <c r="F767" s="22" t="s">
        <v>4292</v>
      </c>
      <c r="G767" s="28" t="s">
        <v>2012</v>
      </c>
      <c r="H767" s="22" t="s">
        <v>2080</v>
      </c>
      <c r="I767" s="21"/>
      <c r="J767" s="22" t="s">
        <v>261</v>
      </c>
      <c r="K767" s="22" t="s">
        <v>924</v>
      </c>
      <c r="L767" s="21"/>
      <c r="M767" s="22" t="s">
        <v>2034</v>
      </c>
      <c r="N767" s="28" t="s">
        <v>2015</v>
      </c>
      <c r="O767" s="28" t="s">
        <v>2016</v>
      </c>
      <c r="P767" s="29">
        <v>6364</v>
      </c>
      <c r="Q767" s="28" t="s">
        <v>2017</v>
      </c>
      <c r="R767" s="37">
        <v>23.559705483114001</v>
      </c>
      <c r="S767" s="29">
        <v>17365</v>
      </c>
      <c r="T767" s="32">
        <v>270.12222222222198</v>
      </c>
      <c r="U767" s="32">
        <v>0</v>
      </c>
      <c r="V767" s="37">
        <v>23.559705483114001</v>
      </c>
      <c r="W767" s="36">
        <v>46110</v>
      </c>
      <c r="X767" s="36">
        <v>46111</v>
      </c>
    </row>
    <row r="768" spans="1:24" ht="15.75" thickBot="1" x14ac:dyDescent="0.3">
      <c r="A768" t="str">
        <f t="shared" si="11"/>
        <v>KB3B 2150840 AC</v>
      </c>
      <c r="B768" s="22" t="s">
        <v>1165</v>
      </c>
      <c r="C768" s="22" t="s">
        <v>4293</v>
      </c>
      <c r="D768" s="22" t="s">
        <v>4294</v>
      </c>
      <c r="E768" s="21"/>
      <c r="F768" s="22" t="s">
        <v>2030</v>
      </c>
      <c r="G768" s="28" t="s">
        <v>2012</v>
      </c>
      <c r="H768" s="22" t="s">
        <v>2080</v>
      </c>
      <c r="I768" s="21"/>
      <c r="J768" s="22" t="s">
        <v>494</v>
      </c>
      <c r="K768" s="22" t="s">
        <v>924</v>
      </c>
      <c r="L768" s="21"/>
      <c r="M768" s="22" t="s">
        <v>2014</v>
      </c>
      <c r="N768" s="28" t="s">
        <v>2015</v>
      </c>
      <c r="O768" s="28" t="s">
        <v>2016</v>
      </c>
      <c r="P768" s="29">
        <v>5340</v>
      </c>
      <c r="Q768" s="28" t="s">
        <v>2017</v>
      </c>
      <c r="R768" s="37">
        <v>22.836995362273999</v>
      </c>
      <c r="S768" s="29">
        <v>15032</v>
      </c>
      <c r="T768" s="32">
        <v>233.831111111111</v>
      </c>
      <c r="U768" s="32">
        <v>0</v>
      </c>
      <c r="V768" s="37">
        <v>22.836995362273999</v>
      </c>
      <c r="W768" s="36">
        <v>46109</v>
      </c>
      <c r="X768" s="36">
        <v>46111</v>
      </c>
    </row>
    <row r="769" spans="1:24" ht="15.75" thickBot="1" x14ac:dyDescent="0.3">
      <c r="A769" t="str">
        <f t="shared" si="11"/>
        <v>M2DB X27831 AB</v>
      </c>
      <c r="B769" s="22" t="s">
        <v>1863</v>
      </c>
      <c r="C769" s="22" t="s">
        <v>2199</v>
      </c>
      <c r="D769" s="22" t="s">
        <v>4295</v>
      </c>
      <c r="E769" s="21"/>
      <c r="F769" s="22" t="s">
        <v>4296</v>
      </c>
      <c r="G769" s="28" t="s">
        <v>2012</v>
      </c>
      <c r="H769" s="22" t="s">
        <v>2080</v>
      </c>
      <c r="I769" s="21"/>
      <c r="J769" s="22" t="s">
        <v>364</v>
      </c>
      <c r="K769" s="22" t="s">
        <v>924</v>
      </c>
      <c r="L769" s="21"/>
      <c r="M769" s="22" t="s">
        <v>2014</v>
      </c>
      <c r="N769" s="28" t="s">
        <v>2015</v>
      </c>
      <c r="O769" s="28" t="s">
        <v>2016</v>
      </c>
      <c r="P769" s="29">
        <v>569</v>
      </c>
      <c r="Q769" s="28" t="s">
        <v>2017</v>
      </c>
      <c r="R769" s="37">
        <v>24.483648881238999</v>
      </c>
      <c r="S769" s="29">
        <v>1494</v>
      </c>
      <c r="T769" s="32">
        <v>23.24</v>
      </c>
      <c r="U769" s="32">
        <v>0</v>
      </c>
      <c r="V769" s="37">
        <v>24.483648881238999</v>
      </c>
      <c r="W769" s="36">
        <v>46111</v>
      </c>
      <c r="X769" s="36">
        <v>46111</v>
      </c>
    </row>
    <row r="770" spans="1:24" ht="15.75" thickBot="1" x14ac:dyDescent="0.3">
      <c r="A770" t="str">
        <f t="shared" si="11"/>
        <v>PC00427B</v>
      </c>
      <c r="B770" s="22" t="s">
        <v>1615</v>
      </c>
      <c r="C770" s="22" t="s">
        <v>4297</v>
      </c>
      <c r="D770" s="22" t="s">
        <v>4298</v>
      </c>
      <c r="E770" s="22" t="s">
        <v>4299</v>
      </c>
      <c r="F770" s="22" t="s">
        <v>2139</v>
      </c>
      <c r="G770" s="28" t="s">
        <v>2012</v>
      </c>
      <c r="H770" s="22" t="s">
        <v>2022</v>
      </c>
      <c r="I770" s="21"/>
      <c r="J770" s="22" t="s">
        <v>1117</v>
      </c>
      <c r="K770" s="22" t="s">
        <v>924</v>
      </c>
      <c r="L770" s="21"/>
      <c r="M770" s="22" t="s">
        <v>2014</v>
      </c>
      <c r="N770" s="28" t="s">
        <v>2015</v>
      </c>
      <c r="O770" s="28" t="s">
        <v>2016</v>
      </c>
      <c r="P770" s="29">
        <v>12613</v>
      </c>
      <c r="Q770" s="28" t="s">
        <v>2017</v>
      </c>
      <c r="R770" s="37">
        <v>23.57080564784</v>
      </c>
      <c r="S770" s="29">
        <v>34400</v>
      </c>
      <c r="T770" s="32">
        <v>535.11111111111097</v>
      </c>
      <c r="U770" s="32">
        <v>0</v>
      </c>
      <c r="V770" s="37">
        <v>23.57080564784</v>
      </c>
      <c r="W770" s="36">
        <v>46110</v>
      </c>
      <c r="X770" s="36">
        <v>46111</v>
      </c>
    </row>
    <row r="771" spans="1:24" ht="15.75" thickBot="1" x14ac:dyDescent="0.3">
      <c r="A771" t="str">
        <f t="shared" si="11"/>
        <v>PC24960A</v>
      </c>
      <c r="B771" s="22" t="s">
        <v>1171</v>
      </c>
      <c r="C771" s="22" t="s">
        <v>4300</v>
      </c>
      <c r="D771" s="22" t="s">
        <v>4110</v>
      </c>
      <c r="E771" s="22" t="s">
        <v>4301</v>
      </c>
      <c r="F771" s="22" t="s">
        <v>4302</v>
      </c>
      <c r="G771" s="28" t="s">
        <v>2012</v>
      </c>
      <c r="H771" s="22" t="s">
        <v>2022</v>
      </c>
      <c r="I771" s="21"/>
      <c r="J771" s="22" t="s">
        <v>1117</v>
      </c>
      <c r="K771" s="22" t="s">
        <v>924</v>
      </c>
      <c r="L771" s="21"/>
      <c r="M771" s="22" t="s">
        <v>2014</v>
      </c>
      <c r="N771" s="28" t="s">
        <v>2015</v>
      </c>
      <c r="O771" s="28" t="s">
        <v>2016</v>
      </c>
      <c r="P771" s="29">
        <v>12419</v>
      </c>
      <c r="Q771" s="28" t="s">
        <v>2017</v>
      </c>
      <c r="R771" s="37">
        <v>23.481302521008001</v>
      </c>
      <c r="S771" s="29">
        <v>34000</v>
      </c>
      <c r="T771" s="32">
        <v>528.88888888888903</v>
      </c>
      <c r="U771" s="32">
        <v>0</v>
      </c>
      <c r="V771" s="37">
        <v>23.481302521008001</v>
      </c>
      <c r="W771" s="36">
        <v>46110</v>
      </c>
      <c r="X771" s="36">
        <v>46111</v>
      </c>
    </row>
    <row r="772" spans="1:24" ht="15.75" thickBot="1" x14ac:dyDescent="0.3">
      <c r="A772" t="str">
        <f t="shared" si="11"/>
        <v>PC26550A</v>
      </c>
      <c r="B772" s="22" t="s">
        <v>1174</v>
      </c>
      <c r="C772" s="22" t="s">
        <v>4303</v>
      </c>
      <c r="D772" s="22" t="s">
        <v>3293</v>
      </c>
      <c r="E772" s="22" t="s">
        <v>4304</v>
      </c>
      <c r="F772" s="22" t="s">
        <v>4305</v>
      </c>
      <c r="G772" s="28" t="s">
        <v>2012</v>
      </c>
      <c r="H772" s="22" t="s">
        <v>2022</v>
      </c>
      <c r="I772" s="21"/>
      <c r="J772" s="22" t="s">
        <v>1117</v>
      </c>
      <c r="K772" s="22" t="s">
        <v>924</v>
      </c>
      <c r="L772" s="21"/>
      <c r="M772" s="22" t="s">
        <v>2014</v>
      </c>
      <c r="N772" s="28" t="s">
        <v>2015</v>
      </c>
      <c r="O772" s="28" t="s">
        <v>2016</v>
      </c>
      <c r="P772" s="29">
        <v>11688</v>
      </c>
      <c r="Q772" s="28" t="s">
        <v>2017</v>
      </c>
      <c r="R772" s="37">
        <v>22.362244897958998</v>
      </c>
      <c r="S772" s="29">
        <v>33600</v>
      </c>
      <c r="T772" s="32">
        <v>522.66666666666697</v>
      </c>
      <c r="U772" s="32">
        <v>0</v>
      </c>
      <c r="V772" s="37">
        <v>22.362244897958998</v>
      </c>
      <c r="W772" s="36">
        <v>46109</v>
      </c>
      <c r="X772" s="36">
        <v>46111</v>
      </c>
    </row>
    <row r="773" spans="1:24" ht="15.75" thickBot="1" x14ac:dyDescent="0.3">
      <c r="A773" t="str">
        <f t="shared" ref="A773:A836" si="12">TRIM(B773)</f>
        <v>PCP15K859MAW</v>
      </c>
      <c r="B773" s="22" t="s">
        <v>4306</v>
      </c>
      <c r="C773" s="22" t="s">
        <v>4307</v>
      </c>
      <c r="D773" s="22" t="s">
        <v>4308</v>
      </c>
      <c r="E773" s="21"/>
      <c r="F773" s="22" t="s">
        <v>2030</v>
      </c>
      <c r="G773" s="28" t="s">
        <v>2012</v>
      </c>
      <c r="H773" s="22" t="s">
        <v>4309</v>
      </c>
      <c r="I773" s="22" t="s">
        <v>4310</v>
      </c>
      <c r="J773" s="22" t="s">
        <v>364</v>
      </c>
      <c r="K773" s="22" t="s">
        <v>262</v>
      </c>
      <c r="L773" s="22" t="s">
        <v>4311</v>
      </c>
      <c r="M773" s="22" t="s">
        <v>2830</v>
      </c>
      <c r="N773" s="28" t="s">
        <v>2494</v>
      </c>
      <c r="O773" s="28" t="s">
        <v>2016</v>
      </c>
      <c r="P773" s="29">
        <v>3728</v>
      </c>
      <c r="Q773" s="28" t="s">
        <v>2017</v>
      </c>
      <c r="R773" s="37">
        <v>23.315219657276</v>
      </c>
      <c r="S773" s="29">
        <v>10279</v>
      </c>
      <c r="T773" s="32">
        <v>159.895555555556</v>
      </c>
      <c r="U773" s="32">
        <v>0</v>
      </c>
      <c r="V773" s="37">
        <v>23.315219657276</v>
      </c>
      <c r="W773" s="36">
        <v>46110</v>
      </c>
      <c r="X773" s="36">
        <v>46111</v>
      </c>
    </row>
    <row r="774" spans="1:24" ht="15.75" thickBot="1" x14ac:dyDescent="0.3">
      <c r="A774" t="str">
        <f t="shared" si="12"/>
        <v>PCP2631007APIA03</v>
      </c>
      <c r="B774" s="22" t="s">
        <v>4312</v>
      </c>
      <c r="C774" s="22" t="s">
        <v>4313</v>
      </c>
      <c r="D774" s="22" t="s">
        <v>4314</v>
      </c>
      <c r="E774" s="21"/>
      <c r="F774" s="22" t="s">
        <v>2030</v>
      </c>
      <c r="G774" s="28" t="s">
        <v>2012</v>
      </c>
      <c r="H774" s="22" t="s">
        <v>3856</v>
      </c>
      <c r="I774" s="22" t="s">
        <v>3857</v>
      </c>
      <c r="J774" s="22" t="s">
        <v>261</v>
      </c>
      <c r="K774" s="22" t="s">
        <v>262</v>
      </c>
      <c r="L774" s="22" t="s">
        <v>3858</v>
      </c>
      <c r="M774" s="22" t="s">
        <v>2130</v>
      </c>
      <c r="N774" s="28" t="s">
        <v>2494</v>
      </c>
      <c r="O774" s="28" t="s">
        <v>2016</v>
      </c>
      <c r="P774" s="29">
        <v>6596</v>
      </c>
      <c r="Q774" s="28" t="s">
        <v>2017</v>
      </c>
      <c r="R774" s="37">
        <v>24.244057828963001</v>
      </c>
      <c r="S774" s="29">
        <v>17490</v>
      </c>
      <c r="T774" s="32">
        <v>272.066666666667</v>
      </c>
      <c r="U774" s="32">
        <v>0</v>
      </c>
      <c r="V774" s="37">
        <v>24.244057828963001</v>
      </c>
      <c r="W774" s="36">
        <v>46111</v>
      </c>
      <c r="X774" s="36">
        <v>46111</v>
      </c>
    </row>
    <row r="775" spans="1:24" ht="15.75" thickBot="1" x14ac:dyDescent="0.3">
      <c r="A775" t="str">
        <f t="shared" si="12"/>
        <v>PCP8476AB</v>
      </c>
      <c r="B775" s="22" t="s">
        <v>4315</v>
      </c>
      <c r="C775" s="22" t="s">
        <v>4316</v>
      </c>
      <c r="D775" s="22" t="s">
        <v>4317</v>
      </c>
      <c r="E775" s="21"/>
      <c r="F775" s="22" t="s">
        <v>2030</v>
      </c>
      <c r="G775" s="28" t="s">
        <v>2012</v>
      </c>
      <c r="H775" s="22" t="s">
        <v>4318</v>
      </c>
      <c r="I775" s="22" t="s">
        <v>4319</v>
      </c>
      <c r="J775" s="22" t="s">
        <v>364</v>
      </c>
      <c r="K775" s="22" t="s">
        <v>262</v>
      </c>
      <c r="L775" s="22" t="s">
        <v>4231</v>
      </c>
      <c r="M775" s="22" t="s">
        <v>2830</v>
      </c>
      <c r="N775" s="28" t="s">
        <v>2494</v>
      </c>
      <c r="O775" s="28" t="s">
        <v>2016</v>
      </c>
      <c r="P775" s="29">
        <v>16156</v>
      </c>
      <c r="Q775" s="28" t="s">
        <v>2017</v>
      </c>
      <c r="R775" s="37">
        <v>22.974826350484001</v>
      </c>
      <c r="S775" s="29">
        <v>45206</v>
      </c>
      <c r="T775" s="32">
        <v>703.20444444444399</v>
      </c>
      <c r="U775" s="32">
        <v>0</v>
      </c>
      <c r="V775" s="37">
        <v>22.974826350484001</v>
      </c>
      <c r="W775" s="36">
        <v>46109</v>
      </c>
      <c r="X775" s="36">
        <v>46111</v>
      </c>
    </row>
    <row r="776" spans="1:24" ht="15.75" thickBot="1" x14ac:dyDescent="0.3">
      <c r="A776" t="str">
        <f t="shared" si="12"/>
        <v>PCPDT68434541AA</v>
      </c>
      <c r="B776" s="22" t="s">
        <v>4320</v>
      </c>
      <c r="C776" s="22" t="s">
        <v>4321</v>
      </c>
      <c r="D776" s="22" t="s">
        <v>4322</v>
      </c>
      <c r="E776" s="22" t="s">
        <v>4323</v>
      </c>
      <c r="F776" s="22" t="s">
        <v>2030</v>
      </c>
      <c r="G776" s="28" t="s">
        <v>2012</v>
      </c>
      <c r="H776" s="22" t="s">
        <v>3351</v>
      </c>
      <c r="I776" s="22" t="s">
        <v>3352</v>
      </c>
      <c r="J776" s="22" t="s">
        <v>698</v>
      </c>
      <c r="K776" s="22" t="s">
        <v>262</v>
      </c>
      <c r="L776" s="22" t="s">
        <v>4324</v>
      </c>
      <c r="M776" s="22" t="s">
        <v>2130</v>
      </c>
      <c r="N776" s="28" t="s">
        <v>2494</v>
      </c>
      <c r="O776" s="28" t="s">
        <v>2016</v>
      </c>
      <c r="P776" s="29">
        <v>509888</v>
      </c>
      <c r="Q776" s="28" t="s">
        <v>2017</v>
      </c>
      <c r="R776" s="37">
        <v>23.551031669392</v>
      </c>
      <c r="S776" s="29">
        <v>1391808</v>
      </c>
      <c r="T776" s="32">
        <v>21650.346666666701</v>
      </c>
      <c r="U776" s="32">
        <v>0</v>
      </c>
      <c r="V776" s="37">
        <v>23.551031669392</v>
      </c>
      <c r="W776" s="36">
        <v>46110</v>
      </c>
      <c r="X776" s="36">
        <v>46111</v>
      </c>
    </row>
    <row r="777" spans="1:24" ht="15.75" thickBot="1" x14ac:dyDescent="0.3">
      <c r="A777" t="str">
        <f t="shared" si="12"/>
        <v>PCPE237W29APIA70</v>
      </c>
      <c r="B777" s="22" t="s">
        <v>4325</v>
      </c>
      <c r="C777" s="21"/>
      <c r="D777" s="22" t="s">
        <v>4326</v>
      </c>
      <c r="E777" s="22" t="s">
        <v>3864</v>
      </c>
      <c r="F777" s="22" t="s">
        <v>4327</v>
      </c>
      <c r="G777" s="28" t="s">
        <v>2012</v>
      </c>
      <c r="H777" s="22" t="s">
        <v>3866</v>
      </c>
      <c r="I777" s="22" t="s">
        <v>3867</v>
      </c>
      <c r="J777" s="22" t="s">
        <v>261</v>
      </c>
      <c r="K777" s="22" t="s">
        <v>262</v>
      </c>
      <c r="L777" s="22" t="s">
        <v>3868</v>
      </c>
      <c r="M777" s="22" t="s">
        <v>2130</v>
      </c>
      <c r="N777" s="28" t="s">
        <v>2494</v>
      </c>
      <c r="O777" s="28" t="s">
        <v>2016</v>
      </c>
      <c r="P777" s="29">
        <v>894</v>
      </c>
      <c r="Q777" s="28" t="s">
        <v>2017</v>
      </c>
      <c r="R777" s="37">
        <v>22.249875559980001</v>
      </c>
      <c r="S777" s="29">
        <v>2583</v>
      </c>
      <c r="T777" s="32">
        <v>40.18</v>
      </c>
      <c r="U777" s="32">
        <v>0</v>
      </c>
      <c r="V777" s="37">
        <v>22.249875559980001</v>
      </c>
      <c r="W777" s="36">
        <v>46109</v>
      </c>
      <c r="X777" s="36">
        <v>46111</v>
      </c>
    </row>
    <row r="778" spans="1:24" ht="15.75" thickBot="1" x14ac:dyDescent="0.3">
      <c r="A778" t="str">
        <f t="shared" si="12"/>
        <v>PCPE23901TOP03.H</v>
      </c>
      <c r="B778" s="22" t="s">
        <v>4328</v>
      </c>
      <c r="C778" s="21"/>
      <c r="D778" s="22" t="s">
        <v>4329</v>
      </c>
      <c r="E778" s="21"/>
      <c r="F778" s="22" t="s">
        <v>2030</v>
      </c>
      <c r="G778" s="28" t="s">
        <v>2012</v>
      </c>
      <c r="H778" s="22" t="s">
        <v>3459</v>
      </c>
      <c r="I778" s="22" t="s">
        <v>3460</v>
      </c>
      <c r="J778" s="22" t="s">
        <v>261</v>
      </c>
      <c r="K778" s="22" t="s">
        <v>262</v>
      </c>
      <c r="L778" s="22" t="s">
        <v>3318</v>
      </c>
      <c r="M778" s="22" t="s">
        <v>2130</v>
      </c>
      <c r="N778" s="28" t="s">
        <v>2494</v>
      </c>
      <c r="O778" s="28" t="s">
        <v>2016</v>
      </c>
      <c r="P778" s="29">
        <v>484</v>
      </c>
      <c r="Q778" s="28" t="s">
        <v>2017</v>
      </c>
      <c r="R778" s="37">
        <v>24.871531346350999</v>
      </c>
      <c r="S778" s="29">
        <v>1251</v>
      </c>
      <c r="T778" s="32">
        <v>19.46</v>
      </c>
      <c r="U778" s="32">
        <v>0</v>
      </c>
      <c r="V778" s="37">
        <v>24.871531346350999</v>
      </c>
      <c r="W778" s="36">
        <v>46111</v>
      </c>
      <c r="X778" s="36">
        <v>46111</v>
      </c>
    </row>
    <row r="779" spans="1:24" ht="15.75" thickBot="1" x14ac:dyDescent="0.3">
      <c r="A779" t="str">
        <f t="shared" si="12"/>
        <v>PCPE23942APIA05</v>
      </c>
      <c r="B779" s="22" t="s">
        <v>4330</v>
      </c>
      <c r="C779" s="22" t="s">
        <v>4331</v>
      </c>
      <c r="D779" s="22" t="s">
        <v>4332</v>
      </c>
      <c r="E779" s="22" t="s">
        <v>4333</v>
      </c>
      <c r="F779" s="22" t="s">
        <v>2030</v>
      </c>
      <c r="G779" s="28" t="s">
        <v>2012</v>
      </c>
      <c r="H779" s="22" t="s">
        <v>3856</v>
      </c>
      <c r="I779" s="22" t="s">
        <v>3857</v>
      </c>
      <c r="J779" s="22" t="s">
        <v>261</v>
      </c>
      <c r="K779" s="22" t="s">
        <v>262</v>
      </c>
      <c r="L779" s="22" t="s">
        <v>3858</v>
      </c>
      <c r="M779" s="22" t="s">
        <v>2130</v>
      </c>
      <c r="N779" s="28" t="s">
        <v>2494</v>
      </c>
      <c r="O779" s="28" t="s">
        <v>2016</v>
      </c>
      <c r="P779" s="29">
        <v>54829</v>
      </c>
      <c r="Q779" s="28" t="s">
        <v>2017</v>
      </c>
      <c r="R779" s="37">
        <v>24.642197968143002</v>
      </c>
      <c r="S779" s="29">
        <v>143036</v>
      </c>
      <c r="T779" s="32">
        <v>2225.0044444444402</v>
      </c>
      <c r="U779" s="32">
        <v>0</v>
      </c>
      <c r="V779" s="37">
        <v>24.642197968143002</v>
      </c>
      <c r="W779" s="36">
        <v>46111</v>
      </c>
      <c r="X779" s="36">
        <v>46111</v>
      </c>
    </row>
    <row r="780" spans="1:24" ht="15.75" thickBot="1" x14ac:dyDescent="0.3">
      <c r="A780" t="str">
        <f t="shared" si="12"/>
        <v>PCPE23942AR01.HA</v>
      </c>
      <c r="B780" s="22" t="s">
        <v>4334</v>
      </c>
      <c r="C780" s="21"/>
      <c r="D780" s="22" t="s">
        <v>4335</v>
      </c>
      <c r="E780" s="21"/>
      <c r="F780" s="22" t="s">
        <v>2030</v>
      </c>
      <c r="G780" s="28" t="s">
        <v>2012</v>
      </c>
      <c r="H780" s="22" t="s">
        <v>3459</v>
      </c>
      <c r="I780" s="22" t="s">
        <v>3460</v>
      </c>
      <c r="J780" s="22" t="s">
        <v>261</v>
      </c>
      <c r="K780" s="22" t="s">
        <v>262</v>
      </c>
      <c r="L780" s="22" t="s">
        <v>3318</v>
      </c>
      <c r="M780" s="22" t="s">
        <v>2130</v>
      </c>
      <c r="N780" s="28" t="s">
        <v>2494</v>
      </c>
      <c r="O780" s="28" t="s">
        <v>2016</v>
      </c>
      <c r="P780" s="29">
        <v>1688</v>
      </c>
      <c r="Q780" s="28" t="s">
        <v>2017</v>
      </c>
      <c r="R780" s="37">
        <v>22.291348749853</v>
      </c>
      <c r="S780" s="29">
        <v>4868</v>
      </c>
      <c r="T780" s="32">
        <v>75.724444444444003</v>
      </c>
      <c r="U780" s="32">
        <v>0</v>
      </c>
      <c r="V780" s="37">
        <v>22.291348749853</v>
      </c>
      <c r="W780" s="36">
        <v>46109</v>
      </c>
      <c r="X780" s="36">
        <v>46111</v>
      </c>
    </row>
    <row r="781" spans="1:24" ht="15.75" thickBot="1" x14ac:dyDescent="0.3">
      <c r="A781" t="str">
        <f t="shared" si="12"/>
        <v>PCPE23942AR05.HA</v>
      </c>
      <c r="B781" s="22" t="s">
        <v>4336</v>
      </c>
      <c r="C781" s="22" t="s">
        <v>4337</v>
      </c>
      <c r="D781" s="22" t="s">
        <v>4338</v>
      </c>
      <c r="E781" s="21"/>
      <c r="F781" s="22" t="s">
        <v>2030</v>
      </c>
      <c r="G781" s="28" t="s">
        <v>2012</v>
      </c>
      <c r="H781" s="22" t="s">
        <v>3459</v>
      </c>
      <c r="I781" s="22" t="s">
        <v>3460</v>
      </c>
      <c r="J781" s="22" t="s">
        <v>261</v>
      </c>
      <c r="K781" s="22" t="s">
        <v>262</v>
      </c>
      <c r="L781" s="22" t="s">
        <v>3318</v>
      </c>
      <c r="M781" s="22" t="s">
        <v>2130</v>
      </c>
      <c r="N781" s="28" t="s">
        <v>2494</v>
      </c>
      <c r="O781" s="28" t="s">
        <v>2016</v>
      </c>
      <c r="P781" s="29">
        <v>1484</v>
      </c>
      <c r="Q781" s="28" t="s">
        <v>2017</v>
      </c>
      <c r="R781" s="37">
        <v>23.921765295886999</v>
      </c>
      <c r="S781" s="29">
        <v>3988</v>
      </c>
      <c r="T781" s="32">
        <v>62.035555555555</v>
      </c>
      <c r="U781" s="32">
        <v>0</v>
      </c>
      <c r="V781" s="37">
        <v>23.921765295886999</v>
      </c>
      <c r="W781" s="36">
        <v>46110</v>
      </c>
      <c r="X781" s="36">
        <v>46111</v>
      </c>
    </row>
    <row r="782" spans="1:24" ht="15.75" thickBot="1" x14ac:dyDescent="0.3">
      <c r="A782" t="str">
        <f t="shared" si="12"/>
        <v>PCPGM11602758</v>
      </c>
      <c r="B782" s="22" t="s">
        <v>4339</v>
      </c>
      <c r="C782" s="22" t="s">
        <v>4340</v>
      </c>
      <c r="D782" s="22" t="s">
        <v>3618</v>
      </c>
      <c r="E782" s="22" t="s">
        <v>3845</v>
      </c>
      <c r="F782" s="22" t="s">
        <v>2030</v>
      </c>
      <c r="G782" s="28" t="s">
        <v>2012</v>
      </c>
      <c r="H782" s="22" t="s">
        <v>4058</v>
      </c>
      <c r="I782" s="22" t="s">
        <v>4059</v>
      </c>
      <c r="J782" s="22" t="s">
        <v>404</v>
      </c>
      <c r="K782" s="22" t="s">
        <v>262</v>
      </c>
      <c r="L782" s="22" t="s">
        <v>3620</v>
      </c>
      <c r="M782" s="22" t="s">
        <v>4055</v>
      </c>
      <c r="N782" s="28" t="s">
        <v>2494</v>
      </c>
      <c r="O782" s="28" t="s">
        <v>2016</v>
      </c>
      <c r="P782" s="29">
        <v>15158</v>
      </c>
      <c r="Q782" s="28" t="s">
        <v>2017</v>
      </c>
      <c r="R782" s="37">
        <v>22.593680751764001</v>
      </c>
      <c r="S782" s="29">
        <v>43129</v>
      </c>
      <c r="T782" s="32">
        <v>670.89555555555501</v>
      </c>
      <c r="U782" s="32">
        <v>0</v>
      </c>
      <c r="V782" s="37">
        <v>22.593680751764001</v>
      </c>
      <c r="W782" s="36">
        <v>46109</v>
      </c>
      <c r="X782" s="36">
        <v>46111</v>
      </c>
    </row>
    <row r="783" spans="1:24" ht="15.75" thickBot="1" x14ac:dyDescent="0.3">
      <c r="A783" t="str">
        <f t="shared" si="12"/>
        <v>PCPGM11603735</v>
      </c>
      <c r="B783" s="22" t="s">
        <v>4341</v>
      </c>
      <c r="C783" s="22" t="s">
        <v>4342</v>
      </c>
      <c r="D783" s="22" t="s">
        <v>3712</v>
      </c>
      <c r="E783" s="22" t="s">
        <v>3902</v>
      </c>
      <c r="F783" s="22" t="s">
        <v>2030</v>
      </c>
      <c r="G783" s="28" t="s">
        <v>2012</v>
      </c>
      <c r="H783" s="22" t="s">
        <v>3714</v>
      </c>
      <c r="I783" s="22" t="s">
        <v>3715</v>
      </c>
      <c r="J783" s="22" t="s">
        <v>404</v>
      </c>
      <c r="K783" s="22" t="s">
        <v>262</v>
      </c>
      <c r="L783" s="22" t="s">
        <v>4343</v>
      </c>
      <c r="M783" s="22" t="s">
        <v>4055</v>
      </c>
      <c r="N783" s="28" t="s">
        <v>2494</v>
      </c>
      <c r="O783" s="28" t="s">
        <v>2016</v>
      </c>
      <c r="P783" s="29">
        <v>3136</v>
      </c>
      <c r="Q783" s="28" t="s">
        <v>2017</v>
      </c>
      <c r="R783" s="37">
        <v>23.829787234042001</v>
      </c>
      <c r="S783" s="29">
        <v>8460</v>
      </c>
      <c r="T783" s="32">
        <v>131.6</v>
      </c>
      <c r="U783" s="32">
        <v>0</v>
      </c>
      <c r="V783" s="37">
        <v>23.829787234042001</v>
      </c>
      <c r="W783" s="36">
        <v>46110</v>
      </c>
      <c r="X783" s="36">
        <v>46111</v>
      </c>
    </row>
    <row r="784" spans="1:24" ht="15.75" thickBot="1" x14ac:dyDescent="0.3">
      <c r="A784" t="str">
        <f t="shared" si="12"/>
        <v>PCPW713297</v>
      </c>
      <c r="B784" s="22" t="s">
        <v>4344</v>
      </c>
      <c r="C784" s="22" t="s">
        <v>4345</v>
      </c>
      <c r="D784" s="22" t="s">
        <v>4346</v>
      </c>
      <c r="E784" s="22" t="s">
        <v>3902</v>
      </c>
      <c r="F784" s="22" t="s">
        <v>2030</v>
      </c>
      <c r="G784" s="28" t="s">
        <v>2012</v>
      </c>
      <c r="H784" s="22" t="s">
        <v>3714</v>
      </c>
      <c r="I784" s="22" t="s">
        <v>3715</v>
      </c>
      <c r="J784" s="22" t="s">
        <v>261</v>
      </c>
      <c r="K784" s="22" t="s">
        <v>262</v>
      </c>
      <c r="L784" s="22" t="s">
        <v>4347</v>
      </c>
      <c r="M784" s="22" t="s">
        <v>2130</v>
      </c>
      <c r="N784" s="28" t="s">
        <v>2494</v>
      </c>
      <c r="O784" s="28" t="s">
        <v>2016</v>
      </c>
      <c r="P784" s="29">
        <v>115200</v>
      </c>
      <c r="Q784" s="28" t="s">
        <v>2017</v>
      </c>
      <c r="R784" s="37">
        <v>22.995898975963001</v>
      </c>
      <c r="S784" s="29">
        <v>322045</v>
      </c>
      <c r="T784" s="32">
        <v>5009.5888888888903</v>
      </c>
      <c r="U784" s="32">
        <v>0</v>
      </c>
      <c r="V784" s="37">
        <v>22.995898975963001</v>
      </c>
      <c r="W784" s="36">
        <v>46109</v>
      </c>
      <c r="X784" s="36">
        <v>46111</v>
      </c>
    </row>
    <row r="785" spans="1:24" ht="15.75" thickBot="1" x14ac:dyDescent="0.3">
      <c r="A785" t="str">
        <f t="shared" si="12"/>
        <v>PCS10723APIA03B</v>
      </c>
      <c r="B785" s="22" t="s">
        <v>4348</v>
      </c>
      <c r="C785" s="21"/>
      <c r="D785" s="22" t="s">
        <v>4349</v>
      </c>
      <c r="E785" s="21"/>
      <c r="F785" s="22" t="s">
        <v>4350</v>
      </c>
      <c r="G785" s="28" t="s">
        <v>2012</v>
      </c>
      <c r="H785" s="22" t="s">
        <v>2013</v>
      </c>
      <c r="I785" s="21"/>
      <c r="J785" s="22" t="s">
        <v>3324</v>
      </c>
      <c r="K785" s="22" t="s">
        <v>3324</v>
      </c>
      <c r="L785" s="22" t="s">
        <v>3325</v>
      </c>
      <c r="M785" s="22" t="s">
        <v>2130</v>
      </c>
      <c r="N785" s="28" t="s">
        <v>2494</v>
      </c>
      <c r="O785" s="28" t="s">
        <v>2016</v>
      </c>
      <c r="P785" s="29">
        <v>933</v>
      </c>
      <c r="Q785" s="28" t="s">
        <v>2017</v>
      </c>
      <c r="R785" s="37">
        <v>23.337965536409001</v>
      </c>
      <c r="S785" s="29">
        <v>2570</v>
      </c>
      <c r="T785" s="32">
        <v>39.977777777777</v>
      </c>
      <c r="U785" s="32">
        <v>0</v>
      </c>
      <c r="V785" s="37">
        <v>23.337965536409001</v>
      </c>
      <c r="W785" s="36">
        <v>46110</v>
      </c>
      <c r="X785" s="36">
        <v>46111</v>
      </c>
    </row>
    <row r="786" spans="1:24" ht="15.75" thickBot="1" x14ac:dyDescent="0.3">
      <c r="A786" t="str">
        <f t="shared" si="12"/>
        <v>PCS2661217AC</v>
      </c>
      <c r="B786" s="22" t="s">
        <v>4351</v>
      </c>
      <c r="C786" s="21"/>
      <c r="D786" s="22" t="s">
        <v>4352</v>
      </c>
      <c r="E786" s="21"/>
      <c r="F786" s="22" t="s">
        <v>2030</v>
      </c>
      <c r="G786" s="28" t="s">
        <v>2012</v>
      </c>
      <c r="H786" s="22" t="s">
        <v>3624</v>
      </c>
      <c r="I786" s="22" t="s">
        <v>3625</v>
      </c>
      <c r="J786" s="22" t="s">
        <v>494</v>
      </c>
      <c r="K786" s="22" t="s">
        <v>924</v>
      </c>
      <c r="L786" s="22" t="s">
        <v>2501</v>
      </c>
      <c r="M786" s="22" t="s">
        <v>2130</v>
      </c>
      <c r="N786" s="28" t="s">
        <v>2494</v>
      </c>
      <c r="O786" s="28" t="s">
        <v>2016</v>
      </c>
      <c r="P786" s="29">
        <v>6145</v>
      </c>
      <c r="Q786" s="28" t="s">
        <v>2017</v>
      </c>
      <c r="R786" s="37">
        <v>22.787016283208999</v>
      </c>
      <c r="S786" s="29">
        <v>17336</v>
      </c>
      <c r="T786" s="32">
        <v>269.67111111111097</v>
      </c>
      <c r="U786" s="32">
        <v>0</v>
      </c>
      <c r="V786" s="37">
        <v>22.787016283208999</v>
      </c>
      <c r="W786" s="36">
        <v>46109</v>
      </c>
      <c r="X786" s="36">
        <v>46111</v>
      </c>
    </row>
    <row r="787" spans="1:24" ht="15.75" thickBot="1" x14ac:dyDescent="0.3">
      <c r="A787" t="str">
        <f t="shared" si="12"/>
        <v>PCSM4GB60B4A</v>
      </c>
      <c r="B787" s="22" t="s">
        <v>4353</v>
      </c>
      <c r="C787" s="21"/>
      <c r="D787" s="22" t="s">
        <v>4354</v>
      </c>
      <c r="E787" s="22" t="s">
        <v>4355</v>
      </c>
      <c r="F787" s="22" t="s">
        <v>4356</v>
      </c>
      <c r="G787" s="28" t="s">
        <v>2012</v>
      </c>
      <c r="H787" s="22" t="s">
        <v>4357</v>
      </c>
      <c r="I787" s="22" t="s">
        <v>4358</v>
      </c>
      <c r="J787" s="22" t="s">
        <v>494</v>
      </c>
      <c r="K787" s="22" t="s">
        <v>924</v>
      </c>
      <c r="L787" s="22" t="s">
        <v>4359</v>
      </c>
      <c r="M787" s="22" t="s">
        <v>2130</v>
      </c>
      <c r="N787" s="28" t="s">
        <v>2494</v>
      </c>
      <c r="O787" s="28" t="s">
        <v>2016</v>
      </c>
      <c r="P787" s="29">
        <v>36.097270000000002</v>
      </c>
      <c r="Q787" s="28" t="s">
        <v>4360</v>
      </c>
      <c r="R787" s="37">
        <v>24.319024062219</v>
      </c>
      <c r="S787" s="34">
        <v>95.420720000000003</v>
      </c>
      <c r="T787" s="32">
        <v>1.484322311111</v>
      </c>
      <c r="U787" s="32">
        <v>0</v>
      </c>
      <c r="V787" s="37">
        <v>24.319024062219</v>
      </c>
      <c r="W787" s="36">
        <v>46111</v>
      </c>
      <c r="X787" s="36">
        <v>46111</v>
      </c>
    </row>
    <row r="788" spans="1:24" ht="15.75" thickBot="1" x14ac:dyDescent="0.3">
      <c r="A788" t="str">
        <f t="shared" si="12"/>
        <v>PCSW706176S403</v>
      </c>
      <c r="B788" s="22" t="s">
        <v>4361</v>
      </c>
      <c r="C788" s="21"/>
      <c r="D788" s="22" t="s">
        <v>4362</v>
      </c>
      <c r="E788" s="22" t="s">
        <v>4363</v>
      </c>
      <c r="F788" s="22" t="s">
        <v>2030</v>
      </c>
      <c r="G788" s="28" t="s">
        <v>2012</v>
      </c>
      <c r="H788" s="22" t="s">
        <v>4191</v>
      </c>
      <c r="I788" s="22" t="s">
        <v>4192</v>
      </c>
      <c r="J788" s="22" t="s">
        <v>494</v>
      </c>
      <c r="K788" s="22" t="s">
        <v>924</v>
      </c>
      <c r="L788" s="22" t="s">
        <v>3914</v>
      </c>
      <c r="M788" s="22" t="s">
        <v>2130</v>
      </c>
      <c r="N788" s="28" t="s">
        <v>2494</v>
      </c>
      <c r="O788" s="28" t="s">
        <v>2016</v>
      </c>
      <c r="P788" s="29">
        <v>68520</v>
      </c>
      <c r="Q788" s="28" t="s">
        <v>2017</v>
      </c>
      <c r="R788" s="37">
        <v>23.137184278060001</v>
      </c>
      <c r="S788" s="29">
        <v>190380</v>
      </c>
      <c r="T788" s="32">
        <v>2961.4666666666699</v>
      </c>
      <c r="U788" s="32">
        <v>0</v>
      </c>
      <c r="V788" s="37">
        <v>23.137184278060001</v>
      </c>
      <c r="W788" s="36">
        <v>46110</v>
      </c>
      <c r="X788" s="36">
        <v>46111</v>
      </c>
    </row>
    <row r="789" spans="1:24" ht="15.75" thickBot="1" x14ac:dyDescent="0.3">
      <c r="A789" t="str">
        <f t="shared" si="12"/>
        <v>PCSW712873S300</v>
      </c>
      <c r="B789" s="22" t="s">
        <v>4364</v>
      </c>
      <c r="C789" s="22" t="s">
        <v>4365</v>
      </c>
      <c r="D789" s="22" t="s">
        <v>2959</v>
      </c>
      <c r="E789" s="22" t="s">
        <v>3357</v>
      </c>
      <c r="F789" s="22" t="s">
        <v>2030</v>
      </c>
      <c r="G789" s="28" t="s">
        <v>2012</v>
      </c>
      <c r="H789" s="22" t="s">
        <v>3927</v>
      </c>
      <c r="I789" s="22" t="s">
        <v>3928</v>
      </c>
      <c r="J789" s="22" t="s">
        <v>261</v>
      </c>
      <c r="K789" s="22" t="s">
        <v>924</v>
      </c>
      <c r="L789" s="22" t="s">
        <v>2964</v>
      </c>
      <c r="M789" s="22" t="s">
        <v>2130</v>
      </c>
      <c r="N789" s="28" t="s">
        <v>2494</v>
      </c>
      <c r="O789" s="28" t="s">
        <v>2016</v>
      </c>
      <c r="P789" s="29">
        <v>11300</v>
      </c>
      <c r="Q789" s="28" t="s">
        <v>2017</v>
      </c>
      <c r="R789" s="37">
        <v>22.678214642499999</v>
      </c>
      <c r="S789" s="29">
        <v>32032</v>
      </c>
      <c r="T789" s="32">
        <v>498.27555555555602</v>
      </c>
      <c r="U789" s="32">
        <v>0</v>
      </c>
      <c r="V789" s="37">
        <v>22.678214642499999</v>
      </c>
      <c r="W789" s="36">
        <v>46109</v>
      </c>
      <c r="X789" s="36">
        <v>46111</v>
      </c>
    </row>
    <row r="790" spans="1:24" ht="15.75" thickBot="1" x14ac:dyDescent="0.3">
      <c r="A790" t="str">
        <f t="shared" si="12"/>
        <v>PUR58101B51 B</v>
      </c>
      <c r="B790" s="22" t="s">
        <v>1327</v>
      </c>
      <c r="C790" s="22" t="s">
        <v>4366</v>
      </c>
      <c r="D790" s="22" t="s">
        <v>4367</v>
      </c>
      <c r="E790" s="22" t="s">
        <v>4368</v>
      </c>
      <c r="F790" s="22" t="s">
        <v>4369</v>
      </c>
      <c r="G790" s="28" t="s">
        <v>2012</v>
      </c>
      <c r="H790" s="22" t="s">
        <v>2968</v>
      </c>
      <c r="I790" s="21"/>
      <c r="J790" s="22" t="s">
        <v>364</v>
      </c>
      <c r="K790" s="22" t="s">
        <v>924</v>
      </c>
      <c r="L790" s="21"/>
      <c r="M790" s="22" t="s">
        <v>2014</v>
      </c>
      <c r="N790" s="28" t="s">
        <v>2015</v>
      </c>
      <c r="O790" s="28" t="s">
        <v>2016</v>
      </c>
      <c r="P790" s="29">
        <v>16318</v>
      </c>
      <c r="Q790" s="28" t="s">
        <v>2017</v>
      </c>
      <c r="R790" s="37">
        <v>24.976530612244002</v>
      </c>
      <c r="S790" s="29">
        <v>42000</v>
      </c>
      <c r="T790" s="32">
        <v>653.33333333333303</v>
      </c>
      <c r="U790" s="32">
        <v>0</v>
      </c>
      <c r="V790" s="37">
        <v>24.976530612244002</v>
      </c>
      <c r="W790" s="36">
        <v>46111</v>
      </c>
      <c r="X790" s="36">
        <v>46111</v>
      </c>
    </row>
    <row r="791" spans="1:24" ht="15.75" thickBot="1" x14ac:dyDescent="0.3">
      <c r="A791" t="str">
        <f t="shared" si="12"/>
        <v>PUR5810780 A</v>
      </c>
      <c r="B791" s="22" t="s">
        <v>1329</v>
      </c>
      <c r="C791" s="22" t="s">
        <v>4370</v>
      </c>
      <c r="D791" s="22" t="s">
        <v>4371</v>
      </c>
      <c r="E791" s="22" t="s">
        <v>4372</v>
      </c>
      <c r="F791" s="22" t="s">
        <v>4373</v>
      </c>
      <c r="G791" s="28" t="s">
        <v>2012</v>
      </c>
      <c r="H791" s="22" t="s">
        <v>2968</v>
      </c>
      <c r="I791" s="21"/>
      <c r="J791" s="22" t="s">
        <v>364</v>
      </c>
      <c r="K791" s="22" t="s">
        <v>924</v>
      </c>
      <c r="L791" s="21"/>
      <c r="M791" s="22" t="s">
        <v>2014</v>
      </c>
      <c r="N791" s="28" t="s">
        <v>2015</v>
      </c>
      <c r="O791" s="28" t="s">
        <v>2016</v>
      </c>
      <c r="P791" s="29">
        <v>14743</v>
      </c>
      <c r="Q791" s="28" t="s">
        <v>2017</v>
      </c>
      <c r="R791" s="37">
        <v>22.092407592407</v>
      </c>
      <c r="S791" s="29">
        <v>42900</v>
      </c>
      <c r="T791" s="32">
        <v>667.33333333333303</v>
      </c>
      <c r="U791" s="32">
        <v>0</v>
      </c>
      <c r="V791" s="37">
        <v>22.092407592407</v>
      </c>
      <c r="W791" s="36">
        <v>46109</v>
      </c>
      <c r="X791" s="36">
        <v>46111</v>
      </c>
    </row>
    <row r="792" spans="1:24" ht="15.75" thickBot="1" x14ac:dyDescent="0.3">
      <c r="A792" t="str">
        <f t="shared" si="12"/>
        <v>REPACK3D072</v>
      </c>
      <c r="B792" s="22" t="s">
        <v>4374</v>
      </c>
      <c r="C792" s="22" t="s">
        <v>4375</v>
      </c>
      <c r="D792" s="22" t="s">
        <v>1440</v>
      </c>
      <c r="E792" s="21"/>
      <c r="F792" s="22" t="s">
        <v>2509</v>
      </c>
      <c r="G792" s="28" t="s">
        <v>2012</v>
      </c>
      <c r="H792" s="22" t="s">
        <v>2013</v>
      </c>
      <c r="I792" s="21"/>
      <c r="J792" s="22" t="s">
        <v>364</v>
      </c>
      <c r="K792" s="22" t="s">
        <v>262</v>
      </c>
      <c r="L792" s="21"/>
      <c r="M792" s="22" t="s">
        <v>2034</v>
      </c>
      <c r="N792" s="28" t="s">
        <v>2015</v>
      </c>
      <c r="O792" s="28" t="s">
        <v>2016</v>
      </c>
      <c r="P792" s="29">
        <v>5289</v>
      </c>
      <c r="Q792" s="28" t="s">
        <v>2017</v>
      </c>
      <c r="R792" s="37">
        <v>23.705441180864</v>
      </c>
      <c r="S792" s="29">
        <v>14343</v>
      </c>
      <c r="T792" s="32">
        <v>223.113333333333</v>
      </c>
      <c r="U792" s="32">
        <v>0</v>
      </c>
      <c r="V792" s="37">
        <v>23.705441180864</v>
      </c>
      <c r="W792" s="36">
        <v>46110</v>
      </c>
      <c r="X792" s="36">
        <v>46111</v>
      </c>
    </row>
    <row r="793" spans="1:24" ht="15.75" thickBot="1" x14ac:dyDescent="0.3">
      <c r="A793" t="str">
        <f t="shared" si="12"/>
        <v>RMS2611753A</v>
      </c>
      <c r="B793" s="22" t="s">
        <v>4376</v>
      </c>
      <c r="C793" s="22" t="s">
        <v>4377</v>
      </c>
      <c r="D793" s="22" t="s">
        <v>4378</v>
      </c>
      <c r="E793" s="22" t="s">
        <v>2527</v>
      </c>
      <c r="F793" s="22" t="s">
        <v>4379</v>
      </c>
      <c r="G793" s="28" t="s">
        <v>2012</v>
      </c>
      <c r="H793" s="22" t="s">
        <v>2549</v>
      </c>
      <c r="I793" s="22" t="s">
        <v>2550</v>
      </c>
      <c r="J793" s="22" t="s">
        <v>261</v>
      </c>
      <c r="K793" s="22" t="s">
        <v>924</v>
      </c>
      <c r="L793" s="22" t="s">
        <v>2531</v>
      </c>
      <c r="M793" s="22" t="s">
        <v>2532</v>
      </c>
      <c r="N793" s="28" t="s">
        <v>2494</v>
      </c>
      <c r="O793" s="28" t="s">
        <v>2016</v>
      </c>
      <c r="P793" s="29">
        <v>4037.2339999999999</v>
      </c>
      <c r="Q793" s="28" t="s">
        <v>1164</v>
      </c>
      <c r="R793" s="37">
        <v>24.106500969936</v>
      </c>
      <c r="S793" s="34">
        <v>10766.244000000001</v>
      </c>
      <c r="T793" s="32">
        <v>167.47490666666701</v>
      </c>
      <c r="U793" s="32">
        <v>0</v>
      </c>
      <c r="V793" s="37">
        <v>24.106500969936</v>
      </c>
      <c r="W793" s="36">
        <v>46111</v>
      </c>
      <c r="X793" s="36">
        <v>46111</v>
      </c>
    </row>
    <row r="794" spans="1:24" ht="15.75" thickBot="1" x14ac:dyDescent="0.3">
      <c r="A794" t="str">
        <f t="shared" si="12"/>
        <v>RMS2613110A</v>
      </c>
      <c r="B794" s="22" t="s">
        <v>4380</v>
      </c>
      <c r="C794" s="22" t="s">
        <v>4381</v>
      </c>
      <c r="D794" s="22" t="s">
        <v>4382</v>
      </c>
      <c r="E794" s="22" t="s">
        <v>2527</v>
      </c>
      <c r="F794" s="22" t="s">
        <v>3486</v>
      </c>
      <c r="G794" s="28" t="s">
        <v>2012</v>
      </c>
      <c r="H794" s="22" t="s">
        <v>2529</v>
      </c>
      <c r="I794" s="22" t="s">
        <v>2530</v>
      </c>
      <c r="J794" s="22" t="s">
        <v>261</v>
      </c>
      <c r="K794" s="22" t="s">
        <v>924</v>
      </c>
      <c r="L794" s="22" t="s">
        <v>2531</v>
      </c>
      <c r="M794" s="22" t="s">
        <v>2532</v>
      </c>
      <c r="N794" s="28" t="s">
        <v>2494</v>
      </c>
      <c r="O794" s="28" t="s">
        <v>2016</v>
      </c>
      <c r="P794" s="29">
        <v>5672.3019999999997</v>
      </c>
      <c r="Q794" s="28" t="s">
        <v>1164</v>
      </c>
      <c r="R794" s="37">
        <v>23.707027611495</v>
      </c>
      <c r="S794" s="34">
        <v>15381.43</v>
      </c>
      <c r="T794" s="32">
        <v>239.26668888888901</v>
      </c>
      <c r="U794" s="32">
        <v>0</v>
      </c>
      <c r="V794" s="37">
        <v>23.707027611495</v>
      </c>
      <c r="W794" s="36">
        <v>46110</v>
      </c>
      <c r="X794" s="36">
        <v>46111</v>
      </c>
    </row>
    <row r="795" spans="1:24" ht="15.75" thickBot="1" x14ac:dyDescent="0.3">
      <c r="A795" t="str">
        <f t="shared" si="12"/>
        <v>RMS26281A30RLAA</v>
      </c>
      <c r="B795" s="22" t="s">
        <v>4383</v>
      </c>
      <c r="C795" s="22" t="s">
        <v>4384</v>
      </c>
      <c r="D795" s="22" t="s">
        <v>4385</v>
      </c>
      <c r="E795" s="22" t="s">
        <v>2527</v>
      </c>
      <c r="F795" s="22" t="s">
        <v>3490</v>
      </c>
      <c r="G795" s="28" t="s">
        <v>2012</v>
      </c>
      <c r="H795" s="22" t="s">
        <v>2716</v>
      </c>
      <c r="I795" s="22" t="s">
        <v>2717</v>
      </c>
      <c r="J795" s="22" t="s">
        <v>261</v>
      </c>
      <c r="K795" s="22" t="s">
        <v>924</v>
      </c>
      <c r="L795" s="22" t="s">
        <v>2531</v>
      </c>
      <c r="M795" s="22" t="s">
        <v>2532</v>
      </c>
      <c r="N795" s="28" t="s">
        <v>2494</v>
      </c>
      <c r="O795" s="28" t="s">
        <v>2016</v>
      </c>
      <c r="P795" s="29">
        <v>17962.592000000001</v>
      </c>
      <c r="Q795" s="28" t="s">
        <v>1164</v>
      </c>
      <c r="R795" s="37">
        <v>22.526519769989999</v>
      </c>
      <c r="S795" s="34">
        <v>51261.271999999997</v>
      </c>
      <c r="T795" s="32">
        <v>797.39756444444401</v>
      </c>
      <c r="U795" s="32">
        <v>0</v>
      </c>
      <c r="V795" s="37">
        <v>22.526519769989999</v>
      </c>
      <c r="W795" s="36">
        <v>46109</v>
      </c>
      <c r="X795" s="36">
        <v>46111</v>
      </c>
    </row>
    <row r="796" spans="1:24" ht="15.75" thickBot="1" x14ac:dyDescent="0.3">
      <c r="A796" t="str">
        <f t="shared" si="12"/>
        <v>RMS2640506A</v>
      </c>
      <c r="B796" s="22" t="s">
        <v>4386</v>
      </c>
      <c r="C796" s="22" t="s">
        <v>4387</v>
      </c>
      <c r="D796" s="22" t="s">
        <v>4388</v>
      </c>
      <c r="E796" s="22" t="s">
        <v>2527</v>
      </c>
      <c r="F796" s="22" t="s">
        <v>4389</v>
      </c>
      <c r="G796" s="28" t="s">
        <v>2012</v>
      </c>
      <c r="H796" s="22" t="s">
        <v>2529</v>
      </c>
      <c r="I796" s="22" t="s">
        <v>2530</v>
      </c>
      <c r="J796" s="22" t="s">
        <v>261</v>
      </c>
      <c r="K796" s="22" t="s">
        <v>924</v>
      </c>
      <c r="L796" s="22" t="s">
        <v>2531</v>
      </c>
      <c r="M796" s="22" t="s">
        <v>2532</v>
      </c>
      <c r="N796" s="28" t="s">
        <v>2494</v>
      </c>
      <c r="O796" s="28" t="s">
        <v>2016</v>
      </c>
      <c r="P796" s="29">
        <v>4882.4399999999996</v>
      </c>
      <c r="Q796" s="28" t="s">
        <v>1164</v>
      </c>
      <c r="R796" s="37">
        <v>24.963663979755001</v>
      </c>
      <c r="S796" s="34">
        <v>12573.12</v>
      </c>
      <c r="T796" s="32">
        <v>195.581866666667</v>
      </c>
      <c r="U796" s="32">
        <v>0</v>
      </c>
      <c r="V796" s="37">
        <v>24.963663979755001</v>
      </c>
      <c r="W796" s="36">
        <v>46111</v>
      </c>
      <c r="X796" s="36">
        <v>46111</v>
      </c>
    </row>
    <row r="797" spans="1:24" ht="15.75" thickBot="1" x14ac:dyDescent="0.3">
      <c r="A797" t="str">
        <f t="shared" si="12"/>
        <v>RMS2661270RLA</v>
      </c>
      <c r="B797" s="22" t="s">
        <v>4390</v>
      </c>
      <c r="C797" s="22" t="s">
        <v>4391</v>
      </c>
      <c r="D797" s="22" t="s">
        <v>4392</v>
      </c>
      <c r="E797" s="22" t="s">
        <v>2527</v>
      </c>
      <c r="F797" s="22" t="s">
        <v>4393</v>
      </c>
      <c r="G797" s="28" t="s">
        <v>2012</v>
      </c>
      <c r="H797" s="22" t="s">
        <v>2529</v>
      </c>
      <c r="I797" s="22" t="s">
        <v>2530</v>
      </c>
      <c r="J797" s="22" t="s">
        <v>261</v>
      </c>
      <c r="K797" s="22" t="s">
        <v>924</v>
      </c>
      <c r="L797" s="22" t="s">
        <v>2531</v>
      </c>
      <c r="M797" s="22" t="s">
        <v>2532</v>
      </c>
      <c r="N797" s="28" t="s">
        <v>2494</v>
      </c>
      <c r="O797" s="28" t="s">
        <v>2016</v>
      </c>
      <c r="P797" s="29">
        <v>13268</v>
      </c>
      <c r="Q797" s="28" t="s">
        <v>1164</v>
      </c>
      <c r="R797" s="37">
        <v>23.453372153863</v>
      </c>
      <c r="S797" s="34">
        <v>36367.599999999999</v>
      </c>
      <c r="T797" s="32">
        <v>565.71822222222204</v>
      </c>
      <c r="U797" s="32">
        <v>0</v>
      </c>
      <c r="V797" s="37">
        <v>23.453372153863</v>
      </c>
      <c r="W797" s="36">
        <v>46110</v>
      </c>
      <c r="X797" s="36">
        <v>46111</v>
      </c>
    </row>
    <row r="798" spans="1:24" ht="15.75" thickBot="1" x14ac:dyDescent="0.3">
      <c r="A798" t="str">
        <f t="shared" si="12"/>
        <v>RMSBR5802220RL</v>
      </c>
      <c r="B798" s="22" t="s">
        <v>4394</v>
      </c>
      <c r="C798" s="22" t="s">
        <v>4395</v>
      </c>
      <c r="D798" s="22" t="s">
        <v>4396</v>
      </c>
      <c r="E798" s="22" t="s">
        <v>3132</v>
      </c>
      <c r="F798" s="22" t="s">
        <v>4209</v>
      </c>
      <c r="G798" s="28" t="s">
        <v>2012</v>
      </c>
      <c r="H798" s="22" t="s">
        <v>4397</v>
      </c>
      <c r="I798" s="22" t="s">
        <v>4398</v>
      </c>
      <c r="J798" s="22" t="s">
        <v>364</v>
      </c>
      <c r="K798" s="22" t="s">
        <v>924</v>
      </c>
      <c r="L798" s="22" t="s">
        <v>3136</v>
      </c>
      <c r="M798" s="22" t="s">
        <v>2532</v>
      </c>
      <c r="N798" s="28" t="s">
        <v>2494</v>
      </c>
      <c r="O798" s="28" t="s">
        <v>2016</v>
      </c>
      <c r="P798" s="29">
        <v>231194.02045000001</v>
      </c>
      <c r="Q798" s="28" t="s">
        <v>1164</v>
      </c>
      <c r="R798" s="37">
        <v>23.382623590895001</v>
      </c>
      <c r="S798" s="34">
        <v>635620.40784</v>
      </c>
      <c r="T798" s="32">
        <v>9887.4285663999999</v>
      </c>
      <c r="U798" s="32">
        <v>0</v>
      </c>
      <c r="V798" s="37">
        <v>23.382623590895001</v>
      </c>
      <c r="W798" s="36">
        <v>46110</v>
      </c>
      <c r="X798" s="36">
        <v>46111</v>
      </c>
    </row>
    <row r="799" spans="1:24" ht="15.75" thickBot="1" x14ac:dyDescent="0.3">
      <c r="A799" t="str">
        <f t="shared" si="12"/>
        <v>RMSBRS45130ARL</v>
      </c>
      <c r="B799" s="22" t="s">
        <v>4399</v>
      </c>
      <c r="C799" s="22" t="s">
        <v>4400</v>
      </c>
      <c r="D799" s="22" t="s">
        <v>4401</v>
      </c>
      <c r="E799" s="22" t="s">
        <v>3132</v>
      </c>
      <c r="F799" s="22" t="s">
        <v>3133</v>
      </c>
      <c r="G799" s="28" t="s">
        <v>2012</v>
      </c>
      <c r="H799" s="22" t="s">
        <v>4402</v>
      </c>
      <c r="I799" s="22" t="s">
        <v>4403</v>
      </c>
      <c r="J799" s="22" t="s">
        <v>364</v>
      </c>
      <c r="K799" s="22" t="s">
        <v>924</v>
      </c>
      <c r="L799" s="22" t="s">
        <v>3136</v>
      </c>
      <c r="M799" s="22" t="s">
        <v>2532</v>
      </c>
      <c r="N799" s="28" t="s">
        <v>2494</v>
      </c>
      <c r="O799" s="28" t="s">
        <v>2016</v>
      </c>
      <c r="P799" s="29">
        <v>15512.513999999999</v>
      </c>
      <c r="Q799" s="28" t="s">
        <v>1164</v>
      </c>
      <c r="R799" s="37">
        <v>23.392900749245001</v>
      </c>
      <c r="S799" s="34">
        <v>42629.73</v>
      </c>
      <c r="T799" s="32">
        <v>663.12913333333302</v>
      </c>
      <c r="U799" s="32">
        <v>0</v>
      </c>
      <c r="V799" s="37">
        <v>23.392900749245001</v>
      </c>
      <c r="W799" s="36">
        <v>46110</v>
      </c>
      <c r="X799" s="36">
        <v>46111</v>
      </c>
    </row>
    <row r="800" spans="1:24" ht="15.75" thickBot="1" x14ac:dyDescent="0.3">
      <c r="A800" t="str">
        <f t="shared" si="12"/>
        <v>RMSBRS502A74A</v>
      </c>
      <c r="B800" s="22" t="s">
        <v>4404</v>
      </c>
      <c r="C800" s="22" t="s">
        <v>4405</v>
      </c>
      <c r="D800" s="22" t="s">
        <v>4406</v>
      </c>
      <c r="E800" s="22" t="s">
        <v>3132</v>
      </c>
      <c r="F800" s="22" t="s">
        <v>3976</v>
      </c>
      <c r="G800" s="28" t="s">
        <v>2012</v>
      </c>
      <c r="H800" s="22" t="s">
        <v>2716</v>
      </c>
      <c r="I800" s="22" t="s">
        <v>2717</v>
      </c>
      <c r="J800" s="22" t="s">
        <v>364</v>
      </c>
      <c r="K800" s="22" t="s">
        <v>924</v>
      </c>
      <c r="L800" s="22" t="s">
        <v>3136</v>
      </c>
      <c r="M800" s="22" t="s">
        <v>2532</v>
      </c>
      <c r="N800" s="28" t="s">
        <v>2494</v>
      </c>
      <c r="O800" s="28" t="s">
        <v>2016</v>
      </c>
      <c r="P800" s="29">
        <v>53105.224999999999</v>
      </c>
      <c r="Q800" s="28" t="s">
        <v>1164</v>
      </c>
      <c r="R800" s="37">
        <v>23.750614018937</v>
      </c>
      <c r="S800" s="34">
        <v>143739.75</v>
      </c>
      <c r="T800" s="32">
        <v>2235.95166666667</v>
      </c>
      <c r="U800" s="32">
        <v>0</v>
      </c>
      <c r="V800" s="37">
        <v>23.750614018937</v>
      </c>
      <c r="W800" s="36">
        <v>46110</v>
      </c>
      <c r="X800" s="36">
        <v>46111</v>
      </c>
    </row>
    <row r="801" spans="1:24" ht="15.75" thickBot="1" x14ac:dyDescent="0.3">
      <c r="A801" t="str">
        <f t="shared" si="12"/>
        <v>RMSE200L76RL</v>
      </c>
      <c r="B801" s="22" t="s">
        <v>4407</v>
      </c>
      <c r="C801" s="22" t="s">
        <v>4408</v>
      </c>
      <c r="D801" s="22" t="s">
        <v>4409</v>
      </c>
      <c r="E801" s="22" t="s">
        <v>2527</v>
      </c>
      <c r="F801" s="22" t="s">
        <v>2570</v>
      </c>
      <c r="G801" s="28" t="s">
        <v>2012</v>
      </c>
      <c r="H801" s="22" t="s">
        <v>2716</v>
      </c>
      <c r="I801" s="22" t="s">
        <v>2717</v>
      </c>
      <c r="J801" s="22" t="s">
        <v>261</v>
      </c>
      <c r="K801" s="22" t="s">
        <v>924</v>
      </c>
      <c r="L801" s="22" t="s">
        <v>2531</v>
      </c>
      <c r="M801" s="22" t="s">
        <v>2532</v>
      </c>
      <c r="N801" s="28" t="s">
        <v>2494</v>
      </c>
      <c r="O801" s="28" t="s">
        <v>2016</v>
      </c>
      <c r="P801" s="29">
        <v>15571.851000000001</v>
      </c>
      <c r="Q801" s="28" t="s">
        <v>1164</v>
      </c>
      <c r="R801" s="37">
        <v>22.079041645857998</v>
      </c>
      <c r="S801" s="34">
        <v>45339.267</v>
      </c>
      <c r="T801" s="32">
        <v>705.27748666666696</v>
      </c>
      <c r="U801" s="32">
        <v>0</v>
      </c>
      <c r="V801" s="37">
        <v>22.079041645857998</v>
      </c>
      <c r="W801" s="36">
        <v>46109</v>
      </c>
      <c r="X801" s="36">
        <v>46111</v>
      </c>
    </row>
    <row r="802" spans="1:24" ht="15.75" thickBot="1" x14ac:dyDescent="0.3">
      <c r="A802" t="str">
        <f t="shared" si="12"/>
        <v>RMSE513D20RL</v>
      </c>
      <c r="B802" s="22" t="s">
        <v>4410</v>
      </c>
      <c r="C802" s="22" t="s">
        <v>4411</v>
      </c>
      <c r="D802" s="22" t="s">
        <v>4412</v>
      </c>
      <c r="E802" s="22" t="s">
        <v>2527</v>
      </c>
      <c r="F802" s="22" t="s">
        <v>4413</v>
      </c>
      <c r="G802" s="28" t="s">
        <v>2012</v>
      </c>
      <c r="H802" s="22" t="s">
        <v>2543</v>
      </c>
      <c r="I802" s="22" t="s">
        <v>2544</v>
      </c>
      <c r="J802" s="22" t="s">
        <v>261</v>
      </c>
      <c r="K802" s="22" t="s">
        <v>924</v>
      </c>
      <c r="L802" s="22" t="s">
        <v>2531</v>
      </c>
      <c r="M802" s="22" t="s">
        <v>2532</v>
      </c>
      <c r="N802" s="28" t="s">
        <v>2494</v>
      </c>
      <c r="O802" s="28" t="s">
        <v>2016</v>
      </c>
      <c r="P802" s="29">
        <v>168315.2</v>
      </c>
      <c r="Q802" s="28" t="s">
        <v>1164</v>
      </c>
      <c r="R802" s="37">
        <v>24.109062240739998</v>
      </c>
      <c r="S802" s="34">
        <v>448804.8</v>
      </c>
      <c r="T802" s="32">
        <v>6981.4080000000004</v>
      </c>
      <c r="U802" s="32">
        <v>0</v>
      </c>
      <c r="V802" s="37">
        <v>24.109062240739998</v>
      </c>
      <c r="W802" s="36">
        <v>46111</v>
      </c>
      <c r="X802" s="36">
        <v>46111</v>
      </c>
    </row>
    <row r="803" spans="1:24" ht="15.75" thickBot="1" x14ac:dyDescent="0.3">
      <c r="A803" t="str">
        <f t="shared" si="12"/>
        <v>RMSF12K76/7</v>
      </c>
      <c r="B803" s="22" t="s">
        <v>4414</v>
      </c>
      <c r="C803" s="22" t="s">
        <v>4415</v>
      </c>
      <c r="D803" s="22" t="s">
        <v>4416</v>
      </c>
      <c r="E803" s="22" t="s">
        <v>3123</v>
      </c>
      <c r="F803" s="22" t="s">
        <v>4199</v>
      </c>
      <c r="G803" s="28" t="s">
        <v>2012</v>
      </c>
      <c r="H803" s="22" t="s">
        <v>2529</v>
      </c>
      <c r="I803" s="22" t="s">
        <v>2530</v>
      </c>
      <c r="J803" s="22" t="s">
        <v>364</v>
      </c>
      <c r="K803" s="22" t="s">
        <v>924</v>
      </c>
      <c r="L803" s="22" t="s">
        <v>2558</v>
      </c>
      <c r="M803" s="22" t="s">
        <v>2532</v>
      </c>
      <c r="N803" s="28" t="s">
        <v>2494</v>
      </c>
      <c r="O803" s="28" t="s">
        <v>2016</v>
      </c>
      <c r="P803" s="29">
        <v>64804.04</v>
      </c>
      <c r="Q803" s="28" t="s">
        <v>1164</v>
      </c>
      <c r="R803" s="37">
        <v>24.935304571443002</v>
      </c>
      <c r="S803" s="34">
        <v>167071.31</v>
      </c>
      <c r="T803" s="32">
        <v>2598.8870444444401</v>
      </c>
      <c r="U803" s="32">
        <v>0</v>
      </c>
      <c r="V803" s="37">
        <v>24.935304571443002</v>
      </c>
      <c r="W803" s="36">
        <v>46111</v>
      </c>
      <c r="X803" s="36">
        <v>46111</v>
      </c>
    </row>
    <row r="804" spans="1:24" ht="15.75" thickBot="1" x14ac:dyDescent="0.3">
      <c r="A804" t="str">
        <f t="shared" si="12"/>
        <v>RMSLB68612898/9</v>
      </c>
      <c r="B804" s="22" t="s">
        <v>4417</v>
      </c>
      <c r="C804" s="22" t="s">
        <v>4418</v>
      </c>
      <c r="D804" s="22" t="s">
        <v>4419</v>
      </c>
      <c r="E804" s="22" t="s">
        <v>2527</v>
      </c>
      <c r="F804" s="22" t="s">
        <v>4420</v>
      </c>
      <c r="G804" s="28" t="s">
        <v>2012</v>
      </c>
      <c r="H804" s="22" t="s">
        <v>4090</v>
      </c>
      <c r="I804" s="22" t="s">
        <v>4091</v>
      </c>
      <c r="J804" s="22" t="s">
        <v>3324</v>
      </c>
      <c r="K804" s="22" t="s">
        <v>3324</v>
      </c>
      <c r="L804" s="22" t="s">
        <v>2531</v>
      </c>
      <c r="M804" s="22" t="s">
        <v>2532</v>
      </c>
      <c r="N804" s="28" t="s">
        <v>2494</v>
      </c>
      <c r="O804" s="28" t="s">
        <v>2016</v>
      </c>
      <c r="P804" s="29">
        <v>49850.156000000003</v>
      </c>
      <c r="Q804" s="28" t="s">
        <v>1164</v>
      </c>
      <c r="R804" s="37">
        <v>24.894005965592999</v>
      </c>
      <c r="S804" s="34">
        <v>128731.908</v>
      </c>
      <c r="T804" s="32">
        <v>2002.49634666667</v>
      </c>
      <c r="U804" s="32">
        <v>0</v>
      </c>
      <c r="V804" s="37">
        <v>24.894005965592999</v>
      </c>
      <c r="W804" s="36">
        <v>46111</v>
      </c>
      <c r="X804" s="36">
        <v>46111</v>
      </c>
    </row>
    <row r="805" spans="1:24" ht="15.75" thickBot="1" x14ac:dyDescent="0.3">
      <c r="A805" t="str">
        <f t="shared" si="12"/>
        <v>RMSWL68426192</v>
      </c>
      <c r="B805" s="22" t="s">
        <v>4421</v>
      </c>
      <c r="C805" s="22" t="s">
        <v>4422</v>
      </c>
      <c r="D805" s="22" t="s">
        <v>4423</v>
      </c>
      <c r="E805" s="22" t="s">
        <v>2527</v>
      </c>
      <c r="F805" s="22" t="s">
        <v>3569</v>
      </c>
      <c r="G805" s="28" t="s">
        <v>2012</v>
      </c>
      <c r="H805" s="22" t="s">
        <v>3758</v>
      </c>
      <c r="I805" s="22" t="s">
        <v>3759</v>
      </c>
      <c r="J805" s="22" t="s">
        <v>1117</v>
      </c>
      <c r="K805" s="22" t="s">
        <v>924</v>
      </c>
      <c r="L805" s="22" t="s">
        <v>2531</v>
      </c>
      <c r="M805" s="22" t="s">
        <v>2532</v>
      </c>
      <c r="N805" s="28" t="s">
        <v>2494</v>
      </c>
      <c r="O805" s="28" t="s">
        <v>2016</v>
      </c>
      <c r="P805" s="29">
        <v>10315</v>
      </c>
      <c r="Q805" s="28" t="s">
        <v>1164</v>
      </c>
      <c r="R805" s="37">
        <v>23.898281376981998</v>
      </c>
      <c r="S805" s="34">
        <v>27747.063999999998</v>
      </c>
      <c r="T805" s="32">
        <v>431.62099555555602</v>
      </c>
      <c r="U805" s="32">
        <v>0</v>
      </c>
      <c r="V805" s="37">
        <v>23.898281376981998</v>
      </c>
      <c r="W805" s="36">
        <v>46110</v>
      </c>
      <c r="X805" s="36">
        <v>46111</v>
      </c>
    </row>
    <row r="806" spans="1:24" ht="15.75" thickBot="1" x14ac:dyDescent="0.3">
      <c r="A806" t="str">
        <f t="shared" si="12"/>
        <v>85058016</v>
      </c>
      <c r="B806" s="22" t="s">
        <v>417</v>
      </c>
      <c r="C806" s="22" t="s">
        <v>4424</v>
      </c>
      <c r="D806" s="22" t="s">
        <v>4425</v>
      </c>
      <c r="E806" s="22" t="s">
        <v>4426</v>
      </c>
      <c r="F806" s="22" t="s">
        <v>4263</v>
      </c>
      <c r="G806" s="28" t="s">
        <v>2012</v>
      </c>
      <c r="H806" s="22" t="s">
        <v>2027</v>
      </c>
      <c r="I806" s="21"/>
      <c r="J806" s="22" t="s">
        <v>404</v>
      </c>
      <c r="K806" s="22" t="s">
        <v>262</v>
      </c>
      <c r="L806" s="21"/>
      <c r="M806" s="22" t="s">
        <v>2014</v>
      </c>
      <c r="N806" s="28" t="s">
        <v>2015</v>
      </c>
      <c r="O806" s="28" t="s">
        <v>2016</v>
      </c>
      <c r="P806" s="29">
        <v>514</v>
      </c>
      <c r="Q806" s="28" t="s">
        <v>2017</v>
      </c>
      <c r="R806" s="37">
        <v>25.496031746031001</v>
      </c>
      <c r="S806" s="29">
        <v>1296</v>
      </c>
      <c r="T806" s="32">
        <v>20.16</v>
      </c>
      <c r="U806" s="32">
        <v>0</v>
      </c>
      <c r="V806" s="37">
        <v>25.496031746031001</v>
      </c>
      <c r="W806" s="36">
        <v>46112</v>
      </c>
      <c r="X806" s="36">
        <v>46112</v>
      </c>
    </row>
    <row r="807" spans="1:24" ht="15.75" thickBot="1" x14ac:dyDescent="0.3">
      <c r="A807" t="str">
        <f t="shared" si="12"/>
        <v>86787809</v>
      </c>
      <c r="B807" s="22" t="s">
        <v>486</v>
      </c>
      <c r="C807" s="22" t="s">
        <v>4427</v>
      </c>
      <c r="D807" s="22" t="s">
        <v>4428</v>
      </c>
      <c r="E807" s="22" t="s">
        <v>4429</v>
      </c>
      <c r="F807" s="22" t="s">
        <v>4430</v>
      </c>
      <c r="G807" s="28" t="s">
        <v>2012</v>
      </c>
      <c r="H807" s="22" t="s">
        <v>2027</v>
      </c>
      <c r="I807" s="21"/>
      <c r="J807" s="22" t="s">
        <v>404</v>
      </c>
      <c r="K807" s="22" t="s">
        <v>262</v>
      </c>
      <c r="L807" s="21"/>
      <c r="M807" s="22" t="s">
        <v>2014</v>
      </c>
      <c r="N807" s="28" t="s">
        <v>2015</v>
      </c>
      <c r="O807" s="28" t="s">
        <v>2016</v>
      </c>
      <c r="P807" s="29">
        <v>505</v>
      </c>
      <c r="Q807" s="28" t="s">
        <v>2017</v>
      </c>
      <c r="R807" s="37">
        <v>25.224775224775001</v>
      </c>
      <c r="S807" s="29">
        <v>1287</v>
      </c>
      <c r="T807" s="32">
        <v>20.02</v>
      </c>
      <c r="U807" s="32">
        <v>0</v>
      </c>
      <c r="V807" s="37">
        <v>25.224775224775001</v>
      </c>
      <c r="W807" s="36">
        <v>46112</v>
      </c>
      <c r="X807" s="36">
        <v>46112</v>
      </c>
    </row>
    <row r="808" spans="1:24" ht="15.75" thickBot="1" x14ac:dyDescent="0.3">
      <c r="A808" t="str">
        <f t="shared" si="12"/>
        <v>DET2650840A</v>
      </c>
      <c r="B808" s="22" t="s">
        <v>1111</v>
      </c>
      <c r="C808" s="22" t="s">
        <v>4431</v>
      </c>
      <c r="D808" s="22" t="s">
        <v>4294</v>
      </c>
      <c r="E808" s="22" t="s">
        <v>4432</v>
      </c>
      <c r="F808" s="22" t="s">
        <v>4433</v>
      </c>
      <c r="G808" s="28" t="s">
        <v>2012</v>
      </c>
      <c r="H808" s="22" t="s">
        <v>2080</v>
      </c>
      <c r="I808" s="21"/>
      <c r="J808" s="22" t="s">
        <v>494</v>
      </c>
      <c r="K808" s="22" t="s">
        <v>924</v>
      </c>
      <c r="L808" s="21"/>
      <c r="M808" s="22" t="s">
        <v>2034</v>
      </c>
      <c r="N808" s="28" t="s">
        <v>2015</v>
      </c>
      <c r="O808" s="28" t="s">
        <v>2016</v>
      </c>
      <c r="P808" s="29">
        <v>6023</v>
      </c>
      <c r="Q808" s="28" t="s">
        <v>2017</v>
      </c>
      <c r="R808" s="37">
        <v>25.048056484852999</v>
      </c>
      <c r="S808" s="29">
        <v>15458</v>
      </c>
      <c r="T808" s="32">
        <v>240.45777777777801</v>
      </c>
      <c r="U808" s="32">
        <v>0</v>
      </c>
      <c r="V808" s="37">
        <v>25.048056484852999</v>
      </c>
      <c r="W808" s="36">
        <v>46112</v>
      </c>
      <c r="X808" s="36">
        <v>46112</v>
      </c>
    </row>
    <row r="809" spans="1:24" ht="15.75" thickBot="1" x14ac:dyDescent="0.3">
      <c r="A809" t="str">
        <f t="shared" si="12"/>
        <v>DET68425102</v>
      </c>
      <c r="B809" s="22" t="s">
        <v>1448</v>
      </c>
      <c r="C809" s="22" t="s">
        <v>3279</v>
      </c>
      <c r="D809" s="22" t="s">
        <v>4434</v>
      </c>
      <c r="E809" s="21"/>
      <c r="F809" s="22" t="s">
        <v>4435</v>
      </c>
      <c r="G809" s="28" t="s">
        <v>2012</v>
      </c>
      <c r="H809" s="22" t="s">
        <v>2022</v>
      </c>
      <c r="I809" s="21"/>
      <c r="J809" s="22" t="s">
        <v>1117</v>
      </c>
      <c r="K809" s="22" t="s">
        <v>924</v>
      </c>
      <c r="L809" s="21"/>
      <c r="M809" s="22" t="s">
        <v>2034</v>
      </c>
      <c r="N809" s="28" t="s">
        <v>2015</v>
      </c>
      <c r="O809" s="28" t="s">
        <v>2016</v>
      </c>
      <c r="P809" s="29">
        <v>10772</v>
      </c>
      <c r="Q809" s="28" t="s">
        <v>2017</v>
      </c>
      <c r="R809" s="37">
        <v>25.391819972341999</v>
      </c>
      <c r="S809" s="29">
        <v>27272</v>
      </c>
      <c r="T809" s="32">
        <v>424.23111111111098</v>
      </c>
      <c r="U809" s="32">
        <v>0</v>
      </c>
      <c r="V809" s="37">
        <v>25.391819972341999</v>
      </c>
      <c r="W809" s="36">
        <v>46112</v>
      </c>
      <c r="X809" s="36">
        <v>46112</v>
      </c>
    </row>
    <row r="810" spans="1:24" ht="15.75" thickBot="1" x14ac:dyDescent="0.3">
      <c r="A810" t="str">
        <f t="shared" si="12"/>
        <v>DET68586415AA</v>
      </c>
      <c r="B810" s="22" t="s">
        <v>1462</v>
      </c>
      <c r="C810" s="22" t="s">
        <v>4436</v>
      </c>
      <c r="D810" s="22" t="s">
        <v>4277</v>
      </c>
      <c r="E810" s="21"/>
      <c r="F810" s="22" t="s">
        <v>4437</v>
      </c>
      <c r="G810" s="28" t="s">
        <v>2012</v>
      </c>
      <c r="H810" s="22" t="s">
        <v>4279</v>
      </c>
      <c r="I810" s="21"/>
      <c r="J810" s="22" t="s">
        <v>1164</v>
      </c>
      <c r="K810" s="22" t="s">
        <v>924</v>
      </c>
      <c r="L810" s="21"/>
      <c r="M810" s="22" t="s">
        <v>2034</v>
      </c>
      <c r="N810" s="28" t="s">
        <v>2015</v>
      </c>
      <c r="O810" s="28" t="s">
        <v>2016</v>
      </c>
      <c r="P810" s="29">
        <v>4437</v>
      </c>
      <c r="Q810" s="28" t="s">
        <v>2017</v>
      </c>
      <c r="R810" s="37">
        <v>25.153061224489001</v>
      </c>
      <c r="S810" s="29">
        <v>11340</v>
      </c>
      <c r="T810" s="32">
        <v>176.4</v>
      </c>
      <c r="U810" s="32">
        <v>0</v>
      </c>
      <c r="V810" s="37">
        <v>25.153061224489001</v>
      </c>
      <c r="W810" s="36">
        <v>46112</v>
      </c>
      <c r="X810" s="36">
        <v>46112</v>
      </c>
    </row>
    <row r="811" spans="1:24" ht="15.75" thickBot="1" x14ac:dyDescent="0.3">
      <c r="A811" t="str">
        <f t="shared" si="12"/>
        <v>DETE105A88N1</v>
      </c>
      <c r="B811" s="22" t="s">
        <v>1593</v>
      </c>
      <c r="C811" s="22" t="s">
        <v>4438</v>
      </c>
      <c r="D811" s="22" t="s">
        <v>4439</v>
      </c>
      <c r="E811" s="21"/>
      <c r="F811" s="22" t="s">
        <v>4440</v>
      </c>
      <c r="G811" s="28" t="s">
        <v>2012</v>
      </c>
      <c r="H811" s="22" t="s">
        <v>2055</v>
      </c>
      <c r="I811" s="21"/>
      <c r="J811" s="22" t="s">
        <v>261</v>
      </c>
      <c r="K811" s="22" t="s">
        <v>924</v>
      </c>
      <c r="L811" s="21"/>
      <c r="M811" s="22" t="s">
        <v>2034</v>
      </c>
      <c r="N811" s="28" t="s">
        <v>2015</v>
      </c>
      <c r="O811" s="28" t="s">
        <v>2016</v>
      </c>
      <c r="P811" s="29">
        <v>6914</v>
      </c>
      <c r="Q811" s="28" t="s">
        <v>2017</v>
      </c>
      <c r="R811" s="37">
        <v>25.721726190476002</v>
      </c>
      <c r="S811" s="29">
        <v>17280</v>
      </c>
      <c r="T811" s="32">
        <v>268.8</v>
      </c>
      <c r="U811" s="32">
        <v>0</v>
      </c>
      <c r="V811" s="37">
        <v>25.721726190476002</v>
      </c>
      <c r="W811" s="36">
        <v>46112</v>
      </c>
      <c r="X811" s="36">
        <v>46112</v>
      </c>
    </row>
    <row r="812" spans="1:24" ht="15.75" thickBot="1" x14ac:dyDescent="0.3">
      <c r="A812" t="str">
        <f t="shared" si="12"/>
        <v>MLDE23900APIA02</v>
      </c>
      <c r="B812" s="22" t="s">
        <v>833</v>
      </c>
      <c r="C812" s="22" t="s">
        <v>4441</v>
      </c>
      <c r="D812" s="22" t="s">
        <v>4442</v>
      </c>
      <c r="E812" s="21"/>
      <c r="F812" s="22" t="s">
        <v>4025</v>
      </c>
      <c r="G812" s="28" t="s">
        <v>2012</v>
      </c>
      <c r="H812" s="22" t="s">
        <v>2013</v>
      </c>
      <c r="I812" s="21"/>
      <c r="J812" s="22" t="s">
        <v>261</v>
      </c>
      <c r="K812" s="22" t="s">
        <v>262</v>
      </c>
      <c r="L812" s="21"/>
      <c r="M812" s="22" t="s">
        <v>2034</v>
      </c>
      <c r="N812" s="28" t="s">
        <v>2015</v>
      </c>
      <c r="O812" s="28" t="s">
        <v>2016</v>
      </c>
      <c r="P812" s="29">
        <v>2146</v>
      </c>
      <c r="Q812" s="28" t="s">
        <v>2017</v>
      </c>
      <c r="R812" s="37">
        <v>25.704703345843001</v>
      </c>
      <c r="S812" s="29">
        <v>5367</v>
      </c>
      <c r="T812" s="32">
        <v>83.486666666665997</v>
      </c>
      <c r="U812" s="32">
        <v>0</v>
      </c>
      <c r="V812" s="37">
        <v>25.704703345843001</v>
      </c>
      <c r="W812" s="36">
        <v>46112</v>
      </c>
      <c r="X812" s="36">
        <v>46112</v>
      </c>
    </row>
    <row r="813" spans="1:24" ht="15.75" thickBot="1" x14ac:dyDescent="0.3">
      <c r="A813" t="str">
        <f t="shared" si="12"/>
        <v>PCP15A861C1AW</v>
      </c>
      <c r="B813" s="22" t="s">
        <v>4443</v>
      </c>
      <c r="C813" s="22" t="s">
        <v>4444</v>
      </c>
      <c r="D813" s="22" t="s">
        <v>4445</v>
      </c>
      <c r="E813" s="21"/>
      <c r="F813" s="22" t="s">
        <v>2030</v>
      </c>
      <c r="G813" s="28" t="s">
        <v>2012</v>
      </c>
      <c r="H813" s="22" t="s">
        <v>4309</v>
      </c>
      <c r="I813" s="22" t="s">
        <v>4310</v>
      </c>
      <c r="J813" s="22" t="s">
        <v>364</v>
      </c>
      <c r="K813" s="22" t="s">
        <v>262</v>
      </c>
      <c r="L813" s="22" t="s">
        <v>4311</v>
      </c>
      <c r="M813" s="22" t="s">
        <v>2830</v>
      </c>
      <c r="N813" s="28" t="s">
        <v>2494</v>
      </c>
      <c r="O813" s="28" t="s">
        <v>2016</v>
      </c>
      <c r="P813" s="29">
        <v>2027</v>
      </c>
      <c r="Q813" s="28" t="s">
        <v>2017</v>
      </c>
      <c r="R813" s="37">
        <v>25.869990640687</v>
      </c>
      <c r="S813" s="29">
        <v>5037</v>
      </c>
      <c r="T813" s="32">
        <v>78.353333333332998</v>
      </c>
      <c r="U813" s="32">
        <v>0</v>
      </c>
      <c r="V813" s="37">
        <v>25.869990640687</v>
      </c>
      <c r="W813" s="36">
        <v>46112</v>
      </c>
      <c r="X813" s="36">
        <v>46112</v>
      </c>
    </row>
    <row r="814" spans="1:24" ht="15.75" thickBot="1" x14ac:dyDescent="0.3">
      <c r="A814" t="str">
        <f t="shared" si="12"/>
        <v>PCP2616G040APIA03</v>
      </c>
      <c r="B814" s="22" t="s">
        <v>4446</v>
      </c>
      <c r="C814" s="22" t="s">
        <v>4447</v>
      </c>
      <c r="D814" s="22" t="s">
        <v>4448</v>
      </c>
      <c r="E814" s="21"/>
      <c r="F814" s="22" t="s">
        <v>2030</v>
      </c>
      <c r="G814" s="28" t="s">
        <v>2012</v>
      </c>
      <c r="H814" s="22" t="s">
        <v>4449</v>
      </c>
      <c r="I814" s="22" t="s">
        <v>4450</v>
      </c>
      <c r="J814" s="22" t="s">
        <v>261</v>
      </c>
      <c r="K814" s="22" t="s">
        <v>262</v>
      </c>
      <c r="L814" s="22" t="s">
        <v>4451</v>
      </c>
      <c r="M814" s="22" t="s">
        <v>2130</v>
      </c>
      <c r="N814" s="28" t="s">
        <v>2494</v>
      </c>
      <c r="O814" s="28" t="s">
        <v>2016</v>
      </c>
      <c r="P814" s="29">
        <v>13930</v>
      </c>
      <c r="Q814" s="28" t="s">
        <v>2017</v>
      </c>
      <c r="R814" s="37">
        <v>25.962542038733002</v>
      </c>
      <c r="S814" s="29">
        <v>34492</v>
      </c>
      <c r="T814" s="32">
        <v>536.54222222222199</v>
      </c>
      <c r="U814" s="32">
        <v>0</v>
      </c>
      <c r="V814" s="37">
        <v>25.962542038733002</v>
      </c>
      <c r="W814" s="36">
        <v>46112</v>
      </c>
      <c r="X814" s="36">
        <v>46112</v>
      </c>
    </row>
    <row r="815" spans="1:24" ht="15.75" thickBot="1" x14ac:dyDescent="0.3">
      <c r="A815" t="str">
        <f t="shared" si="12"/>
        <v>PCP2631006APIA03</v>
      </c>
      <c r="B815" s="22" t="s">
        <v>4452</v>
      </c>
      <c r="C815" s="22" t="s">
        <v>4453</v>
      </c>
      <c r="D815" s="22" t="s">
        <v>4454</v>
      </c>
      <c r="E815" s="21"/>
      <c r="F815" s="22" t="s">
        <v>2030</v>
      </c>
      <c r="G815" s="28" t="s">
        <v>2012</v>
      </c>
      <c r="H815" s="22" t="s">
        <v>3856</v>
      </c>
      <c r="I815" s="22" t="s">
        <v>3857</v>
      </c>
      <c r="J815" s="22" t="s">
        <v>261</v>
      </c>
      <c r="K815" s="22" t="s">
        <v>262</v>
      </c>
      <c r="L815" s="22" t="s">
        <v>3858</v>
      </c>
      <c r="M815" s="22" t="s">
        <v>2130</v>
      </c>
      <c r="N815" s="28" t="s">
        <v>2494</v>
      </c>
      <c r="O815" s="28" t="s">
        <v>2016</v>
      </c>
      <c r="P815" s="29">
        <v>6784</v>
      </c>
      <c r="Q815" s="28" t="s">
        <v>2017</v>
      </c>
      <c r="R815" s="37">
        <v>25.374660249855999</v>
      </c>
      <c r="S815" s="29">
        <v>17187</v>
      </c>
      <c r="T815" s="32">
        <v>267.35333333333301</v>
      </c>
      <c r="U815" s="32">
        <v>0</v>
      </c>
      <c r="V815" s="37">
        <v>25.374660249855999</v>
      </c>
      <c r="W815" s="36">
        <v>46112</v>
      </c>
      <c r="X815" s="36">
        <v>46112</v>
      </c>
    </row>
    <row r="816" spans="1:24" ht="15.75" thickBot="1" x14ac:dyDescent="0.3">
      <c r="A816" t="str">
        <f t="shared" si="12"/>
        <v>PCPE31002CPIA02</v>
      </c>
      <c r="B816" s="22" t="s">
        <v>4455</v>
      </c>
      <c r="C816" s="22" t="s">
        <v>4456</v>
      </c>
      <c r="D816" s="22" t="s">
        <v>4457</v>
      </c>
      <c r="E816" s="22" t="s">
        <v>4458</v>
      </c>
      <c r="F816" s="22" t="s">
        <v>2030</v>
      </c>
      <c r="G816" s="28" t="s">
        <v>2012</v>
      </c>
      <c r="H816" s="22" t="s">
        <v>3897</v>
      </c>
      <c r="I816" s="22" t="s">
        <v>3898</v>
      </c>
      <c r="J816" s="22" t="s">
        <v>261</v>
      </c>
      <c r="K816" s="22" t="s">
        <v>262</v>
      </c>
      <c r="L816" s="22" t="s">
        <v>3899</v>
      </c>
      <c r="M816" s="22" t="s">
        <v>2130</v>
      </c>
      <c r="N816" s="28" t="s">
        <v>2494</v>
      </c>
      <c r="O816" s="28" t="s">
        <v>2016</v>
      </c>
      <c r="P816" s="29">
        <v>12859</v>
      </c>
      <c r="Q816" s="28" t="s">
        <v>2017</v>
      </c>
      <c r="R816" s="37">
        <v>25.033311125916001</v>
      </c>
      <c r="S816" s="29">
        <v>33022</v>
      </c>
      <c r="T816" s="32">
        <v>513.675555555556</v>
      </c>
      <c r="U816" s="32">
        <v>0</v>
      </c>
      <c r="V816" s="37">
        <v>25.033311125916001</v>
      </c>
      <c r="W816" s="36">
        <v>46112</v>
      </c>
      <c r="X816" s="36">
        <v>46112</v>
      </c>
    </row>
    <row r="817" spans="1:24" ht="15.75" thickBot="1" x14ac:dyDescent="0.3">
      <c r="A817" t="str">
        <f t="shared" si="12"/>
        <v>PCPE41018APIA05</v>
      </c>
      <c r="B817" s="22" t="s">
        <v>4459</v>
      </c>
      <c r="C817" s="22" t="s">
        <v>4460</v>
      </c>
      <c r="D817" s="22" t="s">
        <v>4461</v>
      </c>
      <c r="E817" s="21"/>
      <c r="F817" s="22" t="s">
        <v>2030</v>
      </c>
      <c r="G817" s="28" t="s">
        <v>2012</v>
      </c>
      <c r="H817" s="22" t="s">
        <v>4462</v>
      </c>
      <c r="I817" s="22" t="s">
        <v>4463</v>
      </c>
      <c r="J817" s="22" t="s">
        <v>261</v>
      </c>
      <c r="K817" s="22" t="s">
        <v>924</v>
      </c>
      <c r="L817" s="22" t="s">
        <v>4464</v>
      </c>
      <c r="M817" s="22" t="s">
        <v>2130</v>
      </c>
      <c r="N817" s="28" t="s">
        <v>2494</v>
      </c>
      <c r="O817" s="28" t="s">
        <v>2016</v>
      </c>
      <c r="P817" s="29">
        <v>13544</v>
      </c>
      <c r="Q817" s="28" t="s">
        <v>2017</v>
      </c>
      <c r="R817" s="37">
        <v>25.162872501176</v>
      </c>
      <c r="S817" s="29">
        <v>34602</v>
      </c>
      <c r="T817" s="32">
        <v>538.25333333333299</v>
      </c>
      <c r="U817" s="32">
        <v>0</v>
      </c>
      <c r="V817" s="37">
        <v>25.162872501176</v>
      </c>
      <c r="W817" s="36">
        <v>46112</v>
      </c>
      <c r="X817" s="36">
        <v>46112</v>
      </c>
    </row>
    <row r="818" spans="1:24" ht="15.75" thickBot="1" x14ac:dyDescent="0.3">
      <c r="A818" t="str">
        <f t="shared" si="12"/>
        <v>PCPW718226-S450B</v>
      </c>
      <c r="B818" s="22" t="s">
        <v>4465</v>
      </c>
      <c r="C818" s="21"/>
      <c r="D818" s="22" t="s">
        <v>3618</v>
      </c>
      <c r="E818" s="22" t="s">
        <v>3619</v>
      </c>
      <c r="F818" s="22" t="s">
        <v>2030</v>
      </c>
      <c r="G818" s="28" t="s">
        <v>2012</v>
      </c>
      <c r="H818" s="22" t="s">
        <v>4058</v>
      </c>
      <c r="I818" s="22" t="s">
        <v>4059</v>
      </c>
      <c r="J818" s="22" t="s">
        <v>364</v>
      </c>
      <c r="K818" s="22" t="s">
        <v>262</v>
      </c>
      <c r="L818" s="22" t="s">
        <v>3620</v>
      </c>
      <c r="M818" s="22" t="s">
        <v>2830</v>
      </c>
      <c r="N818" s="28" t="s">
        <v>2494</v>
      </c>
      <c r="O818" s="28" t="s">
        <v>2016</v>
      </c>
      <c r="P818" s="29">
        <v>80802</v>
      </c>
      <c r="Q818" s="28" t="s">
        <v>2017</v>
      </c>
      <c r="R818" s="37">
        <v>25.957664924538001</v>
      </c>
      <c r="S818" s="29">
        <v>200111</v>
      </c>
      <c r="T818" s="32">
        <v>3112.83777777778</v>
      </c>
      <c r="U818" s="32">
        <v>0</v>
      </c>
      <c r="V818" s="37">
        <v>25.957664924538001</v>
      </c>
      <c r="W818" s="36">
        <v>46112</v>
      </c>
      <c r="X818" s="36">
        <v>46112</v>
      </c>
    </row>
    <row r="819" spans="1:24" ht="15.75" thickBot="1" x14ac:dyDescent="0.3">
      <c r="A819" t="str">
        <f t="shared" si="12"/>
        <v>REPACKE410A43</v>
      </c>
      <c r="B819" s="22" t="s">
        <v>1519</v>
      </c>
      <c r="C819" s="22" t="s">
        <v>4466</v>
      </c>
      <c r="D819" s="22" t="s">
        <v>4467</v>
      </c>
      <c r="E819" s="22" t="s">
        <v>4468</v>
      </c>
      <c r="F819" s="22" t="s">
        <v>4469</v>
      </c>
      <c r="G819" s="28" t="s">
        <v>2012</v>
      </c>
      <c r="H819" s="22" t="s">
        <v>2013</v>
      </c>
      <c r="I819" s="21"/>
      <c r="J819" s="22" t="s">
        <v>261</v>
      </c>
      <c r="K819" s="22" t="s">
        <v>924</v>
      </c>
      <c r="L819" s="21"/>
      <c r="M819" s="22" t="s">
        <v>2034</v>
      </c>
      <c r="N819" s="28" t="s">
        <v>2015</v>
      </c>
      <c r="O819" s="28" t="s">
        <v>2016</v>
      </c>
      <c r="P819" s="29">
        <v>5365</v>
      </c>
      <c r="Q819" s="28" t="s">
        <v>2017</v>
      </c>
      <c r="R819" s="37">
        <v>25.661670918367001</v>
      </c>
      <c r="S819" s="29">
        <v>13440</v>
      </c>
      <c r="T819" s="32">
        <v>209.066666666667</v>
      </c>
      <c r="U819" s="32">
        <v>0</v>
      </c>
      <c r="V819" s="37">
        <v>25.661670918367001</v>
      </c>
      <c r="W819" s="36">
        <v>46112</v>
      </c>
      <c r="X819" s="36">
        <v>46112</v>
      </c>
    </row>
    <row r="820" spans="1:24" ht="15.75" thickBot="1" x14ac:dyDescent="0.3">
      <c r="A820" t="str">
        <f t="shared" si="12"/>
        <v>RMPADX5023</v>
      </c>
      <c r="B820" s="22" t="s">
        <v>4470</v>
      </c>
      <c r="C820" s="22" t="s">
        <v>4471</v>
      </c>
      <c r="D820" s="22" t="s">
        <v>4472</v>
      </c>
      <c r="E820" s="22" t="s">
        <v>3946</v>
      </c>
      <c r="F820" s="22" t="s">
        <v>2030</v>
      </c>
      <c r="G820" s="28" t="s">
        <v>2012</v>
      </c>
      <c r="H820" s="22" t="s">
        <v>3745</v>
      </c>
      <c r="I820" s="22" t="s">
        <v>3746</v>
      </c>
      <c r="J820" s="22" t="s">
        <v>494</v>
      </c>
      <c r="K820" s="22" t="s">
        <v>262</v>
      </c>
      <c r="L820" s="22" t="s">
        <v>3380</v>
      </c>
      <c r="M820" s="22" t="s">
        <v>2523</v>
      </c>
      <c r="N820" s="28" t="s">
        <v>2494</v>
      </c>
      <c r="O820" s="28" t="s">
        <v>2016</v>
      </c>
      <c r="P820" s="29">
        <v>56329.222800000003</v>
      </c>
      <c r="Q820" s="28" t="s">
        <v>1164</v>
      </c>
      <c r="R820" s="37">
        <v>25.171348405349001</v>
      </c>
      <c r="S820" s="34">
        <v>143860.5618</v>
      </c>
      <c r="T820" s="32">
        <v>2237.8309613333299</v>
      </c>
      <c r="U820" s="32">
        <v>0</v>
      </c>
      <c r="V820" s="37">
        <v>25.171348405349001</v>
      </c>
      <c r="W820" s="36">
        <v>46112</v>
      </c>
      <c r="X820" s="36">
        <v>46112</v>
      </c>
    </row>
    <row r="821" spans="1:24" ht="15.75" thickBot="1" x14ac:dyDescent="0.3">
      <c r="A821" t="str">
        <f t="shared" si="12"/>
        <v>85033344</v>
      </c>
      <c r="B821" s="22" t="s">
        <v>478</v>
      </c>
      <c r="C821" s="22" t="s">
        <v>4473</v>
      </c>
      <c r="D821" s="22" t="s">
        <v>4474</v>
      </c>
      <c r="E821" s="22" t="s">
        <v>4475</v>
      </c>
      <c r="F821" s="22" t="s">
        <v>3663</v>
      </c>
      <c r="G821" s="28" t="s">
        <v>2012</v>
      </c>
      <c r="H821" s="22" t="s">
        <v>2027</v>
      </c>
      <c r="I821" s="21"/>
      <c r="J821" s="22" t="s">
        <v>404</v>
      </c>
      <c r="K821" s="22" t="s">
        <v>262</v>
      </c>
      <c r="L821" s="21"/>
      <c r="M821" s="22" t="s">
        <v>2014</v>
      </c>
      <c r="N821" s="28" t="s">
        <v>2015</v>
      </c>
      <c r="O821" s="28" t="s">
        <v>2016</v>
      </c>
      <c r="P821" s="29">
        <v>80</v>
      </c>
      <c r="Q821" s="28" t="s">
        <v>2017</v>
      </c>
      <c r="R821" s="37">
        <v>26.785714285714</v>
      </c>
      <c r="S821" s="29">
        <v>192</v>
      </c>
      <c r="T821" s="32">
        <v>2.9866666666659998</v>
      </c>
      <c r="U821" s="32">
        <v>0</v>
      </c>
      <c r="V821" s="37">
        <v>26.785714285714</v>
      </c>
      <c r="W821" s="36">
        <v>46113</v>
      </c>
      <c r="X821" s="36">
        <v>46113</v>
      </c>
    </row>
    <row r="822" spans="1:24" ht="15.75" thickBot="1" x14ac:dyDescent="0.3">
      <c r="A822" t="str">
        <f t="shared" si="12"/>
        <v>DET68586414AA</v>
      </c>
      <c r="B822" s="22" t="s">
        <v>1460</v>
      </c>
      <c r="C822" s="22" t="s">
        <v>4476</v>
      </c>
      <c r="D822" s="22" t="s">
        <v>4277</v>
      </c>
      <c r="E822" s="21"/>
      <c r="F822" s="22" t="s">
        <v>4477</v>
      </c>
      <c r="G822" s="28" t="s">
        <v>2012</v>
      </c>
      <c r="H822" s="22" t="s">
        <v>4279</v>
      </c>
      <c r="I822" s="21"/>
      <c r="J822" s="22" t="s">
        <v>1164</v>
      </c>
      <c r="K822" s="22" t="s">
        <v>924</v>
      </c>
      <c r="L822" s="21"/>
      <c r="M822" s="22" t="s">
        <v>2034</v>
      </c>
      <c r="N822" s="28" t="s">
        <v>2015</v>
      </c>
      <c r="O822" s="28" t="s">
        <v>2016</v>
      </c>
      <c r="P822" s="29">
        <v>4476</v>
      </c>
      <c r="Q822" s="28" t="s">
        <v>2017</v>
      </c>
      <c r="R822" s="37">
        <v>26.434805433427002</v>
      </c>
      <c r="S822" s="29">
        <v>10885</v>
      </c>
      <c r="T822" s="32">
        <v>169.322222222222</v>
      </c>
      <c r="U822" s="32">
        <v>0</v>
      </c>
      <c r="V822" s="37">
        <v>26.434805433427002</v>
      </c>
      <c r="W822" s="36">
        <v>46113</v>
      </c>
      <c r="X822" s="36">
        <v>46113</v>
      </c>
    </row>
    <row r="823" spans="1:24" ht="15.75" thickBot="1" x14ac:dyDescent="0.3">
      <c r="A823" t="str">
        <f t="shared" si="12"/>
        <v>MLDE025B84B1NB</v>
      </c>
      <c r="B823" s="22" t="s">
        <v>577</v>
      </c>
      <c r="C823" s="22" t="s">
        <v>2575</v>
      </c>
      <c r="D823" s="22" t="s">
        <v>3833</v>
      </c>
      <c r="E823" s="22" t="s">
        <v>2337</v>
      </c>
      <c r="F823" s="22" t="s">
        <v>3266</v>
      </c>
      <c r="G823" s="28" t="s">
        <v>2012</v>
      </c>
      <c r="H823" s="22" t="s">
        <v>2037</v>
      </c>
      <c r="I823" s="21"/>
      <c r="J823" s="22" t="s">
        <v>261</v>
      </c>
      <c r="K823" s="22" t="s">
        <v>262</v>
      </c>
      <c r="L823" s="21"/>
      <c r="M823" s="22" t="s">
        <v>2034</v>
      </c>
      <c r="N823" s="28" t="s">
        <v>2015</v>
      </c>
      <c r="O823" s="28" t="s">
        <v>2016</v>
      </c>
      <c r="P823" s="29">
        <v>1021</v>
      </c>
      <c r="Q823" s="28" t="s">
        <v>2017</v>
      </c>
      <c r="R823" s="37">
        <v>26.233299075024998</v>
      </c>
      <c r="S823" s="29">
        <v>2502</v>
      </c>
      <c r="T823" s="32">
        <v>38.92</v>
      </c>
      <c r="U823" s="32">
        <v>0</v>
      </c>
      <c r="V823" s="37">
        <v>26.233299075024998</v>
      </c>
      <c r="W823" s="36">
        <v>46113</v>
      </c>
      <c r="X823" s="36">
        <v>46113</v>
      </c>
    </row>
    <row r="824" spans="1:24" ht="15.75" thickBot="1" x14ac:dyDescent="0.3">
      <c r="A824" t="str">
        <f t="shared" si="12"/>
        <v>MLDE27406-M</v>
      </c>
      <c r="B824" s="22" t="s">
        <v>687</v>
      </c>
      <c r="C824" s="22" t="s">
        <v>4478</v>
      </c>
      <c r="D824" s="22" t="s">
        <v>4479</v>
      </c>
      <c r="E824" s="21"/>
      <c r="F824" s="22" t="s">
        <v>2436</v>
      </c>
      <c r="G824" s="28" t="s">
        <v>2012</v>
      </c>
      <c r="H824" s="22" t="s">
        <v>2013</v>
      </c>
      <c r="I824" s="21"/>
      <c r="J824" s="22" t="s">
        <v>261</v>
      </c>
      <c r="K824" s="22" t="s">
        <v>262</v>
      </c>
      <c r="L824" s="21"/>
      <c r="M824" s="22" t="s">
        <v>2034</v>
      </c>
      <c r="N824" s="28" t="s">
        <v>2015</v>
      </c>
      <c r="O824" s="28" t="s">
        <v>2016</v>
      </c>
      <c r="P824" s="29">
        <v>1049</v>
      </c>
      <c r="Q824" s="28" t="s">
        <v>2017</v>
      </c>
      <c r="R824" s="37">
        <v>26.270243196616001</v>
      </c>
      <c r="S824" s="29">
        <v>2567</v>
      </c>
      <c r="T824" s="32">
        <v>39.931111111111001</v>
      </c>
      <c r="U824" s="32">
        <v>0</v>
      </c>
      <c r="V824" s="37">
        <v>26.270243196616001</v>
      </c>
      <c r="W824" s="36">
        <v>46113</v>
      </c>
      <c r="X824" s="36">
        <v>46113</v>
      </c>
    </row>
    <row r="825" spans="1:24" ht="15.75" thickBot="1" x14ac:dyDescent="0.3">
      <c r="A825" t="str">
        <f t="shared" si="12"/>
        <v>N1WB E26290 BA</v>
      </c>
      <c r="B825" s="22" t="s">
        <v>1243</v>
      </c>
      <c r="C825" s="22" t="s">
        <v>4480</v>
      </c>
      <c r="D825" s="22" t="s">
        <v>4027</v>
      </c>
      <c r="E825" s="22" t="s">
        <v>4028</v>
      </c>
      <c r="F825" s="22" t="s">
        <v>2255</v>
      </c>
      <c r="G825" s="28" t="s">
        <v>2012</v>
      </c>
      <c r="H825" s="22" t="s">
        <v>2013</v>
      </c>
      <c r="I825" s="21"/>
      <c r="J825" s="22" t="s">
        <v>261</v>
      </c>
      <c r="K825" s="22" t="s">
        <v>924</v>
      </c>
      <c r="L825" s="21"/>
      <c r="M825" s="22" t="s">
        <v>2014</v>
      </c>
      <c r="N825" s="28" t="s">
        <v>2015</v>
      </c>
      <c r="O825" s="28" t="s">
        <v>2016</v>
      </c>
      <c r="P825" s="29">
        <v>6963</v>
      </c>
      <c r="Q825" s="28" t="s">
        <v>2017</v>
      </c>
      <c r="R825" s="37">
        <v>26.644132653061</v>
      </c>
      <c r="S825" s="29">
        <v>16800</v>
      </c>
      <c r="T825" s="32">
        <v>261.33333333333297</v>
      </c>
      <c r="U825" s="32">
        <v>0</v>
      </c>
      <c r="V825" s="37">
        <v>26.644132653061</v>
      </c>
      <c r="W825" s="36">
        <v>46113</v>
      </c>
      <c r="X825" s="36">
        <v>46113</v>
      </c>
    </row>
    <row r="826" spans="1:24" ht="15.75" thickBot="1" x14ac:dyDescent="0.3">
      <c r="A826" t="str">
        <f t="shared" si="12"/>
        <v>PC26551A</v>
      </c>
      <c r="B826" s="22" t="s">
        <v>1175</v>
      </c>
      <c r="C826" s="22" t="s">
        <v>4481</v>
      </c>
      <c r="D826" s="22" t="s">
        <v>3293</v>
      </c>
      <c r="E826" s="22" t="s">
        <v>4482</v>
      </c>
      <c r="F826" s="22" t="s">
        <v>4483</v>
      </c>
      <c r="G826" s="28" t="s">
        <v>2012</v>
      </c>
      <c r="H826" s="22" t="s">
        <v>2022</v>
      </c>
      <c r="I826" s="21"/>
      <c r="J826" s="22" t="s">
        <v>1117</v>
      </c>
      <c r="K826" s="22" t="s">
        <v>924</v>
      </c>
      <c r="L826" s="21"/>
      <c r="M826" s="22" t="s">
        <v>2014</v>
      </c>
      <c r="N826" s="28" t="s">
        <v>2015</v>
      </c>
      <c r="O826" s="28" t="s">
        <v>2016</v>
      </c>
      <c r="P826" s="29">
        <v>13912</v>
      </c>
      <c r="Q826" s="28" t="s">
        <v>2017</v>
      </c>
      <c r="R826" s="37">
        <v>26.617346938775</v>
      </c>
      <c r="S826" s="29">
        <v>33600</v>
      </c>
      <c r="T826" s="32">
        <v>522.66666666666697</v>
      </c>
      <c r="U826" s="32">
        <v>0</v>
      </c>
      <c r="V826" s="37">
        <v>26.617346938775</v>
      </c>
      <c r="W826" s="36">
        <v>46113</v>
      </c>
      <c r="X826" s="36">
        <v>46113</v>
      </c>
    </row>
    <row r="827" spans="1:24" ht="15.75" thickBot="1" x14ac:dyDescent="0.3">
      <c r="A827" t="str">
        <f t="shared" si="12"/>
        <v>PC31587B</v>
      </c>
      <c r="B827" s="22" t="s">
        <v>1182</v>
      </c>
      <c r="C827" s="22" t="s">
        <v>4484</v>
      </c>
      <c r="D827" s="22" t="s">
        <v>1183</v>
      </c>
      <c r="E827" s="22" t="s">
        <v>4485</v>
      </c>
      <c r="F827" s="22" t="s">
        <v>4486</v>
      </c>
      <c r="G827" s="28" t="s">
        <v>2012</v>
      </c>
      <c r="H827" s="22" t="s">
        <v>2022</v>
      </c>
      <c r="I827" s="21"/>
      <c r="J827" s="22" t="s">
        <v>1117</v>
      </c>
      <c r="K827" s="22" t="s">
        <v>924</v>
      </c>
      <c r="L827" s="21"/>
      <c r="M827" s="22" t="s">
        <v>2014</v>
      </c>
      <c r="N827" s="28" t="s">
        <v>2015</v>
      </c>
      <c r="O827" s="28" t="s">
        <v>2016</v>
      </c>
      <c r="P827" s="29">
        <v>13912</v>
      </c>
      <c r="Q827" s="28" t="s">
        <v>2017</v>
      </c>
      <c r="R827" s="37">
        <v>26.074135776759</v>
      </c>
      <c r="S827" s="29">
        <v>34300</v>
      </c>
      <c r="T827" s="32">
        <v>533.555555555556</v>
      </c>
      <c r="U827" s="32">
        <v>0</v>
      </c>
      <c r="V827" s="37">
        <v>26.074135776759</v>
      </c>
      <c r="W827" s="36">
        <v>46113</v>
      </c>
      <c r="X827" s="36">
        <v>46113</v>
      </c>
    </row>
    <row r="828" spans="1:24" ht="15.75" thickBot="1" x14ac:dyDescent="0.3">
      <c r="A828" t="str">
        <f t="shared" si="12"/>
        <v>PCP17D568EPIA03</v>
      </c>
      <c r="B828" s="22" t="s">
        <v>4487</v>
      </c>
      <c r="C828" s="21"/>
      <c r="D828" s="22" t="s">
        <v>4488</v>
      </c>
      <c r="E828" s="21"/>
      <c r="F828" s="22" t="s">
        <v>2030</v>
      </c>
      <c r="G828" s="28" t="s">
        <v>2012</v>
      </c>
      <c r="H828" s="22" t="s">
        <v>3856</v>
      </c>
      <c r="I828" s="22" t="s">
        <v>3857</v>
      </c>
      <c r="J828" s="22" t="s">
        <v>261</v>
      </c>
      <c r="K828" s="22" t="s">
        <v>262</v>
      </c>
      <c r="L828" s="22" t="s">
        <v>3861</v>
      </c>
      <c r="M828" s="22" t="s">
        <v>2130</v>
      </c>
      <c r="N828" s="28" t="s">
        <v>2494</v>
      </c>
      <c r="O828" s="28" t="s">
        <v>2016</v>
      </c>
      <c r="P828" s="29">
        <v>7194</v>
      </c>
      <c r="Q828" s="28" t="s">
        <v>2017</v>
      </c>
      <c r="R828" s="37">
        <v>26.408829863603</v>
      </c>
      <c r="S828" s="29">
        <v>17512</v>
      </c>
      <c r="T828" s="32">
        <v>272.40888888888901</v>
      </c>
      <c r="U828" s="32">
        <v>0</v>
      </c>
      <c r="V828" s="37">
        <v>26.408829863603</v>
      </c>
      <c r="W828" s="36">
        <v>46113</v>
      </c>
      <c r="X828" s="36">
        <v>46113</v>
      </c>
    </row>
    <row r="829" spans="1:24" ht="15.75" thickBot="1" x14ac:dyDescent="0.3">
      <c r="A829" t="str">
        <f t="shared" si="12"/>
        <v>PCP2616G040PIA03</v>
      </c>
      <c r="B829" s="22" t="s">
        <v>4489</v>
      </c>
      <c r="C829" s="22" t="s">
        <v>4490</v>
      </c>
      <c r="D829" s="22" t="s">
        <v>3712</v>
      </c>
      <c r="E829" s="22" t="s">
        <v>3902</v>
      </c>
      <c r="F829" s="22" t="s">
        <v>2030</v>
      </c>
      <c r="G829" s="28" t="s">
        <v>2012</v>
      </c>
      <c r="H829" s="22" t="s">
        <v>3906</v>
      </c>
      <c r="I829" s="22" t="s">
        <v>3907</v>
      </c>
      <c r="J829" s="22" t="s">
        <v>261</v>
      </c>
      <c r="K829" s="22" t="s">
        <v>262</v>
      </c>
      <c r="L829" s="22" t="s">
        <v>4126</v>
      </c>
      <c r="M829" s="22" t="s">
        <v>2130</v>
      </c>
      <c r="N829" s="28" t="s">
        <v>2494</v>
      </c>
      <c r="O829" s="28" t="s">
        <v>2016</v>
      </c>
      <c r="P829" s="29">
        <v>28214</v>
      </c>
      <c r="Q829" s="28" t="s">
        <v>2017</v>
      </c>
      <c r="R829" s="37">
        <v>26.341308569435999</v>
      </c>
      <c r="S829" s="29">
        <v>68856</v>
      </c>
      <c r="T829" s="32">
        <v>1071.0933333333301</v>
      </c>
      <c r="U829" s="32">
        <v>0</v>
      </c>
      <c r="V829" s="37">
        <v>26.341308569435999</v>
      </c>
      <c r="W829" s="36">
        <v>46113</v>
      </c>
      <c r="X829" s="36">
        <v>46113</v>
      </c>
    </row>
    <row r="830" spans="1:24" ht="15.75" thickBot="1" x14ac:dyDescent="0.3">
      <c r="A830" t="str">
        <f t="shared" si="12"/>
        <v>PCPDT68310054AA</v>
      </c>
      <c r="B830" s="22" t="s">
        <v>4491</v>
      </c>
      <c r="C830" s="22" t="s">
        <v>4492</v>
      </c>
      <c r="D830" s="22" t="s">
        <v>4493</v>
      </c>
      <c r="E830" s="22" t="s">
        <v>4494</v>
      </c>
      <c r="F830" s="22" t="s">
        <v>2030</v>
      </c>
      <c r="G830" s="28" t="s">
        <v>2012</v>
      </c>
      <c r="H830" s="22" t="s">
        <v>4495</v>
      </c>
      <c r="I830" s="22" t="s">
        <v>4496</v>
      </c>
      <c r="J830" s="22" t="s">
        <v>698</v>
      </c>
      <c r="K830" s="22" t="s">
        <v>262</v>
      </c>
      <c r="L830" s="22" t="s">
        <v>4497</v>
      </c>
      <c r="M830" s="22" t="s">
        <v>2130</v>
      </c>
      <c r="N830" s="28" t="s">
        <v>2494</v>
      </c>
      <c r="O830" s="28" t="s">
        <v>2016</v>
      </c>
      <c r="P830" s="29">
        <v>250602</v>
      </c>
      <c r="Q830" s="28" t="s">
        <v>2017</v>
      </c>
      <c r="R830" s="37">
        <v>26.649807731572</v>
      </c>
      <c r="S830" s="29">
        <v>604512</v>
      </c>
      <c r="T830" s="32">
        <v>9403.52</v>
      </c>
      <c r="U830" s="32">
        <v>0</v>
      </c>
      <c r="V830" s="37">
        <v>26.649807731572</v>
      </c>
      <c r="W830" s="36">
        <v>46113</v>
      </c>
      <c r="X830" s="36">
        <v>46113</v>
      </c>
    </row>
    <row r="831" spans="1:24" ht="15.75" thickBot="1" x14ac:dyDescent="0.3">
      <c r="A831" t="str">
        <f t="shared" si="12"/>
        <v>PCS06510978AAWL</v>
      </c>
      <c r="B831" s="22" t="s">
        <v>4498</v>
      </c>
      <c r="C831" s="21"/>
      <c r="D831" s="22" t="s">
        <v>2959</v>
      </c>
      <c r="E831" s="22" t="s">
        <v>3342</v>
      </c>
      <c r="F831" s="22" t="s">
        <v>2030</v>
      </c>
      <c r="G831" s="28" t="s">
        <v>2012</v>
      </c>
      <c r="H831" s="22" t="s">
        <v>3927</v>
      </c>
      <c r="I831" s="22" t="s">
        <v>3928</v>
      </c>
      <c r="J831" s="22" t="s">
        <v>1117</v>
      </c>
      <c r="K831" s="22" t="s">
        <v>924</v>
      </c>
      <c r="L831" s="22" t="s">
        <v>2964</v>
      </c>
      <c r="M831" s="22" t="s">
        <v>2130</v>
      </c>
      <c r="N831" s="28" t="s">
        <v>2494</v>
      </c>
      <c r="O831" s="28" t="s">
        <v>2016</v>
      </c>
      <c r="P831" s="29">
        <v>49610</v>
      </c>
      <c r="Q831" s="28" t="s">
        <v>2017</v>
      </c>
      <c r="R831" s="37">
        <v>26.018472655225001</v>
      </c>
      <c r="S831" s="29">
        <v>122575</v>
      </c>
      <c r="T831" s="32">
        <v>1906.7222222222199</v>
      </c>
      <c r="U831" s="32">
        <v>0</v>
      </c>
      <c r="V831" s="37">
        <v>26.018472655225001</v>
      </c>
      <c r="W831" s="36">
        <v>46113</v>
      </c>
      <c r="X831" s="36">
        <v>46113</v>
      </c>
    </row>
    <row r="832" spans="1:24" ht="15.75" thickBot="1" x14ac:dyDescent="0.3">
      <c r="A832" t="str">
        <f t="shared" si="12"/>
        <v>PCSW520712S300</v>
      </c>
      <c r="B832" s="22" t="s">
        <v>4499</v>
      </c>
      <c r="C832" s="21"/>
      <c r="D832" s="22" t="s">
        <v>2959</v>
      </c>
      <c r="E832" s="22" t="s">
        <v>3357</v>
      </c>
      <c r="F832" s="22" t="s">
        <v>2030</v>
      </c>
      <c r="G832" s="28" t="s">
        <v>2012</v>
      </c>
      <c r="H832" s="22" t="s">
        <v>3927</v>
      </c>
      <c r="I832" s="22" t="s">
        <v>3928</v>
      </c>
      <c r="J832" s="22" t="s">
        <v>494</v>
      </c>
      <c r="K832" s="22" t="s">
        <v>924</v>
      </c>
      <c r="L832" s="22" t="s">
        <v>2964</v>
      </c>
      <c r="M832" s="22" t="s">
        <v>2130</v>
      </c>
      <c r="N832" s="28" t="s">
        <v>2494</v>
      </c>
      <c r="O832" s="28" t="s">
        <v>2016</v>
      </c>
      <c r="P832" s="29">
        <v>20456</v>
      </c>
      <c r="Q832" s="28" t="s">
        <v>2017</v>
      </c>
      <c r="R832" s="37">
        <v>26.637806053205001</v>
      </c>
      <c r="S832" s="29">
        <v>49367</v>
      </c>
      <c r="T832" s="32">
        <v>767.93111111111102</v>
      </c>
      <c r="U832" s="32">
        <v>0</v>
      </c>
      <c r="V832" s="37">
        <v>26.637806053205001</v>
      </c>
      <c r="W832" s="36">
        <v>46113</v>
      </c>
      <c r="X832" s="36">
        <v>46113</v>
      </c>
    </row>
    <row r="833" spans="1:24" ht="15.75" thickBot="1" x14ac:dyDescent="0.3">
      <c r="A833" t="str">
        <f t="shared" si="12"/>
        <v>PCSW703193S300</v>
      </c>
      <c r="B833" s="22" t="s">
        <v>4500</v>
      </c>
      <c r="C833" s="21"/>
      <c r="D833" s="22" t="s">
        <v>2959</v>
      </c>
      <c r="E833" s="22" t="s">
        <v>3357</v>
      </c>
      <c r="F833" s="22" t="s">
        <v>2030</v>
      </c>
      <c r="G833" s="28" t="s">
        <v>2012</v>
      </c>
      <c r="H833" s="22" t="s">
        <v>4501</v>
      </c>
      <c r="I833" s="22" t="s">
        <v>4502</v>
      </c>
      <c r="J833" s="22" t="s">
        <v>494</v>
      </c>
      <c r="K833" s="22" t="s">
        <v>924</v>
      </c>
      <c r="L833" s="22" t="s">
        <v>2964</v>
      </c>
      <c r="M833" s="22" t="s">
        <v>2130</v>
      </c>
      <c r="N833" s="28" t="s">
        <v>2494</v>
      </c>
      <c r="O833" s="28" t="s">
        <v>2016</v>
      </c>
      <c r="P833" s="29">
        <v>63415</v>
      </c>
      <c r="Q833" s="28" t="s">
        <v>2017</v>
      </c>
      <c r="R833" s="37">
        <v>26.463003215981999</v>
      </c>
      <c r="S833" s="29">
        <v>154052</v>
      </c>
      <c r="T833" s="32">
        <v>2396.3644444444399</v>
      </c>
      <c r="U833" s="32">
        <v>0</v>
      </c>
      <c r="V833" s="37">
        <v>26.463003215981999</v>
      </c>
      <c r="W833" s="36">
        <v>46113</v>
      </c>
      <c r="X833" s="36">
        <v>46113</v>
      </c>
    </row>
    <row r="834" spans="1:24" ht="15.75" thickBot="1" x14ac:dyDescent="0.3">
      <c r="A834" t="str">
        <f t="shared" si="12"/>
        <v>RMPADX5324</v>
      </c>
      <c r="B834" s="22" t="s">
        <v>4503</v>
      </c>
      <c r="C834" s="21"/>
      <c r="D834" s="22" t="s">
        <v>4504</v>
      </c>
      <c r="E834" s="22" t="s">
        <v>3117</v>
      </c>
      <c r="F834" s="22" t="s">
        <v>2030</v>
      </c>
      <c r="G834" s="28" t="s">
        <v>2012</v>
      </c>
      <c r="H834" s="22" t="s">
        <v>3745</v>
      </c>
      <c r="I834" s="22" t="s">
        <v>3746</v>
      </c>
      <c r="J834" s="22" t="s">
        <v>494</v>
      </c>
      <c r="K834" s="22" t="s">
        <v>262</v>
      </c>
      <c r="L834" s="22" t="s">
        <v>3380</v>
      </c>
      <c r="M834" s="22" t="s">
        <v>2523</v>
      </c>
      <c r="N834" s="28" t="s">
        <v>2494</v>
      </c>
      <c r="O834" s="28" t="s">
        <v>2016</v>
      </c>
      <c r="P834" s="29">
        <v>1493.36</v>
      </c>
      <c r="Q834" s="28" t="s">
        <v>1164</v>
      </c>
      <c r="R834" s="37">
        <v>26.728618680107001</v>
      </c>
      <c r="S834" s="34">
        <v>3591.72</v>
      </c>
      <c r="T834" s="32">
        <v>55.871200000000002</v>
      </c>
      <c r="U834" s="32">
        <v>0</v>
      </c>
      <c r="V834" s="37">
        <v>26.728618680107001</v>
      </c>
      <c r="W834" s="36">
        <v>46113</v>
      </c>
      <c r="X834" s="36">
        <v>46113</v>
      </c>
    </row>
    <row r="835" spans="1:24" ht="15.75" thickBot="1" x14ac:dyDescent="0.3">
      <c r="A835" t="str">
        <f t="shared" si="12"/>
        <v>RMS26613E42RLA</v>
      </c>
      <c r="B835" s="22" t="s">
        <v>4505</v>
      </c>
      <c r="C835" s="22" t="s">
        <v>4506</v>
      </c>
      <c r="D835" s="22" t="s">
        <v>4507</v>
      </c>
      <c r="E835" s="22" t="s">
        <v>2527</v>
      </c>
      <c r="F835" s="22" t="s">
        <v>3486</v>
      </c>
      <c r="G835" s="28" t="s">
        <v>2012</v>
      </c>
      <c r="H835" s="22" t="s">
        <v>2529</v>
      </c>
      <c r="I835" s="22" t="s">
        <v>2530</v>
      </c>
      <c r="J835" s="22" t="s">
        <v>261</v>
      </c>
      <c r="K835" s="22" t="s">
        <v>924</v>
      </c>
      <c r="L835" s="22" t="s">
        <v>2531</v>
      </c>
      <c r="M835" s="22" t="s">
        <v>2532</v>
      </c>
      <c r="N835" s="28" t="s">
        <v>2494</v>
      </c>
      <c r="O835" s="28" t="s">
        <v>2016</v>
      </c>
      <c r="P835" s="29">
        <v>46976.67</v>
      </c>
      <c r="Q835" s="28" t="s">
        <v>1164</v>
      </c>
      <c r="R835" s="37">
        <v>26.654055873992998</v>
      </c>
      <c r="S835" s="34">
        <v>113300.91</v>
      </c>
      <c r="T835" s="32">
        <v>1762.4585999999999</v>
      </c>
      <c r="U835" s="32">
        <v>0</v>
      </c>
      <c r="V835" s="37">
        <v>26.654055873992998</v>
      </c>
      <c r="W835" s="36">
        <v>46113</v>
      </c>
      <c r="X835" s="36">
        <v>46113</v>
      </c>
    </row>
    <row r="836" spans="1:24" ht="15.75" thickBot="1" x14ac:dyDescent="0.3">
      <c r="A836" t="str">
        <f t="shared" si="12"/>
        <v>RMS8A297PIA02/04</v>
      </c>
      <c r="B836" s="22" t="s">
        <v>4508</v>
      </c>
      <c r="C836" s="22" t="s">
        <v>4509</v>
      </c>
      <c r="D836" s="22" t="s">
        <v>4510</v>
      </c>
      <c r="E836" s="22" t="s">
        <v>2720</v>
      </c>
      <c r="F836" s="22" t="s">
        <v>4152</v>
      </c>
      <c r="G836" s="28" t="s">
        <v>2012</v>
      </c>
      <c r="H836" s="22" t="s">
        <v>2543</v>
      </c>
      <c r="I836" s="22" t="s">
        <v>2544</v>
      </c>
      <c r="J836" s="22" t="s">
        <v>1128</v>
      </c>
      <c r="K836" s="22" t="s">
        <v>924</v>
      </c>
      <c r="L836" s="22" t="s">
        <v>2531</v>
      </c>
      <c r="M836" s="22" t="s">
        <v>2532</v>
      </c>
      <c r="N836" s="28" t="s">
        <v>2494</v>
      </c>
      <c r="O836" s="28" t="s">
        <v>2016</v>
      </c>
      <c r="P836" s="29">
        <v>259263.20800000001</v>
      </c>
      <c r="Q836" s="28" t="s">
        <v>1164</v>
      </c>
      <c r="R836" s="37">
        <v>26.710630382032999</v>
      </c>
      <c r="S836" s="34">
        <v>623980.80000000005</v>
      </c>
      <c r="T836" s="32">
        <v>9706.3680000000004</v>
      </c>
      <c r="U836" s="32">
        <v>0</v>
      </c>
      <c r="V836" s="37">
        <v>26.710630382032999</v>
      </c>
      <c r="W836" s="36">
        <v>46113</v>
      </c>
      <c r="X836" s="36">
        <v>46113</v>
      </c>
    </row>
    <row r="837" spans="1:24" ht="15.75" thickBot="1" x14ac:dyDescent="0.3">
      <c r="A837" t="str">
        <f t="shared" ref="A837:A900" si="13">TRIM(B837)</f>
        <v>ST17210352AA</v>
      </c>
      <c r="B837" s="22" t="s">
        <v>1386</v>
      </c>
      <c r="C837" s="22" t="s">
        <v>4511</v>
      </c>
      <c r="D837" s="22" t="s">
        <v>4512</v>
      </c>
      <c r="E837" s="22" t="s">
        <v>4513</v>
      </c>
      <c r="F837" s="22" t="s">
        <v>4514</v>
      </c>
      <c r="G837" s="28" t="s">
        <v>2012</v>
      </c>
      <c r="H837" s="22" t="s">
        <v>2794</v>
      </c>
      <c r="I837" s="21"/>
      <c r="J837" s="22" t="s">
        <v>892</v>
      </c>
      <c r="K837" s="22" t="s">
        <v>924</v>
      </c>
      <c r="L837" s="21"/>
      <c r="M837" s="22" t="s">
        <v>2014</v>
      </c>
      <c r="N837" s="28" t="s">
        <v>2015</v>
      </c>
      <c r="O837" s="28" t="s">
        <v>2016</v>
      </c>
      <c r="P837" s="29">
        <v>5023</v>
      </c>
      <c r="Q837" s="28" t="s">
        <v>2017</v>
      </c>
      <c r="R837" s="37">
        <v>26.511259676283998</v>
      </c>
      <c r="S837" s="29">
        <v>12180</v>
      </c>
      <c r="T837" s="32">
        <v>189.46666666666701</v>
      </c>
      <c r="U837" s="32">
        <v>0</v>
      </c>
      <c r="V837" s="37">
        <v>26.511259676283998</v>
      </c>
      <c r="W837" s="36">
        <v>46113</v>
      </c>
      <c r="X837" s="36">
        <v>46113</v>
      </c>
    </row>
    <row r="838" spans="1:24" ht="15.75" thickBot="1" x14ac:dyDescent="0.3">
      <c r="A838" t="str">
        <f t="shared" si="13"/>
        <v>85132154</v>
      </c>
      <c r="B838" s="22" t="s">
        <v>414</v>
      </c>
      <c r="C838" s="22" t="s">
        <v>2309</v>
      </c>
      <c r="D838" s="22" t="s">
        <v>4515</v>
      </c>
      <c r="E838" s="22" t="s">
        <v>3496</v>
      </c>
      <c r="F838" s="22" t="s">
        <v>4516</v>
      </c>
      <c r="G838" s="28" t="s">
        <v>2012</v>
      </c>
      <c r="H838" s="22" t="s">
        <v>2027</v>
      </c>
      <c r="I838" s="21"/>
      <c r="J838" s="22" t="s">
        <v>404</v>
      </c>
      <c r="K838" s="22" t="s">
        <v>262</v>
      </c>
      <c r="L838" s="21"/>
      <c r="M838" s="22" t="s">
        <v>2014</v>
      </c>
      <c r="N838" s="28" t="s">
        <v>2015</v>
      </c>
      <c r="O838" s="28" t="s">
        <v>2016</v>
      </c>
      <c r="P838" s="29">
        <v>818</v>
      </c>
      <c r="Q838" s="28" t="s">
        <v>2017</v>
      </c>
      <c r="R838" s="37">
        <v>27.676691729323</v>
      </c>
      <c r="S838" s="29">
        <v>1900</v>
      </c>
      <c r="T838" s="32">
        <v>29.555555555554999</v>
      </c>
      <c r="U838" s="32">
        <v>0</v>
      </c>
      <c r="V838" s="37">
        <v>27.676691729323</v>
      </c>
      <c r="W838" s="36">
        <v>46114</v>
      </c>
      <c r="X838" s="36">
        <v>46114</v>
      </c>
    </row>
    <row r="839" spans="1:24" ht="15.75" thickBot="1" x14ac:dyDescent="0.3">
      <c r="A839" t="str">
        <f t="shared" si="13"/>
        <v>DET2102221AE</v>
      </c>
      <c r="B839" s="22" t="s">
        <v>1259</v>
      </c>
      <c r="C839" s="22" t="s">
        <v>2252</v>
      </c>
      <c r="D839" s="22" t="s">
        <v>4517</v>
      </c>
      <c r="E839" s="22" t="s">
        <v>4518</v>
      </c>
      <c r="F839" s="22" t="s">
        <v>4519</v>
      </c>
      <c r="G839" s="28" t="s">
        <v>2012</v>
      </c>
      <c r="H839" s="22" t="s">
        <v>2080</v>
      </c>
      <c r="I839" s="21"/>
      <c r="J839" s="22" t="s">
        <v>261</v>
      </c>
      <c r="K839" s="22" t="s">
        <v>924</v>
      </c>
      <c r="L839" s="21"/>
      <c r="M839" s="22" t="s">
        <v>2034</v>
      </c>
      <c r="N839" s="28" t="s">
        <v>2015</v>
      </c>
      <c r="O839" s="28" t="s">
        <v>2016</v>
      </c>
      <c r="P839" s="29">
        <v>7104</v>
      </c>
      <c r="Q839" s="28" t="s">
        <v>2017</v>
      </c>
      <c r="R839" s="37">
        <v>27.149736299013998</v>
      </c>
      <c r="S839" s="29">
        <v>16821</v>
      </c>
      <c r="T839" s="32">
        <v>261.66000000000003</v>
      </c>
      <c r="U839" s="32">
        <v>0</v>
      </c>
      <c r="V839" s="37">
        <v>27.149736299013998</v>
      </c>
      <c r="W839" s="36">
        <v>46114</v>
      </c>
      <c r="X839" s="36">
        <v>46114</v>
      </c>
    </row>
    <row r="840" spans="1:24" ht="15.75" thickBot="1" x14ac:dyDescent="0.3">
      <c r="A840" t="str">
        <f t="shared" si="13"/>
        <v>DET21022A06MB</v>
      </c>
      <c r="B840" s="22" t="s">
        <v>1401</v>
      </c>
      <c r="C840" s="22" t="s">
        <v>4520</v>
      </c>
      <c r="D840" s="22" t="s">
        <v>4521</v>
      </c>
      <c r="E840" s="21"/>
      <c r="F840" s="22" t="s">
        <v>4522</v>
      </c>
      <c r="G840" s="28" t="s">
        <v>2012</v>
      </c>
      <c r="H840" s="22" t="s">
        <v>2781</v>
      </c>
      <c r="I840" s="21"/>
      <c r="J840" s="22" t="s">
        <v>261</v>
      </c>
      <c r="K840" s="22" t="s">
        <v>924</v>
      </c>
      <c r="L840" s="21"/>
      <c r="M840" s="22" t="s">
        <v>2034</v>
      </c>
      <c r="N840" s="28" t="s">
        <v>2015</v>
      </c>
      <c r="O840" s="28" t="s">
        <v>2016</v>
      </c>
      <c r="P840" s="29">
        <v>8014</v>
      </c>
      <c r="Q840" s="28" t="s">
        <v>2017</v>
      </c>
      <c r="R840" s="37">
        <v>27.060915762459999</v>
      </c>
      <c r="S840" s="29">
        <v>19038</v>
      </c>
      <c r="T840" s="32">
        <v>296.14666666666699</v>
      </c>
      <c r="U840" s="32">
        <v>0</v>
      </c>
      <c r="V840" s="37">
        <v>27.060915762459999</v>
      </c>
      <c r="W840" s="36">
        <v>46114</v>
      </c>
      <c r="X840" s="36">
        <v>46114</v>
      </c>
    </row>
    <row r="841" spans="1:24" ht="15.75" thickBot="1" x14ac:dyDescent="0.3">
      <c r="A841" t="str">
        <f t="shared" si="13"/>
        <v>DET2110782A</v>
      </c>
      <c r="B841" s="22" t="s">
        <v>1263</v>
      </c>
      <c r="C841" s="22" t="s">
        <v>4523</v>
      </c>
      <c r="D841" s="22" t="s">
        <v>4524</v>
      </c>
      <c r="E841" s="22" t="s">
        <v>4525</v>
      </c>
      <c r="F841" s="22" t="s">
        <v>4526</v>
      </c>
      <c r="G841" s="28" t="s">
        <v>2012</v>
      </c>
      <c r="H841" s="22" t="s">
        <v>2080</v>
      </c>
      <c r="I841" s="21"/>
      <c r="J841" s="22" t="s">
        <v>494</v>
      </c>
      <c r="K841" s="22" t="s">
        <v>924</v>
      </c>
      <c r="L841" s="21"/>
      <c r="M841" s="22" t="s">
        <v>2034</v>
      </c>
      <c r="N841" s="28" t="s">
        <v>2015</v>
      </c>
      <c r="O841" s="28" t="s">
        <v>2016</v>
      </c>
      <c r="P841" s="29">
        <v>7410</v>
      </c>
      <c r="Q841" s="28" t="s">
        <v>2017</v>
      </c>
      <c r="R841" s="37">
        <v>27.167625348302</v>
      </c>
      <c r="S841" s="29">
        <v>17534</v>
      </c>
      <c r="T841" s="32">
        <v>272.75111111111102</v>
      </c>
      <c r="U841" s="32">
        <v>0</v>
      </c>
      <c r="V841" s="37">
        <v>27.167625348302</v>
      </c>
      <c r="W841" s="36">
        <v>46114</v>
      </c>
      <c r="X841" s="36">
        <v>46114</v>
      </c>
    </row>
    <row r="842" spans="1:24" ht="15.75" thickBot="1" x14ac:dyDescent="0.3">
      <c r="A842" t="str">
        <f t="shared" si="13"/>
        <v>PC26591A</v>
      </c>
      <c r="B842" s="22" t="s">
        <v>1622</v>
      </c>
      <c r="C842" s="22" t="s">
        <v>4527</v>
      </c>
      <c r="D842" s="22" t="s">
        <v>4528</v>
      </c>
      <c r="E842" s="22" t="s">
        <v>4529</v>
      </c>
      <c r="F842" s="22" t="s">
        <v>2139</v>
      </c>
      <c r="G842" s="28" t="s">
        <v>2012</v>
      </c>
      <c r="H842" s="22" t="s">
        <v>2022</v>
      </c>
      <c r="I842" s="21"/>
      <c r="J842" s="22" t="s">
        <v>1117</v>
      </c>
      <c r="K842" s="22" t="s">
        <v>924</v>
      </c>
      <c r="L842" s="21"/>
      <c r="M842" s="22" t="s">
        <v>2014</v>
      </c>
      <c r="N842" s="28" t="s">
        <v>2015</v>
      </c>
      <c r="O842" s="28" t="s">
        <v>2016</v>
      </c>
      <c r="P842" s="29">
        <v>14402</v>
      </c>
      <c r="Q842" s="28" t="s">
        <v>2017</v>
      </c>
      <c r="R842" s="37">
        <v>27.230672268907</v>
      </c>
      <c r="S842" s="29">
        <v>34000</v>
      </c>
      <c r="T842" s="32">
        <v>528.88888888888903</v>
      </c>
      <c r="U842" s="32">
        <v>0</v>
      </c>
      <c r="V842" s="37">
        <v>27.230672268907</v>
      </c>
      <c r="W842" s="36">
        <v>46114</v>
      </c>
      <c r="X842" s="36">
        <v>46114</v>
      </c>
    </row>
    <row r="843" spans="1:24" ht="15.75" thickBot="1" x14ac:dyDescent="0.3">
      <c r="A843" t="str">
        <f t="shared" si="13"/>
        <v>PCP90228</v>
      </c>
      <c r="B843" s="22" t="s">
        <v>4530</v>
      </c>
      <c r="C843" s="22" t="s">
        <v>4531</v>
      </c>
      <c r="D843" s="22" t="s">
        <v>4532</v>
      </c>
      <c r="E843" s="21"/>
      <c r="F843" s="22" t="s">
        <v>2030</v>
      </c>
      <c r="G843" s="28" t="s">
        <v>2012</v>
      </c>
      <c r="H843" s="22" t="s">
        <v>3897</v>
      </c>
      <c r="I843" s="22" t="s">
        <v>3898</v>
      </c>
      <c r="J843" s="22" t="s">
        <v>404</v>
      </c>
      <c r="K843" s="22" t="s">
        <v>262</v>
      </c>
      <c r="L843" s="22" t="s">
        <v>4042</v>
      </c>
      <c r="M843" s="22" t="s">
        <v>2130</v>
      </c>
      <c r="N843" s="28" t="s">
        <v>2494</v>
      </c>
      <c r="O843" s="28" t="s">
        <v>2016</v>
      </c>
      <c r="P843" s="29">
        <v>60652</v>
      </c>
      <c r="Q843" s="28" t="s">
        <v>2017</v>
      </c>
      <c r="R843" s="37">
        <v>27.933410296718002</v>
      </c>
      <c r="S843" s="29">
        <v>139584</v>
      </c>
      <c r="T843" s="32">
        <v>2171.30666666667</v>
      </c>
      <c r="U843" s="32">
        <v>0</v>
      </c>
      <c r="V843" s="37">
        <v>27.933410296718002</v>
      </c>
      <c r="W843" s="36">
        <v>46114</v>
      </c>
      <c r="X843" s="36">
        <v>46114</v>
      </c>
    </row>
    <row r="844" spans="1:24" ht="15.75" thickBot="1" x14ac:dyDescent="0.3">
      <c r="A844" t="str">
        <f t="shared" si="13"/>
        <v>PCPE237W28APIA71</v>
      </c>
      <c r="B844" s="22" t="s">
        <v>4533</v>
      </c>
      <c r="C844" s="21"/>
      <c r="D844" s="22" t="s">
        <v>4534</v>
      </c>
      <c r="E844" s="21"/>
      <c r="F844" s="22" t="s">
        <v>2030</v>
      </c>
      <c r="G844" s="28" t="s">
        <v>2012</v>
      </c>
      <c r="H844" s="22" t="s">
        <v>3866</v>
      </c>
      <c r="I844" s="22" t="s">
        <v>3867</v>
      </c>
      <c r="J844" s="22" t="s">
        <v>261</v>
      </c>
      <c r="K844" s="22" t="s">
        <v>262</v>
      </c>
      <c r="L844" s="22" t="s">
        <v>4115</v>
      </c>
      <c r="M844" s="22" t="s">
        <v>2130</v>
      </c>
      <c r="N844" s="28" t="s">
        <v>2494</v>
      </c>
      <c r="O844" s="28" t="s">
        <v>2016</v>
      </c>
      <c r="P844" s="29">
        <v>1184</v>
      </c>
      <c r="Q844" s="28" t="s">
        <v>2017</v>
      </c>
      <c r="R844" s="37">
        <v>27.330084637085999</v>
      </c>
      <c r="S844" s="29">
        <v>2785</v>
      </c>
      <c r="T844" s="32">
        <v>43.322222222222003</v>
      </c>
      <c r="U844" s="32">
        <v>0</v>
      </c>
      <c r="V844" s="37">
        <v>27.330084637085999</v>
      </c>
      <c r="W844" s="36">
        <v>46114</v>
      </c>
      <c r="X844" s="36">
        <v>46114</v>
      </c>
    </row>
    <row r="845" spans="1:24" ht="15.75" thickBot="1" x14ac:dyDescent="0.3">
      <c r="A845" t="str">
        <f t="shared" si="13"/>
        <v>PCPE23943APIA201MY0</v>
      </c>
      <c r="B845" s="22" t="s">
        <v>4535</v>
      </c>
      <c r="C845" s="21"/>
      <c r="D845" s="22" t="s">
        <v>4536</v>
      </c>
      <c r="E845" s="21"/>
      <c r="F845" s="22" t="s">
        <v>2030</v>
      </c>
      <c r="G845" s="28" t="s">
        <v>2012</v>
      </c>
      <c r="H845" s="22" t="s">
        <v>3866</v>
      </c>
      <c r="I845" s="22" t="s">
        <v>3867</v>
      </c>
      <c r="J845" s="22" t="s">
        <v>261</v>
      </c>
      <c r="K845" s="22" t="s">
        <v>262</v>
      </c>
      <c r="L845" s="22" t="s">
        <v>3868</v>
      </c>
      <c r="M845" s="22" t="s">
        <v>2130</v>
      </c>
      <c r="N845" s="28" t="s">
        <v>2494</v>
      </c>
      <c r="O845" s="28" t="s">
        <v>2016</v>
      </c>
      <c r="P845" s="29">
        <v>1107</v>
      </c>
      <c r="Q845" s="28" t="s">
        <v>2017</v>
      </c>
      <c r="R845" s="37">
        <v>27.604455280947999</v>
      </c>
      <c r="S845" s="29">
        <v>2578</v>
      </c>
      <c r="T845" s="32">
        <v>40.102222222221997</v>
      </c>
      <c r="U845" s="32">
        <v>0</v>
      </c>
      <c r="V845" s="37">
        <v>27.604455280947999</v>
      </c>
      <c r="W845" s="36">
        <v>46114</v>
      </c>
      <c r="X845" s="36">
        <v>46114</v>
      </c>
    </row>
    <row r="846" spans="1:24" ht="15.75" thickBot="1" x14ac:dyDescent="0.3">
      <c r="A846" t="str">
        <f t="shared" si="13"/>
        <v>PCPE27407AR04.HA</v>
      </c>
      <c r="B846" s="22" t="s">
        <v>4537</v>
      </c>
      <c r="C846" s="21"/>
      <c r="D846" s="22" t="s">
        <v>4538</v>
      </c>
      <c r="E846" s="22" t="s">
        <v>4539</v>
      </c>
      <c r="F846" s="22" t="s">
        <v>2030</v>
      </c>
      <c r="G846" s="28" t="s">
        <v>2012</v>
      </c>
      <c r="H846" s="22" t="s">
        <v>3459</v>
      </c>
      <c r="I846" s="22" t="s">
        <v>3460</v>
      </c>
      <c r="J846" s="22" t="s">
        <v>261</v>
      </c>
      <c r="K846" s="22" t="s">
        <v>262</v>
      </c>
      <c r="L846" s="22" t="s">
        <v>3318</v>
      </c>
      <c r="M846" s="22" t="s">
        <v>2130</v>
      </c>
      <c r="N846" s="28" t="s">
        <v>2494</v>
      </c>
      <c r="O846" s="28" t="s">
        <v>2016</v>
      </c>
      <c r="P846" s="29">
        <v>1112</v>
      </c>
      <c r="Q846" s="28" t="s">
        <v>2017</v>
      </c>
      <c r="R846" s="37">
        <v>27.869674185463001</v>
      </c>
      <c r="S846" s="29">
        <v>2565</v>
      </c>
      <c r="T846" s="32">
        <v>39.9</v>
      </c>
      <c r="U846" s="32">
        <v>0</v>
      </c>
      <c r="V846" s="37">
        <v>27.869674185463001</v>
      </c>
      <c r="W846" s="36">
        <v>46114</v>
      </c>
      <c r="X846" s="36">
        <v>46114</v>
      </c>
    </row>
    <row r="847" spans="1:24" ht="15.75" thickBot="1" x14ac:dyDescent="0.3">
      <c r="A847" t="str">
        <f t="shared" si="13"/>
        <v>PCPW713489</v>
      </c>
      <c r="B847" s="22" t="s">
        <v>4540</v>
      </c>
      <c r="C847" s="22" t="s">
        <v>4541</v>
      </c>
      <c r="D847" s="22" t="s">
        <v>3712</v>
      </c>
      <c r="E847" s="22" t="s">
        <v>4125</v>
      </c>
      <c r="F847" s="22" t="s">
        <v>2030</v>
      </c>
      <c r="G847" s="28" t="s">
        <v>2012</v>
      </c>
      <c r="H847" s="22" t="s">
        <v>3714</v>
      </c>
      <c r="I847" s="22" t="s">
        <v>3715</v>
      </c>
      <c r="J847" s="22" t="s">
        <v>261</v>
      </c>
      <c r="K847" s="22" t="s">
        <v>262</v>
      </c>
      <c r="L847" s="22" t="s">
        <v>4126</v>
      </c>
      <c r="M847" s="22" t="s">
        <v>2130</v>
      </c>
      <c r="N847" s="28" t="s">
        <v>2494</v>
      </c>
      <c r="O847" s="28" t="s">
        <v>2016</v>
      </c>
      <c r="P847" s="29">
        <v>13919</v>
      </c>
      <c r="Q847" s="28" t="s">
        <v>2017</v>
      </c>
      <c r="R847" s="37">
        <v>27.096870484612001</v>
      </c>
      <c r="S847" s="29">
        <v>33022</v>
      </c>
      <c r="T847" s="32">
        <v>513.675555555556</v>
      </c>
      <c r="U847" s="32">
        <v>0</v>
      </c>
      <c r="V847" s="37">
        <v>27.096870484612001</v>
      </c>
      <c r="W847" s="36">
        <v>46114</v>
      </c>
      <c r="X847" s="36">
        <v>46114</v>
      </c>
    </row>
    <row r="848" spans="1:24" ht="15.75" thickBot="1" x14ac:dyDescent="0.3">
      <c r="A848" t="str">
        <f t="shared" si="13"/>
        <v>RMS2611218A</v>
      </c>
      <c r="B848" s="22" t="s">
        <v>4542</v>
      </c>
      <c r="C848" s="22" t="s">
        <v>4543</v>
      </c>
      <c r="D848" s="22" t="s">
        <v>4544</v>
      </c>
      <c r="E848" s="22" t="s">
        <v>2527</v>
      </c>
      <c r="F848" s="22" t="s">
        <v>2981</v>
      </c>
      <c r="G848" s="28" t="s">
        <v>2012</v>
      </c>
      <c r="H848" s="22" t="s">
        <v>2982</v>
      </c>
      <c r="I848" s="22" t="s">
        <v>2983</v>
      </c>
      <c r="J848" s="22" t="s">
        <v>261</v>
      </c>
      <c r="K848" s="22" t="s">
        <v>924</v>
      </c>
      <c r="L848" s="22" t="s">
        <v>2531</v>
      </c>
      <c r="M848" s="22" t="s">
        <v>2532</v>
      </c>
      <c r="N848" s="28" t="s">
        <v>2494</v>
      </c>
      <c r="O848" s="28" t="s">
        <v>2016</v>
      </c>
      <c r="P848" s="29">
        <v>159502.71144000001</v>
      </c>
      <c r="Q848" s="28" t="s">
        <v>1164</v>
      </c>
      <c r="R848" s="37">
        <v>27.260795174173001</v>
      </c>
      <c r="S848" s="34">
        <v>376135.24</v>
      </c>
      <c r="T848" s="32">
        <v>5850.9926222222202</v>
      </c>
      <c r="U848" s="32">
        <v>0</v>
      </c>
      <c r="V848" s="37">
        <v>27.260795174173001</v>
      </c>
      <c r="W848" s="36">
        <v>46114</v>
      </c>
      <c r="X848" s="36">
        <v>46114</v>
      </c>
    </row>
    <row r="849" spans="1:24" ht="15.75" thickBot="1" x14ac:dyDescent="0.3">
      <c r="A849" t="str">
        <f t="shared" si="13"/>
        <v>RMSE403C96A</v>
      </c>
      <c r="B849" s="22" t="s">
        <v>4545</v>
      </c>
      <c r="C849" s="22" t="s">
        <v>4546</v>
      </c>
      <c r="D849" s="22" t="s">
        <v>4547</v>
      </c>
      <c r="E849" s="22" t="s">
        <v>2720</v>
      </c>
      <c r="F849" s="22" t="s">
        <v>4548</v>
      </c>
      <c r="G849" s="28" t="s">
        <v>2012</v>
      </c>
      <c r="H849" s="22" t="s">
        <v>4549</v>
      </c>
      <c r="I849" s="22" t="s">
        <v>4550</v>
      </c>
      <c r="J849" s="22" t="s">
        <v>261</v>
      </c>
      <c r="K849" s="22" t="s">
        <v>924</v>
      </c>
      <c r="L849" s="22" t="s">
        <v>2531</v>
      </c>
      <c r="M849" s="22" t="s">
        <v>2532</v>
      </c>
      <c r="N849" s="28" t="s">
        <v>2494</v>
      </c>
      <c r="O849" s="28" t="s">
        <v>2016</v>
      </c>
      <c r="P849" s="29">
        <v>43265.959000000003</v>
      </c>
      <c r="Q849" s="28" t="s">
        <v>1164</v>
      </c>
      <c r="R849" s="37">
        <v>27.08529538578</v>
      </c>
      <c r="S849" s="34">
        <v>102689.78200000001</v>
      </c>
      <c r="T849" s="32">
        <v>1597.3966088888899</v>
      </c>
      <c r="U849" s="32">
        <v>0</v>
      </c>
      <c r="V849" s="37">
        <v>27.08529538578</v>
      </c>
      <c r="W849" s="36">
        <v>46114</v>
      </c>
      <c r="X849" s="36">
        <v>46114</v>
      </c>
    </row>
    <row r="850" spans="1:24" ht="15.75" thickBot="1" x14ac:dyDescent="0.3">
      <c r="A850" t="str">
        <f t="shared" si="13"/>
        <v>RMSWL68426172/793</v>
      </c>
      <c r="B850" s="22" t="s">
        <v>4551</v>
      </c>
      <c r="C850" s="22" t="s">
        <v>4552</v>
      </c>
      <c r="D850" s="22" t="s">
        <v>4553</v>
      </c>
      <c r="E850" s="22" t="s">
        <v>2527</v>
      </c>
      <c r="F850" s="22" t="s">
        <v>3569</v>
      </c>
      <c r="G850" s="28" t="s">
        <v>2012</v>
      </c>
      <c r="H850" s="22" t="s">
        <v>4554</v>
      </c>
      <c r="I850" s="22" t="s">
        <v>4555</v>
      </c>
      <c r="J850" s="22" t="s">
        <v>1117</v>
      </c>
      <c r="K850" s="22" t="s">
        <v>924</v>
      </c>
      <c r="L850" s="22" t="s">
        <v>2531</v>
      </c>
      <c r="M850" s="22" t="s">
        <v>2532</v>
      </c>
      <c r="N850" s="28" t="s">
        <v>2494</v>
      </c>
      <c r="O850" s="28" t="s">
        <v>2016</v>
      </c>
      <c r="P850" s="29">
        <v>232455.34099999999</v>
      </c>
      <c r="Q850" s="28" t="s">
        <v>1164</v>
      </c>
      <c r="R850" s="37">
        <v>27.403347839274002</v>
      </c>
      <c r="S850" s="34">
        <v>545318.68599999999</v>
      </c>
      <c r="T850" s="32">
        <v>8482.7351155555607</v>
      </c>
      <c r="U850" s="32">
        <v>0</v>
      </c>
      <c r="V850" s="37">
        <v>27.403347839274002</v>
      </c>
      <c r="W850" s="36">
        <v>46114</v>
      </c>
      <c r="X850" s="36">
        <v>46114</v>
      </c>
    </row>
    <row r="851" spans="1:24" ht="15.75" thickBot="1" x14ac:dyDescent="0.3">
      <c r="A851" t="str">
        <f t="shared" si="13"/>
        <v>85027342</v>
      </c>
      <c r="B851" s="22" t="s">
        <v>452</v>
      </c>
      <c r="C851" s="22" t="s">
        <v>4556</v>
      </c>
      <c r="D851" s="22" t="s">
        <v>4557</v>
      </c>
      <c r="E851" s="22" t="s">
        <v>4558</v>
      </c>
      <c r="F851" s="22" t="s">
        <v>4559</v>
      </c>
      <c r="G851" s="28" t="s">
        <v>2012</v>
      </c>
      <c r="H851" s="22" t="s">
        <v>2027</v>
      </c>
      <c r="I851" s="21"/>
      <c r="J851" s="22" t="s">
        <v>404</v>
      </c>
      <c r="K851" s="22" t="s">
        <v>262</v>
      </c>
      <c r="L851" s="21"/>
      <c r="M851" s="22" t="s">
        <v>2014</v>
      </c>
      <c r="N851" s="28" t="s">
        <v>2015</v>
      </c>
      <c r="O851" s="28" t="s">
        <v>2016</v>
      </c>
      <c r="P851" s="29">
        <v>317</v>
      </c>
      <c r="Q851" s="28" t="s">
        <v>2017</v>
      </c>
      <c r="R851" s="37">
        <v>28.303571428571001</v>
      </c>
      <c r="S851" s="29">
        <v>720</v>
      </c>
      <c r="T851" s="32">
        <v>11.2</v>
      </c>
      <c r="U851" s="32">
        <v>0</v>
      </c>
      <c r="V851" s="37">
        <v>28.303571428571001</v>
      </c>
      <c r="W851" s="36">
        <v>46115</v>
      </c>
      <c r="X851" s="36">
        <v>46115</v>
      </c>
    </row>
    <row r="852" spans="1:24" ht="15.75" thickBot="1" x14ac:dyDescent="0.3">
      <c r="A852" t="str">
        <f t="shared" si="13"/>
        <v>DET68436048</v>
      </c>
      <c r="B852" s="22" t="s">
        <v>1122</v>
      </c>
      <c r="C852" s="22" t="s">
        <v>2940</v>
      </c>
      <c r="D852" s="22" t="s">
        <v>4560</v>
      </c>
      <c r="E852" s="21"/>
      <c r="F852" s="22" t="s">
        <v>4561</v>
      </c>
      <c r="G852" s="28" t="s">
        <v>2012</v>
      </c>
      <c r="H852" s="22" t="s">
        <v>2022</v>
      </c>
      <c r="I852" s="21"/>
      <c r="J852" s="22" t="s">
        <v>1117</v>
      </c>
      <c r="K852" s="22" t="s">
        <v>924</v>
      </c>
      <c r="L852" s="21"/>
      <c r="M852" s="22" t="s">
        <v>2034</v>
      </c>
      <c r="N852" s="28" t="s">
        <v>2015</v>
      </c>
      <c r="O852" s="28" t="s">
        <v>2016</v>
      </c>
      <c r="P852" s="29">
        <v>13564</v>
      </c>
      <c r="Q852" s="28" t="s">
        <v>2017</v>
      </c>
      <c r="R852" s="37">
        <v>28.438178480575999</v>
      </c>
      <c r="S852" s="29">
        <v>30662</v>
      </c>
      <c r="T852" s="32">
        <v>476.96444444444398</v>
      </c>
      <c r="U852" s="32">
        <v>0</v>
      </c>
      <c r="V852" s="37">
        <v>28.438178480575999</v>
      </c>
      <c r="W852" s="36">
        <v>46115</v>
      </c>
      <c r="X852" s="36">
        <v>46115</v>
      </c>
    </row>
    <row r="853" spans="1:24" ht="15.75" thickBot="1" x14ac:dyDescent="0.3">
      <c r="A853" t="str">
        <f t="shared" si="13"/>
        <v>DETE10032A</v>
      </c>
      <c r="B853" s="22" t="s">
        <v>1553</v>
      </c>
      <c r="C853" s="22" t="s">
        <v>4562</v>
      </c>
      <c r="D853" s="22" t="s">
        <v>4563</v>
      </c>
      <c r="E853" s="21"/>
      <c r="F853" s="22" t="s">
        <v>4564</v>
      </c>
      <c r="G853" s="28" t="s">
        <v>2012</v>
      </c>
      <c r="H853" s="22" t="s">
        <v>2013</v>
      </c>
      <c r="I853" s="21"/>
      <c r="J853" s="22" t="s">
        <v>261</v>
      </c>
      <c r="K853" s="22" t="s">
        <v>924</v>
      </c>
      <c r="L853" s="21"/>
      <c r="M853" s="22" t="s">
        <v>2034</v>
      </c>
      <c r="N853" s="28" t="s">
        <v>2015</v>
      </c>
      <c r="O853" s="28" t="s">
        <v>2016</v>
      </c>
      <c r="P853" s="29">
        <v>15196</v>
      </c>
      <c r="Q853" s="28" t="s">
        <v>2017</v>
      </c>
      <c r="R853" s="37">
        <v>28.420973882396002</v>
      </c>
      <c r="S853" s="29">
        <v>34372</v>
      </c>
      <c r="T853" s="32">
        <v>534.675555555556</v>
      </c>
      <c r="U853" s="32">
        <v>0</v>
      </c>
      <c r="V853" s="37">
        <v>28.420973882396002</v>
      </c>
      <c r="W853" s="36">
        <v>46115</v>
      </c>
      <c r="X853" s="36">
        <v>46115</v>
      </c>
    </row>
    <row r="854" spans="1:24" ht="15.75" thickBot="1" x14ac:dyDescent="0.3">
      <c r="A854" t="str">
        <f t="shared" si="13"/>
        <v>PCP15A864C1AW</v>
      </c>
      <c r="B854" s="22" t="s">
        <v>4565</v>
      </c>
      <c r="C854" s="22" t="s">
        <v>4566</v>
      </c>
      <c r="D854" s="22" t="s">
        <v>4567</v>
      </c>
      <c r="E854" s="21"/>
      <c r="F854" s="22" t="s">
        <v>2030</v>
      </c>
      <c r="G854" s="28" t="s">
        <v>2012</v>
      </c>
      <c r="H854" s="22" t="s">
        <v>4309</v>
      </c>
      <c r="I854" s="22" t="s">
        <v>4310</v>
      </c>
      <c r="J854" s="22" t="s">
        <v>364</v>
      </c>
      <c r="K854" s="22" t="s">
        <v>262</v>
      </c>
      <c r="L854" s="22" t="s">
        <v>4311</v>
      </c>
      <c r="M854" s="22" t="s">
        <v>2830</v>
      </c>
      <c r="N854" s="28" t="s">
        <v>2494</v>
      </c>
      <c r="O854" s="28" t="s">
        <v>2016</v>
      </c>
      <c r="P854" s="29">
        <v>2357</v>
      </c>
      <c r="Q854" s="28" t="s">
        <v>2017</v>
      </c>
      <c r="R854" s="37">
        <v>28.686374208903</v>
      </c>
      <c r="S854" s="29">
        <v>5282</v>
      </c>
      <c r="T854" s="32">
        <v>82.164444444444001</v>
      </c>
      <c r="U854" s="32">
        <v>0</v>
      </c>
      <c r="V854" s="37">
        <v>28.686374208903</v>
      </c>
      <c r="W854" s="36">
        <v>46115</v>
      </c>
      <c r="X854" s="36">
        <v>46115</v>
      </c>
    </row>
    <row r="855" spans="1:24" ht="15.75" thickBot="1" x14ac:dyDescent="0.3">
      <c r="A855" t="str">
        <f t="shared" si="13"/>
        <v>PCSW713405S300</v>
      </c>
      <c r="B855" s="22" t="s">
        <v>4568</v>
      </c>
      <c r="C855" s="21"/>
      <c r="D855" s="22" t="s">
        <v>2959</v>
      </c>
      <c r="E855" s="22" t="s">
        <v>3357</v>
      </c>
      <c r="F855" s="22" t="s">
        <v>2030</v>
      </c>
      <c r="G855" s="28" t="s">
        <v>2012</v>
      </c>
      <c r="H855" s="22" t="s">
        <v>3927</v>
      </c>
      <c r="I855" s="22" t="s">
        <v>3928</v>
      </c>
      <c r="J855" s="22" t="s">
        <v>261</v>
      </c>
      <c r="K855" s="22" t="s">
        <v>924</v>
      </c>
      <c r="L855" s="22" t="s">
        <v>2964</v>
      </c>
      <c r="M855" s="22" t="s">
        <v>2130</v>
      </c>
      <c r="N855" s="28" t="s">
        <v>2494</v>
      </c>
      <c r="O855" s="28" t="s">
        <v>2016</v>
      </c>
      <c r="P855" s="29">
        <v>12962</v>
      </c>
      <c r="Q855" s="28" t="s">
        <v>2017</v>
      </c>
      <c r="R855" s="37">
        <v>28.410208952316001</v>
      </c>
      <c r="S855" s="29">
        <v>29330</v>
      </c>
      <c r="T855" s="32">
        <v>456.24444444444401</v>
      </c>
      <c r="U855" s="32">
        <v>0</v>
      </c>
      <c r="V855" s="37">
        <v>28.410208952316001</v>
      </c>
      <c r="W855" s="36">
        <v>46115</v>
      </c>
      <c r="X855" s="36">
        <v>46115</v>
      </c>
    </row>
    <row r="856" spans="1:24" ht="15.75" thickBot="1" x14ac:dyDescent="0.3">
      <c r="A856" t="str">
        <f t="shared" si="13"/>
        <v>RMSE10522</v>
      </c>
      <c r="B856" s="22" t="s">
        <v>4569</v>
      </c>
      <c r="C856" s="22" t="s">
        <v>4570</v>
      </c>
      <c r="D856" s="22" t="s">
        <v>4571</v>
      </c>
      <c r="E856" s="22" t="s">
        <v>2527</v>
      </c>
      <c r="F856" s="22" t="s">
        <v>3558</v>
      </c>
      <c r="G856" s="28" t="s">
        <v>2012</v>
      </c>
      <c r="H856" s="22" t="s">
        <v>2549</v>
      </c>
      <c r="I856" s="22" t="s">
        <v>2550</v>
      </c>
      <c r="J856" s="22" t="s">
        <v>261</v>
      </c>
      <c r="K856" s="22" t="s">
        <v>924</v>
      </c>
      <c r="L856" s="22" t="s">
        <v>2531</v>
      </c>
      <c r="M856" s="22" t="s">
        <v>2532</v>
      </c>
      <c r="N856" s="28" t="s">
        <v>2494</v>
      </c>
      <c r="O856" s="28" t="s">
        <v>2016</v>
      </c>
      <c r="P856" s="29">
        <v>32924.976000000002</v>
      </c>
      <c r="Q856" s="28" t="s">
        <v>1164</v>
      </c>
      <c r="R856" s="37">
        <v>28.548736777039998</v>
      </c>
      <c r="S856" s="34">
        <v>74140.078999999998</v>
      </c>
      <c r="T856" s="32">
        <v>1153.2901177777801</v>
      </c>
      <c r="U856" s="32">
        <v>0</v>
      </c>
      <c r="V856" s="37">
        <v>28.548736777039998</v>
      </c>
      <c r="W856" s="36">
        <v>46115</v>
      </c>
      <c r="X856" s="36">
        <v>46115</v>
      </c>
    </row>
    <row r="857" spans="1:24" ht="15.75" thickBot="1" x14ac:dyDescent="0.3">
      <c r="A857" t="str">
        <f t="shared" si="13"/>
        <v>RMSWL68425109/18B</v>
      </c>
      <c r="B857" s="22" t="s">
        <v>4572</v>
      </c>
      <c r="C857" s="22" t="s">
        <v>4573</v>
      </c>
      <c r="D857" s="22" t="s">
        <v>4574</v>
      </c>
      <c r="E857" s="22" t="s">
        <v>3123</v>
      </c>
      <c r="F857" s="22" t="s">
        <v>3145</v>
      </c>
      <c r="G857" s="28" t="s">
        <v>2012</v>
      </c>
      <c r="H857" s="22" t="s">
        <v>3758</v>
      </c>
      <c r="I857" s="22" t="s">
        <v>3759</v>
      </c>
      <c r="J857" s="22" t="s">
        <v>1117</v>
      </c>
      <c r="K857" s="22" t="s">
        <v>924</v>
      </c>
      <c r="L857" s="22" t="s">
        <v>2558</v>
      </c>
      <c r="M857" s="22" t="s">
        <v>2532</v>
      </c>
      <c r="N857" s="28" t="s">
        <v>2494</v>
      </c>
      <c r="O857" s="28" t="s">
        <v>2016</v>
      </c>
      <c r="P857" s="29">
        <v>66633.279999999999</v>
      </c>
      <c r="Q857" s="28" t="s">
        <v>1164</v>
      </c>
      <c r="R857" s="37">
        <v>28.854809296549998</v>
      </c>
      <c r="S857" s="34">
        <v>148452.48000000001</v>
      </c>
      <c r="T857" s="32">
        <v>2309.2608</v>
      </c>
      <c r="U857" s="32">
        <v>0</v>
      </c>
      <c r="V857" s="37">
        <v>28.854809296549998</v>
      </c>
      <c r="W857" s="36">
        <v>46115</v>
      </c>
      <c r="X857" s="36">
        <v>46115</v>
      </c>
    </row>
    <row r="858" spans="1:24" ht="15.75" thickBot="1" x14ac:dyDescent="0.3">
      <c r="A858" t="str">
        <f t="shared" si="13"/>
        <v>RMSWL68431592/3</v>
      </c>
      <c r="B858" s="22" t="s">
        <v>4575</v>
      </c>
      <c r="C858" s="22" t="s">
        <v>4576</v>
      </c>
      <c r="D858" s="22" t="s">
        <v>4577</v>
      </c>
      <c r="E858" s="22" t="s">
        <v>2527</v>
      </c>
      <c r="F858" s="22" t="s">
        <v>4578</v>
      </c>
      <c r="G858" s="28" t="s">
        <v>2012</v>
      </c>
      <c r="H858" s="22" t="s">
        <v>4554</v>
      </c>
      <c r="I858" s="22" t="s">
        <v>4555</v>
      </c>
      <c r="J858" s="22" t="s">
        <v>1117</v>
      </c>
      <c r="K858" s="22" t="s">
        <v>924</v>
      </c>
      <c r="L858" s="22" t="s">
        <v>2531</v>
      </c>
      <c r="M858" s="22" t="s">
        <v>2532</v>
      </c>
      <c r="N858" s="28" t="s">
        <v>2494</v>
      </c>
      <c r="O858" s="28" t="s">
        <v>2016</v>
      </c>
      <c r="P858" s="29">
        <v>69146.944000000003</v>
      </c>
      <c r="Q858" s="28" t="s">
        <v>1164</v>
      </c>
      <c r="R858" s="37">
        <v>28.912790661024999</v>
      </c>
      <c r="S858" s="34">
        <v>153743.74400000001</v>
      </c>
      <c r="T858" s="32">
        <v>2391.5693511111099</v>
      </c>
      <c r="U858" s="32">
        <v>0</v>
      </c>
      <c r="V858" s="37">
        <v>28.912790661024999</v>
      </c>
      <c r="W858" s="36">
        <v>46115</v>
      </c>
      <c r="X858" s="36">
        <v>46115</v>
      </c>
    </row>
    <row r="859" spans="1:24" ht="15.75" thickBot="1" x14ac:dyDescent="0.3">
      <c r="A859" t="str">
        <f t="shared" si="13"/>
        <v>85163269</v>
      </c>
      <c r="B859" s="22" t="s">
        <v>845</v>
      </c>
      <c r="C859" s="22" t="s">
        <v>4579</v>
      </c>
      <c r="D859" s="22" t="s">
        <v>4580</v>
      </c>
      <c r="E859" s="22" t="s">
        <v>3496</v>
      </c>
      <c r="F859" s="22" t="s">
        <v>3497</v>
      </c>
      <c r="G859" s="28" t="s">
        <v>2012</v>
      </c>
      <c r="H859" s="22" t="s">
        <v>2027</v>
      </c>
      <c r="I859" s="21"/>
      <c r="J859" s="22" t="s">
        <v>404</v>
      </c>
      <c r="K859" s="22" t="s">
        <v>262</v>
      </c>
      <c r="L859" s="21"/>
      <c r="M859" s="22" t="s">
        <v>2014</v>
      </c>
      <c r="N859" s="28" t="s">
        <v>2015</v>
      </c>
      <c r="O859" s="28" t="s">
        <v>2016</v>
      </c>
      <c r="P859" s="29">
        <v>886</v>
      </c>
      <c r="Q859" s="28" t="s">
        <v>2017</v>
      </c>
      <c r="R859" s="38">
        <v>31.642857142857</v>
      </c>
      <c r="S859" s="29">
        <v>1800</v>
      </c>
      <c r="T859" s="32">
        <v>28</v>
      </c>
      <c r="U859" s="32">
        <v>0</v>
      </c>
      <c r="V859" s="38">
        <v>31.642857142857</v>
      </c>
      <c r="W859" s="36">
        <v>46118</v>
      </c>
      <c r="X859" s="36">
        <v>46118</v>
      </c>
    </row>
    <row r="860" spans="1:24" ht="15.75" thickBot="1" x14ac:dyDescent="0.3">
      <c r="A860" t="str">
        <f t="shared" si="13"/>
        <v>86584063</v>
      </c>
      <c r="B860" s="22" t="s">
        <v>471</v>
      </c>
      <c r="C860" s="22" t="s">
        <v>4581</v>
      </c>
      <c r="D860" s="22" t="s">
        <v>4582</v>
      </c>
      <c r="E860" s="21"/>
      <c r="F860" s="22" t="s">
        <v>3772</v>
      </c>
      <c r="G860" s="28" t="s">
        <v>2012</v>
      </c>
      <c r="H860" s="22" t="s">
        <v>2027</v>
      </c>
      <c r="I860" s="21"/>
      <c r="J860" s="22" t="s">
        <v>404</v>
      </c>
      <c r="K860" s="22" t="s">
        <v>262</v>
      </c>
      <c r="L860" s="21"/>
      <c r="M860" s="22" t="s">
        <v>2014</v>
      </c>
      <c r="N860" s="28" t="s">
        <v>2015</v>
      </c>
      <c r="O860" s="28" t="s">
        <v>2016</v>
      </c>
      <c r="P860" s="29">
        <v>359</v>
      </c>
      <c r="Q860" s="28" t="s">
        <v>2017</v>
      </c>
      <c r="R860" s="38">
        <v>31.187258687258002</v>
      </c>
      <c r="S860" s="29">
        <v>740</v>
      </c>
      <c r="T860" s="32">
        <v>11.511111111110999</v>
      </c>
      <c r="U860" s="32">
        <v>0</v>
      </c>
      <c r="V860" s="38">
        <v>31.187258687258002</v>
      </c>
      <c r="W860" s="36">
        <v>46118</v>
      </c>
      <c r="X860" s="36">
        <v>46118</v>
      </c>
    </row>
    <row r="861" spans="1:24" ht="15.75" thickBot="1" x14ac:dyDescent="0.3">
      <c r="A861" t="str">
        <f t="shared" si="13"/>
        <v>86584065</v>
      </c>
      <c r="B861" s="22" t="s">
        <v>432</v>
      </c>
      <c r="C861" s="22" t="s">
        <v>4583</v>
      </c>
      <c r="D861" s="22" t="s">
        <v>4584</v>
      </c>
      <c r="E861" s="22" t="s">
        <v>4585</v>
      </c>
      <c r="F861" s="22" t="s">
        <v>2987</v>
      </c>
      <c r="G861" s="28" t="s">
        <v>2012</v>
      </c>
      <c r="H861" s="22" t="s">
        <v>2027</v>
      </c>
      <c r="I861" s="21"/>
      <c r="J861" s="22" t="s">
        <v>404</v>
      </c>
      <c r="K861" s="22" t="s">
        <v>262</v>
      </c>
      <c r="L861" s="21"/>
      <c r="M861" s="22" t="s">
        <v>2014</v>
      </c>
      <c r="N861" s="28" t="s">
        <v>2015</v>
      </c>
      <c r="O861" s="28" t="s">
        <v>2016</v>
      </c>
      <c r="P861" s="29">
        <v>635</v>
      </c>
      <c r="Q861" s="28" t="s">
        <v>2017</v>
      </c>
      <c r="R861" s="38">
        <v>30.373086734693</v>
      </c>
      <c r="S861" s="29">
        <v>1344</v>
      </c>
      <c r="T861" s="32">
        <v>20.906666666665998</v>
      </c>
      <c r="U861" s="32">
        <v>0</v>
      </c>
      <c r="V861" s="38">
        <v>30.373086734693</v>
      </c>
      <c r="W861" s="36">
        <v>46117</v>
      </c>
      <c r="X861" s="36">
        <v>46118</v>
      </c>
    </row>
    <row r="862" spans="1:24" ht="15.75" thickBot="1" x14ac:dyDescent="0.3">
      <c r="A862" t="str">
        <f t="shared" si="13"/>
        <v>ASYBEH03514</v>
      </c>
      <c r="B862" s="22" t="s">
        <v>446</v>
      </c>
      <c r="C862" s="22" t="s">
        <v>3760</v>
      </c>
      <c r="D862" s="22" t="s">
        <v>4586</v>
      </c>
      <c r="E862" s="21"/>
      <c r="F862" s="22" t="s">
        <v>2030</v>
      </c>
      <c r="G862" s="28" t="s">
        <v>2012</v>
      </c>
      <c r="H862" s="22" t="s">
        <v>4587</v>
      </c>
      <c r="I862" s="21"/>
      <c r="J862" s="22" t="s">
        <v>404</v>
      </c>
      <c r="K862" s="22" t="s">
        <v>262</v>
      </c>
      <c r="L862" s="21"/>
      <c r="M862" s="22" t="s">
        <v>2034</v>
      </c>
      <c r="N862" s="28" t="s">
        <v>2015</v>
      </c>
      <c r="O862" s="28" t="s">
        <v>2016</v>
      </c>
      <c r="P862" s="29">
        <v>681</v>
      </c>
      <c r="Q862" s="28" t="s">
        <v>2017</v>
      </c>
      <c r="R862" s="38">
        <v>31.270408163265</v>
      </c>
      <c r="S862" s="29">
        <v>1400</v>
      </c>
      <c r="T862" s="32">
        <v>21.777777777777001</v>
      </c>
      <c r="U862" s="32">
        <v>0</v>
      </c>
      <c r="V862" s="38">
        <v>31.270408163265</v>
      </c>
      <c r="W862" s="36">
        <v>46118</v>
      </c>
      <c r="X862" s="36">
        <v>46118</v>
      </c>
    </row>
    <row r="863" spans="1:24" ht="15.75" thickBot="1" x14ac:dyDescent="0.3">
      <c r="A863" t="str">
        <f t="shared" si="13"/>
        <v>DET21023A40MB</v>
      </c>
      <c r="B863" s="22" t="s">
        <v>1403</v>
      </c>
      <c r="C863" s="22" t="s">
        <v>4520</v>
      </c>
      <c r="D863" s="22" t="s">
        <v>4588</v>
      </c>
      <c r="E863" s="21"/>
      <c r="F863" s="22" t="s">
        <v>4589</v>
      </c>
      <c r="G863" s="28" t="s">
        <v>2012</v>
      </c>
      <c r="H863" s="22" t="s">
        <v>2080</v>
      </c>
      <c r="I863" s="21"/>
      <c r="J863" s="22" t="s">
        <v>261</v>
      </c>
      <c r="K863" s="22" t="s">
        <v>924</v>
      </c>
      <c r="L863" s="21"/>
      <c r="M863" s="22" t="s">
        <v>2034</v>
      </c>
      <c r="N863" s="28" t="s">
        <v>2015</v>
      </c>
      <c r="O863" s="28" t="s">
        <v>2016</v>
      </c>
      <c r="P863" s="29">
        <v>9160</v>
      </c>
      <c r="Q863" s="28" t="s">
        <v>2017</v>
      </c>
      <c r="R863" s="38">
        <v>30.930619963081</v>
      </c>
      <c r="S863" s="29">
        <v>19038</v>
      </c>
      <c r="T863" s="32">
        <v>296.14666666666699</v>
      </c>
      <c r="U863" s="32">
        <v>0</v>
      </c>
      <c r="V863" s="38">
        <v>30.930619963081</v>
      </c>
      <c r="W863" s="36">
        <v>46117</v>
      </c>
      <c r="X863" s="36">
        <v>46118</v>
      </c>
    </row>
    <row r="864" spans="1:24" ht="15.75" thickBot="1" x14ac:dyDescent="0.3">
      <c r="A864" t="str">
        <f t="shared" si="13"/>
        <v>DET26103B60A</v>
      </c>
      <c r="B864" s="22" t="s">
        <v>1421</v>
      </c>
      <c r="C864" s="22" t="s">
        <v>4590</v>
      </c>
      <c r="D864" s="22" t="s">
        <v>4591</v>
      </c>
      <c r="E864" s="22" t="s">
        <v>3187</v>
      </c>
      <c r="F864" s="22" t="s">
        <v>4592</v>
      </c>
      <c r="G864" s="28" t="s">
        <v>2012</v>
      </c>
      <c r="H864" s="22" t="s">
        <v>2080</v>
      </c>
      <c r="I864" s="21"/>
      <c r="J864" s="22" t="s">
        <v>494</v>
      </c>
      <c r="K864" s="22" t="s">
        <v>924</v>
      </c>
      <c r="L864" s="21"/>
      <c r="M864" s="22" t="s">
        <v>2034</v>
      </c>
      <c r="N864" s="28" t="s">
        <v>2015</v>
      </c>
      <c r="O864" s="28" t="s">
        <v>2016</v>
      </c>
      <c r="P864" s="29">
        <v>14182</v>
      </c>
      <c r="Q864" s="28" t="s">
        <v>2017</v>
      </c>
      <c r="R864" s="38">
        <v>31.319134318103</v>
      </c>
      <c r="S864" s="29">
        <v>29110</v>
      </c>
      <c r="T864" s="32">
        <v>452.82222222222202</v>
      </c>
      <c r="U864" s="32">
        <v>0</v>
      </c>
      <c r="V864" s="38">
        <v>31.319134318103</v>
      </c>
      <c r="W864" s="36">
        <v>46118</v>
      </c>
      <c r="X864" s="36">
        <v>46118</v>
      </c>
    </row>
    <row r="865" spans="1:24" ht="15.75" thickBot="1" x14ac:dyDescent="0.3">
      <c r="A865" t="str">
        <f t="shared" si="13"/>
        <v>DET68507883</v>
      </c>
      <c r="B865" s="22" t="s">
        <v>1545</v>
      </c>
      <c r="C865" s="22" t="s">
        <v>4029</v>
      </c>
      <c r="D865" s="22" t="s">
        <v>1546</v>
      </c>
      <c r="E865" s="21"/>
      <c r="F865" s="22" t="s">
        <v>4593</v>
      </c>
      <c r="G865" s="28" t="s">
        <v>2012</v>
      </c>
      <c r="H865" s="22" t="s">
        <v>2022</v>
      </c>
      <c r="I865" s="21"/>
      <c r="J865" s="22" t="s">
        <v>1117</v>
      </c>
      <c r="K865" s="22" t="s">
        <v>924</v>
      </c>
      <c r="L865" s="21"/>
      <c r="M865" s="22" t="s">
        <v>2034</v>
      </c>
      <c r="N865" s="28" t="s">
        <v>2015</v>
      </c>
      <c r="O865" s="28" t="s">
        <v>2016</v>
      </c>
      <c r="P865" s="29">
        <v>12815</v>
      </c>
      <c r="Q865" s="28" t="s">
        <v>2017</v>
      </c>
      <c r="R865" s="37">
        <v>29.424295612950999</v>
      </c>
      <c r="S865" s="29">
        <v>27998</v>
      </c>
      <c r="T865" s="32">
        <v>435.52444444444399</v>
      </c>
      <c r="U865" s="32">
        <v>0</v>
      </c>
      <c r="V865" s="37">
        <v>29.424295612950999</v>
      </c>
      <c r="W865" s="36">
        <v>46116</v>
      </c>
      <c r="X865" s="36">
        <v>46118</v>
      </c>
    </row>
    <row r="866" spans="1:24" ht="15.75" thickBot="1" x14ac:dyDescent="0.3">
      <c r="A866" t="str">
        <f t="shared" si="13"/>
        <v>DETE410A22A</v>
      </c>
      <c r="B866" s="22" t="s">
        <v>1599</v>
      </c>
      <c r="C866" s="22" t="s">
        <v>2724</v>
      </c>
      <c r="D866" s="22" t="s">
        <v>4594</v>
      </c>
      <c r="E866" s="22" t="s">
        <v>4595</v>
      </c>
      <c r="F866" s="22" t="s">
        <v>4596</v>
      </c>
      <c r="G866" s="28" t="s">
        <v>2012</v>
      </c>
      <c r="H866" s="22" t="s">
        <v>2080</v>
      </c>
      <c r="I866" s="21"/>
      <c r="J866" s="22" t="s">
        <v>261</v>
      </c>
      <c r="K866" s="22" t="s">
        <v>924</v>
      </c>
      <c r="L866" s="21"/>
      <c r="M866" s="22" t="s">
        <v>2034</v>
      </c>
      <c r="N866" s="28" t="s">
        <v>2015</v>
      </c>
      <c r="O866" s="28" t="s">
        <v>2016</v>
      </c>
      <c r="P866" s="29">
        <v>8386</v>
      </c>
      <c r="Q866" s="28" t="s">
        <v>2017</v>
      </c>
      <c r="R866" s="38">
        <v>30.788121073671999</v>
      </c>
      <c r="S866" s="29">
        <v>17510</v>
      </c>
      <c r="T866" s="32">
        <v>272.37777777777802</v>
      </c>
      <c r="U866" s="32">
        <v>0</v>
      </c>
      <c r="V866" s="38">
        <v>30.788121073671999</v>
      </c>
      <c r="W866" s="36">
        <v>46117</v>
      </c>
      <c r="X866" s="36">
        <v>46118</v>
      </c>
    </row>
    <row r="867" spans="1:24" ht="15.75" thickBot="1" x14ac:dyDescent="0.3">
      <c r="A867" t="str">
        <f t="shared" si="13"/>
        <v>DETE43488A</v>
      </c>
      <c r="B867" s="22" t="s">
        <v>1494</v>
      </c>
      <c r="C867" s="22" t="s">
        <v>2185</v>
      </c>
      <c r="D867" s="22" t="s">
        <v>4597</v>
      </c>
      <c r="E867" s="21"/>
      <c r="F867" s="22" t="s">
        <v>4598</v>
      </c>
      <c r="G867" s="28" t="s">
        <v>2012</v>
      </c>
      <c r="H867" s="22" t="s">
        <v>2013</v>
      </c>
      <c r="I867" s="21"/>
      <c r="J867" s="22" t="s">
        <v>261</v>
      </c>
      <c r="K867" s="22" t="s">
        <v>924</v>
      </c>
      <c r="L867" s="21"/>
      <c r="M867" s="22" t="s">
        <v>2034</v>
      </c>
      <c r="N867" s="28" t="s">
        <v>2015</v>
      </c>
      <c r="O867" s="28" t="s">
        <v>2016</v>
      </c>
      <c r="P867" s="29">
        <v>9171</v>
      </c>
      <c r="Q867" s="28" t="s">
        <v>2017</v>
      </c>
      <c r="R867" s="38">
        <v>31.093522794908999</v>
      </c>
      <c r="S867" s="29">
        <v>18961</v>
      </c>
      <c r="T867" s="32">
        <v>294.94888888888897</v>
      </c>
      <c r="U867" s="32">
        <v>0</v>
      </c>
      <c r="V867" s="38">
        <v>31.093522794908999</v>
      </c>
      <c r="W867" s="36">
        <v>46118</v>
      </c>
      <c r="X867" s="36">
        <v>46118</v>
      </c>
    </row>
    <row r="868" spans="1:24" ht="15.75" thickBot="1" x14ac:dyDescent="0.3">
      <c r="A868" t="str">
        <f t="shared" si="13"/>
        <v>N1WB E20170 AA</v>
      </c>
      <c r="B868" s="22" t="s">
        <v>1240</v>
      </c>
      <c r="C868" s="22" t="s">
        <v>4599</v>
      </c>
      <c r="D868" s="22" t="s">
        <v>4600</v>
      </c>
      <c r="E868" s="21"/>
      <c r="F868" s="22" t="s">
        <v>2030</v>
      </c>
      <c r="G868" s="28" t="s">
        <v>2012</v>
      </c>
      <c r="H868" s="22" t="s">
        <v>2013</v>
      </c>
      <c r="I868" s="21"/>
      <c r="J868" s="22" t="s">
        <v>261</v>
      </c>
      <c r="K868" s="22" t="s">
        <v>924</v>
      </c>
      <c r="L868" s="21"/>
      <c r="M868" s="22" t="s">
        <v>2014</v>
      </c>
      <c r="N868" s="28" t="s">
        <v>2015</v>
      </c>
      <c r="O868" s="28" t="s">
        <v>2016</v>
      </c>
      <c r="P868" s="29">
        <v>7824</v>
      </c>
      <c r="Q868" s="28" t="s">
        <v>2017</v>
      </c>
      <c r="R868" s="37">
        <v>29.992333248146998</v>
      </c>
      <c r="S868" s="29">
        <v>16770</v>
      </c>
      <c r="T868" s="32">
        <v>260.86666666666702</v>
      </c>
      <c r="U868" s="32">
        <v>0</v>
      </c>
      <c r="V868" s="37">
        <v>29.992333248146998</v>
      </c>
      <c r="W868" s="36">
        <v>46116</v>
      </c>
      <c r="X868" s="36">
        <v>46118</v>
      </c>
    </row>
    <row r="869" spans="1:24" ht="15.75" thickBot="1" x14ac:dyDescent="0.3">
      <c r="A869" t="str">
        <f t="shared" si="13"/>
        <v>N1WB E20171 AA</v>
      </c>
      <c r="B869" s="22" t="s">
        <v>1242</v>
      </c>
      <c r="C869" s="22" t="s">
        <v>4601</v>
      </c>
      <c r="D869" s="22" t="s">
        <v>4600</v>
      </c>
      <c r="E869" s="21"/>
      <c r="F869" s="22" t="s">
        <v>2030</v>
      </c>
      <c r="G869" s="28" t="s">
        <v>2012</v>
      </c>
      <c r="H869" s="22" t="s">
        <v>2013</v>
      </c>
      <c r="I869" s="21"/>
      <c r="J869" s="22" t="s">
        <v>261</v>
      </c>
      <c r="K869" s="22" t="s">
        <v>924</v>
      </c>
      <c r="L869" s="21"/>
      <c r="M869" s="22" t="s">
        <v>2014</v>
      </c>
      <c r="N869" s="28" t="s">
        <v>2015</v>
      </c>
      <c r="O869" s="28" t="s">
        <v>2016</v>
      </c>
      <c r="P869" s="29">
        <v>7924</v>
      </c>
      <c r="Q869" s="28" t="s">
        <v>2017</v>
      </c>
      <c r="R869" s="37">
        <v>29.991168678245</v>
      </c>
      <c r="S869" s="29">
        <v>16985</v>
      </c>
      <c r="T869" s="32">
        <v>264.21111111111099</v>
      </c>
      <c r="U869" s="32">
        <v>0</v>
      </c>
      <c r="V869" s="37">
        <v>29.991168678245</v>
      </c>
      <c r="W869" s="36">
        <v>46116</v>
      </c>
      <c r="X869" s="36">
        <v>46118</v>
      </c>
    </row>
    <row r="870" spans="1:24" ht="15.75" thickBot="1" x14ac:dyDescent="0.3">
      <c r="A870" t="str">
        <f t="shared" si="13"/>
        <v>N1WB E41018 CD</v>
      </c>
      <c r="B870" s="22" t="s">
        <v>292</v>
      </c>
      <c r="C870" s="22" t="s">
        <v>4602</v>
      </c>
      <c r="D870" s="22" t="s">
        <v>2970</v>
      </c>
      <c r="E870" s="21"/>
      <c r="F870" s="22" t="s">
        <v>4603</v>
      </c>
      <c r="G870" s="28" t="s">
        <v>2012</v>
      </c>
      <c r="H870" s="22" t="s">
        <v>2055</v>
      </c>
      <c r="I870" s="21"/>
      <c r="J870" s="22" t="s">
        <v>261</v>
      </c>
      <c r="K870" s="22" t="s">
        <v>262</v>
      </c>
      <c r="L870" s="21"/>
      <c r="M870" s="22" t="s">
        <v>2014</v>
      </c>
      <c r="N870" s="28" t="s">
        <v>2015</v>
      </c>
      <c r="O870" s="28" t="s">
        <v>2016</v>
      </c>
      <c r="P870" s="29">
        <v>183</v>
      </c>
      <c r="Q870" s="28" t="s">
        <v>2017</v>
      </c>
      <c r="R870" s="38">
        <v>31.624423963133001</v>
      </c>
      <c r="S870" s="29">
        <v>372</v>
      </c>
      <c r="T870" s="32">
        <v>5.786666666666</v>
      </c>
      <c r="U870" s="32">
        <v>0</v>
      </c>
      <c r="V870" s="38">
        <v>31.624423963133001</v>
      </c>
      <c r="W870" s="36">
        <v>46118</v>
      </c>
      <c r="X870" s="36">
        <v>46118</v>
      </c>
    </row>
    <row r="871" spans="1:24" ht="15.75" thickBot="1" x14ac:dyDescent="0.3">
      <c r="A871" t="str">
        <f t="shared" si="13"/>
        <v>PC26174A</v>
      </c>
      <c r="B871" s="22" t="s">
        <v>1617</v>
      </c>
      <c r="C871" s="22" t="s">
        <v>4604</v>
      </c>
      <c r="D871" s="22" t="s">
        <v>4605</v>
      </c>
      <c r="E871" s="22" t="s">
        <v>4606</v>
      </c>
      <c r="F871" s="22" t="s">
        <v>2139</v>
      </c>
      <c r="G871" s="28" t="s">
        <v>2012</v>
      </c>
      <c r="H871" s="22" t="s">
        <v>2022</v>
      </c>
      <c r="I871" s="21"/>
      <c r="J871" s="22" t="s">
        <v>1117</v>
      </c>
      <c r="K871" s="22" t="s">
        <v>924</v>
      </c>
      <c r="L871" s="21"/>
      <c r="M871" s="22" t="s">
        <v>2014</v>
      </c>
      <c r="N871" s="28" t="s">
        <v>2015</v>
      </c>
      <c r="O871" s="28" t="s">
        <v>2016</v>
      </c>
      <c r="P871" s="29">
        <v>13882</v>
      </c>
      <c r="Q871" s="28" t="s">
        <v>2017</v>
      </c>
      <c r="R871" s="38">
        <v>30.002161227577002</v>
      </c>
      <c r="S871" s="29">
        <v>29745</v>
      </c>
      <c r="T871" s="32">
        <v>462.7</v>
      </c>
      <c r="U871" s="32">
        <v>0</v>
      </c>
      <c r="V871" s="38">
        <v>30.002161227577002</v>
      </c>
      <c r="W871" s="36">
        <v>46117</v>
      </c>
      <c r="X871" s="36">
        <v>46118</v>
      </c>
    </row>
    <row r="872" spans="1:24" ht="15.75" thickBot="1" x14ac:dyDescent="0.3">
      <c r="A872" t="str">
        <f t="shared" si="13"/>
        <v>PC26175A</v>
      </c>
      <c r="B872" s="22" t="s">
        <v>1619</v>
      </c>
      <c r="C872" s="22" t="s">
        <v>4607</v>
      </c>
      <c r="D872" s="22" t="s">
        <v>4605</v>
      </c>
      <c r="E872" s="22" t="s">
        <v>4608</v>
      </c>
      <c r="F872" s="22" t="s">
        <v>4609</v>
      </c>
      <c r="G872" s="28" t="s">
        <v>2012</v>
      </c>
      <c r="H872" s="22" t="s">
        <v>2022</v>
      </c>
      <c r="I872" s="21"/>
      <c r="J872" s="22" t="s">
        <v>1117</v>
      </c>
      <c r="K872" s="22" t="s">
        <v>924</v>
      </c>
      <c r="L872" s="21"/>
      <c r="M872" s="22" t="s">
        <v>2014</v>
      </c>
      <c r="N872" s="28" t="s">
        <v>2015</v>
      </c>
      <c r="O872" s="28" t="s">
        <v>2016</v>
      </c>
      <c r="P872" s="29">
        <v>16346</v>
      </c>
      <c r="Q872" s="28" t="s">
        <v>2017</v>
      </c>
      <c r="R872" s="38">
        <v>31.842857142857</v>
      </c>
      <c r="S872" s="29">
        <v>33000</v>
      </c>
      <c r="T872" s="32">
        <v>513.33333333333303</v>
      </c>
      <c r="U872" s="32">
        <v>0</v>
      </c>
      <c r="V872" s="38">
        <v>31.842857142857</v>
      </c>
      <c r="W872" s="36">
        <v>46118</v>
      </c>
      <c r="X872" s="36">
        <v>46118</v>
      </c>
    </row>
    <row r="873" spans="1:24" ht="15.75" thickBot="1" x14ac:dyDescent="0.3">
      <c r="A873" t="str">
        <f t="shared" si="13"/>
        <v>PCP18045J02A4</v>
      </c>
      <c r="B873" s="22" t="s">
        <v>4610</v>
      </c>
      <c r="C873" s="22" t="s">
        <v>4611</v>
      </c>
      <c r="D873" s="22" t="s">
        <v>4612</v>
      </c>
      <c r="E873" s="21"/>
      <c r="F873" s="22" t="s">
        <v>2030</v>
      </c>
      <c r="G873" s="28" t="s">
        <v>2012</v>
      </c>
      <c r="H873" s="22" t="s">
        <v>4613</v>
      </c>
      <c r="I873" s="22" t="s">
        <v>4614</v>
      </c>
      <c r="J873" s="22" t="s">
        <v>261</v>
      </c>
      <c r="K873" s="22" t="s">
        <v>262</v>
      </c>
      <c r="L873" s="22" t="s">
        <v>2829</v>
      </c>
      <c r="M873" s="22" t="s">
        <v>2130</v>
      </c>
      <c r="N873" s="28" t="s">
        <v>2494</v>
      </c>
      <c r="O873" s="28" t="s">
        <v>2016</v>
      </c>
      <c r="P873" s="29">
        <v>6540</v>
      </c>
      <c r="Q873" s="28" t="s">
        <v>2017</v>
      </c>
      <c r="R873" s="38">
        <v>30.959394066904999</v>
      </c>
      <c r="S873" s="29">
        <v>13580</v>
      </c>
      <c r="T873" s="32">
        <v>211.24444444444401</v>
      </c>
      <c r="U873" s="32">
        <v>0</v>
      </c>
      <c r="V873" s="38">
        <v>30.959394066904999</v>
      </c>
      <c r="W873" s="36">
        <v>46117</v>
      </c>
      <c r="X873" s="36">
        <v>46118</v>
      </c>
    </row>
    <row r="874" spans="1:24" ht="15.75" thickBot="1" x14ac:dyDescent="0.3">
      <c r="A874" t="str">
        <f t="shared" si="13"/>
        <v>PCP18808AA</v>
      </c>
      <c r="B874" s="22" t="s">
        <v>4615</v>
      </c>
      <c r="C874" s="22" t="s">
        <v>4616</v>
      </c>
      <c r="D874" s="22" t="s">
        <v>4617</v>
      </c>
      <c r="E874" s="22" t="s">
        <v>4618</v>
      </c>
      <c r="F874" s="22" t="s">
        <v>2030</v>
      </c>
      <c r="G874" s="28" t="s">
        <v>2012</v>
      </c>
      <c r="H874" s="22" t="s">
        <v>4619</v>
      </c>
      <c r="I874" s="22" t="s">
        <v>4614</v>
      </c>
      <c r="J874" s="22" t="s">
        <v>261</v>
      </c>
      <c r="K874" s="22" t="s">
        <v>262</v>
      </c>
      <c r="L874" s="22" t="s">
        <v>3608</v>
      </c>
      <c r="M874" s="22" t="s">
        <v>2130</v>
      </c>
      <c r="N874" s="28" t="s">
        <v>2494</v>
      </c>
      <c r="O874" s="28" t="s">
        <v>2016</v>
      </c>
      <c r="P874" s="29">
        <v>6644</v>
      </c>
      <c r="Q874" s="28" t="s">
        <v>2017</v>
      </c>
      <c r="R874" s="38">
        <v>30.672480123107999</v>
      </c>
      <c r="S874" s="29">
        <v>13925</v>
      </c>
      <c r="T874" s="32">
        <v>216.611111111111</v>
      </c>
      <c r="U874" s="32">
        <v>0</v>
      </c>
      <c r="V874" s="38">
        <v>30.672480123107999</v>
      </c>
      <c r="W874" s="36">
        <v>46117</v>
      </c>
      <c r="X874" s="36">
        <v>46118</v>
      </c>
    </row>
    <row r="875" spans="1:24" ht="15.75" thickBot="1" x14ac:dyDescent="0.3">
      <c r="A875" t="str">
        <f t="shared" si="13"/>
        <v>PCP50205BA</v>
      </c>
      <c r="B875" s="22" t="s">
        <v>4620</v>
      </c>
      <c r="C875" s="22" t="s">
        <v>4621</v>
      </c>
      <c r="D875" s="22" t="s">
        <v>4622</v>
      </c>
      <c r="E875" s="21"/>
      <c r="F875" s="22" t="s">
        <v>2030</v>
      </c>
      <c r="G875" s="28" t="s">
        <v>2012</v>
      </c>
      <c r="H875" s="22" t="s">
        <v>4058</v>
      </c>
      <c r="I875" s="22" t="s">
        <v>4059</v>
      </c>
      <c r="J875" s="22" t="s">
        <v>261</v>
      </c>
      <c r="K875" s="22" t="s">
        <v>262</v>
      </c>
      <c r="L875" s="22" t="s">
        <v>2829</v>
      </c>
      <c r="M875" s="22" t="s">
        <v>2130</v>
      </c>
      <c r="N875" s="28" t="s">
        <v>2494</v>
      </c>
      <c r="O875" s="28" t="s">
        <v>2016</v>
      </c>
      <c r="P875" s="29">
        <v>31694</v>
      </c>
      <c r="Q875" s="28" t="s">
        <v>2017</v>
      </c>
      <c r="R875" s="38">
        <v>31.305258259655002</v>
      </c>
      <c r="S875" s="29">
        <v>65084</v>
      </c>
      <c r="T875" s="32">
        <v>1012.41777777778</v>
      </c>
      <c r="U875" s="32">
        <v>0</v>
      </c>
      <c r="V875" s="38">
        <v>31.305258259655002</v>
      </c>
      <c r="W875" s="36">
        <v>46118</v>
      </c>
      <c r="X875" s="36">
        <v>46118</v>
      </c>
    </row>
    <row r="876" spans="1:24" ht="15.75" thickBot="1" x14ac:dyDescent="0.3">
      <c r="A876" t="str">
        <f t="shared" si="13"/>
        <v>PCPDTMXKITBOX</v>
      </c>
      <c r="B876" s="22" t="s">
        <v>4623</v>
      </c>
      <c r="C876" s="21"/>
      <c r="D876" s="22" t="s">
        <v>4624</v>
      </c>
      <c r="E876" s="22" t="s">
        <v>4625</v>
      </c>
      <c r="F876" s="22" t="s">
        <v>2030</v>
      </c>
      <c r="G876" s="28" t="s">
        <v>2012</v>
      </c>
      <c r="H876" s="22" t="s">
        <v>4626</v>
      </c>
      <c r="I876" s="22" t="s">
        <v>4627</v>
      </c>
      <c r="J876" s="22" t="s">
        <v>394</v>
      </c>
      <c r="K876" s="22" t="s">
        <v>262</v>
      </c>
      <c r="L876" s="22" t="s">
        <v>4628</v>
      </c>
      <c r="M876" s="22" t="s">
        <v>2130</v>
      </c>
      <c r="N876" s="28" t="s">
        <v>2494</v>
      </c>
      <c r="O876" s="28" t="s">
        <v>2016</v>
      </c>
      <c r="P876" s="29">
        <v>132.78756000000001</v>
      </c>
      <c r="Q876" s="28" t="s">
        <v>3613</v>
      </c>
      <c r="R876" s="37">
        <v>29.025892472426001</v>
      </c>
      <c r="S876" s="34">
        <v>294.09408000000002</v>
      </c>
      <c r="T876" s="32">
        <v>4.5747967999999997</v>
      </c>
      <c r="U876" s="32">
        <v>0</v>
      </c>
      <c r="V876" s="37">
        <v>29.025892472426001</v>
      </c>
      <c r="W876" s="36">
        <v>46116</v>
      </c>
      <c r="X876" s="36">
        <v>46118</v>
      </c>
    </row>
    <row r="877" spans="1:24" ht="15.75" thickBot="1" x14ac:dyDescent="0.3">
      <c r="A877" t="str">
        <f t="shared" si="13"/>
        <v>PCPE23942APIA201MY</v>
      </c>
      <c r="B877" s="22" t="s">
        <v>4629</v>
      </c>
      <c r="C877" s="21"/>
      <c r="D877" s="22" t="s">
        <v>4630</v>
      </c>
      <c r="E877" s="21"/>
      <c r="F877" s="22" t="s">
        <v>2030</v>
      </c>
      <c r="G877" s="28" t="s">
        <v>2012</v>
      </c>
      <c r="H877" s="22" t="s">
        <v>3866</v>
      </c>
      <c r="I877" s="22" t="s">
        <v>3867</v>
      </c>
      <c r="J877" s="22" t="s">
        <v>261</v>
      </c>
      <c r="K877" s="22" t="s">
        <v>262</v>
      </c>
      <c r="L877" s="22" t="s">
        <v>3868</v>
      </c>
      <c r="M877" s="22" t="s">
        <v>2130</v>
      </c>
      <c r="N877" s="28" t="s">
        <v>2494</v>
      </c>
      <c r="O877" s="28" t="s">
        <v>2016</v>
      </c>
      <c r="P877" s="29">
        <v>1212</v>
      </c>
      <c r="Q877" s="28" t="s">
        <v>2017</v>
      </c>
      <c r="R877" s="38">
        <v>30.257975034674001</v>
      </c>
      <c r="S877" s="29">
        <v>2575</v>
      </c>
      <c r="T877" s="32">
        <v>40.055555555555003</v>
      </c>
      <c r="U877" s="32">
        <v>0</v>
      </c>
      <c r="V877" s="38">
        <v>30.257975034674001</v>
      </c>
      <c r="W877" s="36">
        <v>46117</v>
      </c>
      <c r="X877" s="36">
        <v>46118</v>
      </c>
    </row>
    <row r="878" spans="1:24" ht="15.75" thickBot="1" x14ac:dyDescent="0.3">
      <c r="A878" t="str">
        <f t="shared" si="13"/>
        <v>PCPE23942AR04.HA</v>
      </c>
      <c r="B878" s="22" t="s">
        <v>4631</v>
      </c>
      <c r="C878" s="21"/>
      <c r="D878" s="22" t="s">
        <v>4632</v>
      </c>
      <c r="E878" s="22" t="s">
        <v>4539</v>
      </c>
      <c r="F878" s="22" t="s">
        <v>2030</v>
      </c>
      <c r="G878" s="28" t="s">
        <v>2012</v>
      </c>
      <c r="H878" s="22" t="s">
        <v>3459</v>
      </c>
      <c r="I878" s="22" t="s">
        <v>3460</v>
      </c>
      <c r="J878" s="22" t="s">
        <v>261</v>
      </c>
      <c r="K878" s="22" t="s">
        <v>262</v>
      </c>
      <c r="L878" s="22" t="s">
        <v>3318</v>
      </c>
      <c r="M878" s="22" t="s">
        <v>2130</v>
      </c>
      <c r="N878" s="28" t="s">
        <v>2494</v>
      </c>
      <c r="O878" s="28" t="s">
        <v>2016</v>
      </c>
      <c r="P878" s="29">
        <v>1180</v>
      </c>
      <c r="Q878" s="28" t="s">
        <v>2017</v>
      </c>
      <c r="R878" s="37">
        <v>29.401993355481</v>
      </c>
      <c r="S878" s="29">
        <v>2580</v>
      </c>
      <c r="T878" s="32">
        <v>40.133333333332999</v>
      </c>
      <c r="U878" s="32">
        <v>0</v>
      </c>
      <c r="V878" s="37">
        <v>29.401993355481</v>
      </c>
      <c r="W878" s="36">
        <v>46116</v>
      </c>
      <c r="X878" s="36">
        <v>46118</v>
      </c>
    </row>
    <row r="879" spans="1:24" ht="15.75" thickBot="1" x14ac:dyDescent="0.3">
      <c r="A879" t="str">
        <f t="shared" si="13"/>
        <v>PCPE23943BPIA27</v>
      </c>
      <c r="B879" s="22" t="s">
        <v>4633</v>
      </c>
      <c r="C879" s="22" t="s">
        <v>4634</v>
      </c>
      <c r="D879" s="22" t="s">
        <v>4635</v>
      </c>
      <c r="E879" s="21"/>
      <c r="F879" s="22" t="s">
        <v>2030</v>
      </c>
      <c r="G879" s="28" t="s">
        <v>2012</v>
      </c>
      <c r="H879" s="22" t="s">
        <v>3856</v>
      </c>
      <c r="I879" s="22" t="s">
        <v>3857</v>
      </c>
      <c r="J879" s="22" t="s">
        <v>261</v>
      </c>
      <c r="K879" s="22" t="s">
        <v>262</v>
      </c>
      <c r="L879" s="22" t="s">
        <v>3894</v>
      </c>
      <c r="M879" s="22" t="s">
        <v>2130</v>
      </c>
      <c r="N879" s="28" t="s">
        <v>2494</v>
      </c>
      <c r="O879" s="28" t="s">
        <v>2016</v>
      </c>
      <c r="P879" s="29">
        <v>133951</v>
      </c>
      <c r="Q879" s="28" t="s">
        <v>2017</v>
      </c>
      <c r="R879" s="38">
        <v>30.095712413405</v>
      </c>
      <c r="S879" s="29">
        <v>286125</v>
      </c>
      <c r="T879" s="32">
        <v>4450.8333333333303</v>
      </c>
      <c r="U879" s="32">
        <v>0</v>
      </c>
      <c r="V879" s="38">
        <v>30.095712413405</v>
      </c>
      <c r="W879" s="36">
        <v>46117</v>
      </c>
      <c r="X879" s="36">
        <v>46118</v>
      </c>
    </row>
    <row r="880" spans="1:24" ht="15.75" thickBot="1" x14ac:dyDescent="0.3">
      <c r="A880" t="str">
        <f t="shared" si="13"/>
        <v>PCPE27406AR03.HA</v>
      </c>
      <c r="B880" s="22" t="s">
        <v>4636</v>
      </c>
      <c r="C880" s="21"/>
      <c r="D880" s="22" t="s">
        <v>4637</v>
      </c>
      <c r="E880" s="21"/>
      <c r="F880" s="22" t="s">
        <v>2030</v>
      </c>
      <c r="G880" s="28" t="s">
        <v>2012</v>
      </c>
      <c r="H880" s="22" t="s">
        <v>3459</v>
      </c>
      <c r="I880" s="22" t="s">
        <v>3460</v>
      </c>
      <c r="J880" s="22" t="s">
        <v>261</v>
      </c>
      <c r="K880" s="22" t="s">
        <v>262</v>
      </c>
      <c r="L880" s="22" t="s">
        <v>3318</v>
      </c>
      <c r="M880" s="22" t="s">
        <v>2130</v>
      </c>
      <c r="N880" s="28" t="s">
        <v>2494</v>
      </c>
      <c r="O880" s="28" t="s">
        <v>2016</v>
      </c>
      <c r="P880" s="29">
        <v>262</v>
      </c>
      <c r="Q880" s="28" t="s">
        <v>2017</v>
      </c>
      <c r="R880" s="37">
        <v>29.241071428571001</v>
      </c>
      <c r="S880" s="29">
        <v>576</v>
      </c>
      <c r="T880" s="32">
        <v>8.9600000000000009</v>
      </c>
      <c r="U880" s="32">
        <v>0</v>
      </c>
      <c r="V880" s="37">
        <v>29.241071428571001</v>
      </c>
      <c r="W880" s="36">
        <v>46116</v>
      </c>
      <c r="X880" s="36">
        <v>46118</v>
      </c>
    </row>
    <row r="881" spans="1:24" ht="15.75" thickBot="1" x14ac:dyDescent="0.3">
      <c r="A881" t="str">
        <f t="shared" si="13"/>
        <v>PCPGMBEE17706</v>
      </c>
      <c r="B881" s="22" t="s">
        <v>4638</v>
      </c>
      <c r="C881" s="21"/>
      <c r="D881" s="22" t="s">
        <v>4639</v>
      </c>
      <c r="E881" s="22" t="s">
        <v>4054</v>
      </c>
      <c r="F881" s="22" t="s">
        <v>2030</v>
      </c>
      <c r="G881" s="28" t="s">
        <v>2012</v>
      </c>
      <c r="H881" s="22" t="s">
        <v>3897</v>
      </c>
      <c r="I881" s="22" t="s">
        <v>3898</v>
      </c>
      <c r="J881" s="22" t="s">
        <v>404</v>
      </c>
      <c r="K881" s="22" t="s">
        <v>262</v>
      </c>
      <c r="L881" s="22" t="s">
        <v>3858</v>
      </c>
      <c r="M881" s="22" t="s">
        <v>4055</v>
      </c>
      <c r="N881" s="28" t="s">
        <v>2494</v>
      </c>
      <c r="O881" s="28" t="s">
        <v>2016</v>
      </c>
      <c r="P881" s="29">
        <v>912</v>
      </c>
      <c r="Q881" s="28" t="s">
        <v>2017</v>
      </c>
      <c r="R881" s="38">
        <v>31.537693076154</v>
      </c>
      <c r="S881" s="29">
        <v>1859</v>
      </c>
      <c r="T881" s="32">
        <v>28.917777777777001</v>
      </c>
      <c r="U881" s="32">
        <v>0</v>
      </c>
      <c r="V881" s="38">
        <v>31.537693076154</v>
      </c>
      <c r="W881" s="36">
        <v>46118</v>
      </c>
      <c r="X881" s="36">
        <v>46118</v>
      </c>
    </row>
    <row r="882" spans="1:24" ht="15.75" thickBot="1" x14ac:dyDescent="0.3">
      <c r="A882" t="str">
        <f t="shared" si="13"/>
        <v>PCPW714113-S439</v>
      </c>
      <c r="B882" s="22" t="s">
        <v>4640</v>
      </c>
      <c r="C882" s="22" t="s">
        <v>4641</v>
      </c>
      <c r="D882" s="22" t="s">
        <v>3618</v>
      </c>
      <c r="E882" s="22" t="s">
        <v>3845</v>
      </c>
      <c r="F882" s="22" t="s">
        <v>2030</v>
      </c>
      <c r="G882" s="28" t="s">
        <v>2012</v>
      </c>
      <c r="H882" s="22" t="s">
        <v>4058</v>
      </c>
      <c r="I882" s="22" t="s">
        <v>4059</v>
      </c>
      <c r="J882" s="22" t="s">
        <v>261</v>
      </c>
      <c r="K882" s="22" t="s">
        <v>262</v>
      </c>
      <c r="L882" s="22" t="s">
        <v>3620</v>
      </c>
      <c r="M882" s="22" t="s">
        <v>2130</v>
      </c>
      <c r="N882" s="28" t="s">
        <v>2494</v>
      </c>
      <c r="O882" s="28" t="s">
        <v>2016</v>
      </c>
      <c r="P882" s="29">
        <v>32190</v>
      </c>
      <c r="Q882" s="28" t="s">
        <v>2017</v>
      </c>
      <c r="R882" s="38">
        <v>31.333007432274002</v>
      </c>
      <c r="S882" s="29">
        <v>66044</v>
      </c>
      <c r="T882" s="32">
        <v>1027.35111111111</v>
      </c>
      <c r="U882" s="32">
        <v>0</v>
      </c>
      <c r="V882" s="38">
        <v>31.333007432274002</v>
      </c>
      <c r="W882" s="36">
        <v>46118</v>
      </c>
      <c r="X882" s="36">
        <v>46118</v>
      </c>
    </row>
    <row r="883" spans="1:24" ht="15.75" thickBot="1" x14ac:dyDescent="0.3">
      <c r="A883" t="str">
        <f t="shared" si="13"/>
        <v>PCPW718226-S439</v>
      </c>
      <c r="B883" s="22" t="s">
        <v>4642</v>
      </c>
      <c r="C883" s="21"/>
      <c r="D883" s="22" t="s">
        <v>3618</v>
      </c>
      <c r="E883" s="22" t="s">
        <v>3619</v>
      </c>
      <c r="F883" s="22" t="s">
        <v>2030</v>
      </c>
      <c r="G883" s="28" t="s">
        <v>2012</v>
      </c>
      <c r="H883" s="22" t="s">
        <v>4058</v>
      </c>
      <c r="I883" s="22" t="s">
        <v>4059</v>
      </c>
      <c r="J883" s="22" t="s">
        <v>261</v>
      </c>
      <c r="K883" s="22" t="s">
        <v>262</v>
      </c>
      <c r="L883" s="22" t="s">
        <v>3620</v>
      </c>
      <c r="M883" s="22" t="s">
        <v>2130</v>
      </c>
      <c r="N883" s="28" t="s">
        <v>2494</v>
      </c>
      <c r="O883" s="28" t="s">
        <v>2016</v>
      </c>
      <c r="P883" s="29">
        <v>64660</v>
      </c>
      <c r="Q883" s="28" t="s">
        <v>2017</v>
      </c>
      <c r="R883" s="37">
        <v>29.706942952704001</v>
      </c>
      <c r="S883" s="29">
        <v>139924</v>
      </c>
      <c r="T883" s="32">
        <v>2176.5955555555602</v>
      </c>
      <c r="U883" s="32">
        <v>0</v>
      </c>
      <c r="V883" s="37">
        <v>29.706942952704001</v>
      </c>
      <c r="W883" s="36">
        <v>46116</v>
      </c>
      <c r="X883" s="36">
        <v>46118</v>
      </c>
    </row>
    <row r="884" spans="1:24" ht="15.75" thickBot="1" x14ac:dyDescent="0.3">
      <c r="A884" t="str">
        <f t="shared" si="13"/>
        <v>PCS06510818AAWL</v>
      </c>
      <c r="B884" s="22" t="s">
        <v>4643</v>
      </c>
      <c r="C884" s="22" t="s">
        <v>4644</v>
      </c>
      <c r="D884" s="22" t="s">
        <v>2959</v>
      </c>
      <c r="E884" s="22" t="s">
        <v>4645</v>
      </c>
      <c r="F884" s="22" t="s">
        <v>2961</v>
      </c>
      <c r="G884" s="28" t="s">
        <v>2012</v>
      </c>
      <c r="H884" s="22" t="s">
        <v>2962</v>
      </c>
      <c r="I884" s="22" t="s">
        <v>2963</v>
      </c>
      <c r="J884" s="22" t="s">
        <v>1117</v>
      </c>
      <c r="K884" s="22" t="s">
        <v>924</v>
      </c>
      <c r="L884" s="22" t="s">
        <v>2964</v>
      </c>
      <c r="M884" s="22" t="s">
        <v>2130</v>
      </c>
      <c r="N884" s="28" t="s">
        <v>2494</v>
      </c>
      <c r="O884" s="28" t="s">
        <v>2016</v>
      </c>
      <c r="P884" s="29">
        <v>111736</v>
      </c>
      <c r="Q884" s="28" t="s">
        <v>2017</v>
      </c>
      <c r="R884" s="37">
        <v>29.081558290128001</v>
      </c>
      <c r="S884" s="29">
        <v>246996</v>
      </c>
      <c r="T884" s="32">
        <v>3842.16</v>
      </c>
      <c r="U884" s="32">
        <v>0</v>
      </c>
      <c r="V884" s="37">
        <v>29.081558290128001</v>
      </c>
      <c r="W884" s="36">
        <v>46116</v>
      </c>
      <c r="X884" s="36">
        <v>46118</v>
      </c>
    </row>
    <row r="885" spans="1:24" ht="15.75" thickBot="1" x14ac:dyDescent="0.3">
      <c r="A885" t="str">
        <f t="shared" si="13"/>
        <v>PCS96502A78AA</v>
      </c>
      <c r="B885" s="22" t="s">
        <v>4646</v>
      </c>
      <c r="C885" s="21"/>
      <c r="D885" s="22" t="s">
        <v>4130</v>
      </c>
      <c r="E885" s="22" t="s">
        <v>3619</v>
      </c>
      <c r="F885" s="22" t="s">
        <v>2030</v>
      </c>
      <c r="G885" s="28" t="s">
        <v>2012</v>
      </c>
      <c r="H885" s="22" t="s">
        <v>4647</v>
      </c>
      <c r="I885" s="22" t="s">
        <v>4648</v>
      </c>
      <c r="J885" s="22" t="s">
        <v>494</v>
      </c>
      <c r="K885" s="22" t="s">
        <v>924</v>
      </c>
      <c r="L885" s="22" t="s">
        <v>3628</v>
      </c>
      <c r="M885" s="22" t="s">
        <v>2130</v>
      </c>
      <c r="N885" s="28" t="s">
        <v>2494</v>
      </c>
      <c r="O885" s="28" t="s">
        <v>2016</v>
      </c>
      <c r="P885" s="29">
        <v>16249</v>
      </c>
      <c r="Q885" s="28" t="s">
        <v>2017</v>
      </c>
      <c r="R885" s="37">
        <v>29.896352931555999</v>
      </c>
      <c r="S885" s="29">
        <v>34940</v>
      </c>
      <c r="T885" s="32">
        <v>543.51111111111095</v>
      </c>
      <c r="U885" s="32">
        <v>0</v>
      </c>
      <c r="V885" s="37">
        <v>29.896352931555999</v>
      </c>
      <c r="W885" s="36">
        <v>46116</v>
      </c>
      <c r="X885" s="36">
        <v>46118</v>
      </c>
    </row>
    <row r="886" spans="1:24" ht="15.75" thickBot="1" x14ac:dyDescent="0.3">
      <c r="A886" t="str">
        <f t="shared" si="13"/>
        <v>PCSW520763S300</v>
      </c>
      <c r="B886" s="22" t="s">
        <v>4649</v>
      </c>
      <c r="C886" s="21"/>
      <c r="D886" s="22" t="s">
        <v>2959</v>
      </c>
      <c r="E886" s="22" t="s">
        <v>3357</v>
      </c>
      <c r="F886" s="22" t="s">
        <v>2030</v>
      </c>
      <c r="G886" s="28" t="s">
        <v>2012</v>
      </c>
      <c r="H886" s="22" t="s">
        <v>3927</v>
      </c>
      <c r="I886" s="22" t="s">
        <v>3928</v>
      </c>
      <c r="J886" s="22" t="s">
        <v>494</v>
      </c>
      <c r="K886" s="22" t="s">
        <v>924</v>
      </c>
      <c r="L886" s="22" t="s">
        <v>2964</v>
      </c>
      <c r="M886" s="22" t="s">
        <v>2130</v>
      </c>
      <c r="N886" s="28" t="s">
        <v>2494</v>
      </c>
      <c r="O886" s="28" t="s">
        <v>2016</v>
      </c>
      <c r="P886" s="29">
        <v>14123</v>
      </c>
      <c r="Q886" s="28" t="s">
        <v>2017</v>
      </c>
      <c r="R886" s="37">
        <v>29.397330101578</v>
      </c>
      <c r="S886" s="29">
        <v>30884</v>
      </c>
      <c r="T886" s="32">
        <v>480.41777777777799</v>
      </c>
      <c r="U886" s="32">
        <v>0</v>
      </c>
      <c r="V886" s="37">
        <v>29.397330101578</v>
      </c>
      <c r="W886" s="36">
        <v>46116</v>
      </c>
      <c r="X886" s="36">
        <v>46118</v>
      </c>
    </row>
    <row r="887" spans="1:24" ht="15.75" thickBot="1" x14ac:dyDescent="0.3">
      <c r="A887" t="str">
        <f t="shared" si="13"/>
        <v>PCSW709682S300</v>
      </c>
      <c r="B887" s="22" t="s">
        <v>4650</v>
      </c>
      <c r="C887" s="21"/>
      <c r="D887" s="22" t="s">
        <v>2959</v>
      </c>
      <c r="E887" s="22" t="s">
        <v>3357</v>
      </c>
      <c r="F887" s="22" t="s">
        <v>2030</v>
      </c>
      <c r="G887" s="28" t="s">
        <v>2012</v>
      </c>
      <c r="H887" s="22" t="s">
        <v>3927</v>
      </c>
      <c r="I887" s="22" t="s">
        <v>3928</v>
      </c>
      <c r="J887" s="22" t="s">
        <v>364</v>
      </c>
      <c r="K887" s="22" t="s">
        <v>924</v>
      </c>
      <c r="L887" s="22" t="s">
        <v>2964</v>
      </c>
      <c r="M887" s="22" t="s">
        <v>2130</v>
      </c>
      <c r="N887" s="28" t="s">
        <v>2494</v>
      </c>
      <c r="O887" s="28" t="s">
        <v>2016</v>
      </c>
      <c r="P887" s="29">
        <v>7840</v>
      </c>
      <c r="Q887" s="28" t="s">
        <v>2017</v>
      </c>
      <c r="R887" s="37">
        <v>29.166666666666</v>
      </c>
      <c r="S887" s="29">
        <v>17280</v>
      </c>
      <c r="T887" s="32">
        <v>268.8</v>
      </c>
      <c r="U887" s="32">
        <v>0</v>
      </c>
      <c r="V887" s="37">
        <v>29.166666666666</v>
      </c>
      <c r="W887" s="36">
        <v>46116</v>
      </c>
      <c r="X887" s="36">
        <v>46118</v>
      </c>
    </row>
    <row r="888" spans="1:24" ht="15.75" thickBot="1" x14ac:dyDescent="0.3">
      <c r="A888" t="str">
        <f t="shared" si="13"/>
        <v>PCSW720447S300</v>
      </c>
      <c r="B888" s="22" t="s">
        <v>4651</v>
      </c>
      <c r="C888" s="22" t="s">
        <v>4652</v>
      </c>
      <c r="D888" s="22" t="s">
        <v>3356</v>
      </c>
      <c r="E888" s="22" t="s">
        <v>3357</v>
      </c>
      <c r="F888" s="22" t="s">
        <v>2030</v>
      </c>
      <c r="G888" s="28" t="s">
        <v>2012</v>
      </c>
      <c r="H888" s="22" t="s">
        <v>3351</v>
      </c>
      <c r="I888" s="22" t="s">
        <v>3352</v>
      </c>
      <c r="J888" s="22" t="s">
        <v>261</v>
      </c>
      <c r="K888" s="22" t="s">
        <v>924</v>
      </c>
      <c r="L888" s="22" t="s">
        <v>3353</v>
      </c>
      <c r="M888" s="22" t="s">
        <v>2130</v>
      </c>
      <c r="N888" s="28" t="s">
        <v>2494</v>
      </c>
      <c r="O888" s="28" t="s">
        <v>2016</v>
      </c>
      <c r="P888" s="29">
        <v>16556</v>
      </c>
      <c r="Q888" s="28" t="s">
        <v>2017</v>
      </c>
      <c r="R888" s="38">
        <v>31.310728574790001</v>
      </c>
      <c r="S888" s="29">
        <v>33992</v>
      </c>
      <c r="T888" s="32">
        <v>528.76444444444405</v>
      </c>
      <c r="U888" s="32">
        <v>0</v>
      </c>
      <c r="V888" s="38">
        <v>31.310728574790001</v>
      </c>
      <c r="W888" s="36">
        <v>46118</v>
      </c>
      <c r="X888" s="36">
        <v>46118</v>
      </c>
    </row>
    <row r="889" spans="1:24" ht="15.75" thickBot="1" x14ac:dyDescent="0.3">
      <c r="A889" t="str">
        <f t="shared" si="13"/>
        <v>REPACKE410A42</v>
      </c>
      <c r="B889" s="22" t="s">
        <v>1517</v>
      </c>
      <c r="C889" s="22" t="s">
        <v>3060</v>
      </c>
      <c r="D889" s="22" t="s">
        <v>4467</v>
      </c>
      <c r="E889" s="22" t="s">
        <v>4468</v>
      </c>
      <c r="F889" s="22" t="s">
        <v>4653</v>
      </c>
      <c r="G889" s="28" t="s">
        <v>2012</v>
      </c>
      <c r="H889" s="22" t="s">
        <v>2013</v>
      </c>
      <c r="I889" s="21"/>
      <c r="J889" s="22" t="s">
        <v>261</v>
      </c>
      <c r="K889" s="22" t="s">
        <v>924</v>
      </c>
      <c r="L889" s="21"/>
      <c r="M889" s="22" t="s">
        <v>2034</v>
      </c>
      <c r="N889" s="28" t="s">
        <v>2015</v>
      </c>
      <c r="O889" s="28" t="s">
        <v>2016</v>
      </c>
      <c r="P889" s="29">
        <v>6345</v>
      </c>
      <c r="Q889" s="28" t="s">
        <v>2017</v>
      </c>
      <c r="R889" s="38">
        <v>30.349170918367001</v>
      </c>
      <c r="S889" s="29">
        <v>13440</v>
      </c>
      <c r="T889" s="32">
        <v>209.066666666667</v>
      </c>
      <c r="U889" s="32">
        <v>0</v>
      </c>
      <c r="V889" s="38">
        <v>30.349170918367001</v>
      </c>
      <c r="W889" s="36">
        <v>46117</v>
      </c>
      <c r="X889" s="36">
        <v>46118</v>
      </c>
    </row>
    <row r="890" spans="1:24" ht="15.75" thickBot="1" x14ac:dyDescent="0.3">
      <c r="A890" t="str">
        <f t="shared" si="13"/>
        <v>RMPCA387PC YZ9A</v>
      </c>
      <c r="B890" s="22" t="s">
        <v>4654</v>
      </c>
      <c r="C890" s="21"/>
      <c r="D890" s="22" t="s">
        <v>4655</v>
      </c>
      <c r="E890" s="22" t="s">
        <v>4656</v>
      </c>
      <c r="F890" s="22" t="s">
        <v>2030</v>
      </c>
      <c r="G890" s="28" t="s">
        <v>2012</v>
      </c>
      <c r="H890" s="22" t="s">
        <v>3378</v>
      </c>
      <c r="I890" s="22" t="s">
        <v>3379</v>
      </c>
      <c r="J890" s="22" t="s">
        <v>364</v>
      </c>
      <c r="K890" s="22" t="s">
        <v>262</v>
      </c>
      <c r="L890" s="22" t="s">
        <v>3380</v>
      </c>
      <c r="M890" s="22" t="s">
        <v>4657</v>
      </c>
      <c r="N890" s="28" t="s">
        <v>2494</v>
      </c>
      <c r="O890" s="28" t="s">
        <v>2016</v>
      </c>
      <c r="P890" s="29">
        <v>18136.125</v>
      </c>
      <c r="Q890" s="28" t="s">
        <v>1164</v>
      </c>
      <c r="R890" s="38">
        <v>31.991434240017998</v>
      </c>
      <c r="S890" s="34">
        <v>36443.934999999998</v>
      </c>
      <c r="T890" s="32">
        <v>566.905655555556</v>
      </c>
      <c r="U890" s="32">
        <v>0</v>
      </c>
      <c r="V890" s="38">
        <v>31.991434240017998</v>
      </c>
      <c r="W890" s="36">
        <v>46118</v>
      </c>
      <c r="X890" s="36">
        <v>46118</v>
      </c>
    </row>
    <row r="891" spans="1:24" ht="15.75" thickBot="1" x14ac:dyDescent="0.3">
      <c r="A891" t="str">
        <f t="shared" si="13"/>
        <v>RMSBRS67110ARL</v>
      </c>
      <c r="B891" s="22" t="s">
        <v>4658</v>
      </c>
      <c r="C891" s="22" t="s">
        <v>4659</v>
      </c>
      <c r="D891" s="22" t="s">
        <v>4660</v>
      </c>
      <c r="E891" s="22" t="s">
        <v>3132</v>
      </c>
      <c r="F891" s="22" t="s">
        <v>3133</v>
      </c>
      <c r="G891" s="28" t="s">
        <v>2012</v>
      </c>
      <c r="H891" s="22" t="s">
        <v>2982</v>
      </c>
      <c r="I891" s="22" t="s">
        <v>2983</v>
      </c>
      <c r="J891" s="22" t="s">
        <v>364</v>
      </c>
      <c r="K891" s="22" t="s">
        <v>924</v>
      </c>
      <c r="L891" s="22" t="s">
        <v>3136</v>
      </c>
      <c r="M891" s="22" t="s">
        <v>2532</v>
      </c>
      <c r="N891" s="28" t="s">
        <v>2494</v>
      </c>
      <c r="O891" s="28" t="s">
        <v>2016</v>
      </c>
      <c r="P891" s="29">
        <v>167182.226</v>
      </c>
      <c r="Q891" s="28" t="s">
        <v>1164</v>
      </c>
      <c r="R891" s="37">
        <v>29.113168189993999</v>
      </c>
      <c r="S891" s="34">
        <v>369160.4</v>
      </c>
      <c r="T891" s="32">
        <v>5742.4951111111104</v>
      </c>
      <c r="U891" s="32">
        <v>0</v>
      </c>
      <c r="V891" s="37">
        <v>29.113168189993999</v>
      </c>
      <c r="W891" s="36">
        <v>46116</v>
      </c>
      <c r="X891" s="36">
        <v>46118</v>
      </c>
    </row>
    <row r="892" spans="1:24" ht="15.75" thickBot="1" x14ac:dyDescent="0.3">
      <c r="A892" t="str">
        <f t="shared" si="13"/>
        <v>RMSDT683718/9</v>
      </c>
      <c r="B892" s="22" t="s">
        <v>4661</v>
      </c>
      <c r="C892" s="22" t="s">
        <v>4662</v>
      </c>
      <c r="D892" s="22" t="s">
        <v>4663</v>
      </c>
      <c r="E892" s="22" t="s">
        <v>3123</v>
      </c>
      <c r="F892" s="22" t="s">
        <v>4664</v>
      </c>
      <c r="G892" s="28" t="s">
        <v>2012</v>
      </c>
      <c r="H892" s="22" t="s">
        <v>3758</v>
      </c>
      <c r="I892" s="22" t="s">
        <v>3759</v>
      </c>
      <c r="J892" s="22" t="s">
        <v>394</v>
      </c>
      <c r="K892" s="22" t="s">
        <v>924</v>
      </c>
      <c r="L892" s="22" t="s">
        <v>2558</v>
      </c>
      <c r="M892" s="22" t="s">
        <v>2532</v>
      </c>
      <c r="N892" s="28" t="s">
        <v>2494</v>
      </c>
      <c r="O892" s="28" t="s">
        <v>2016</v>
      </c>
      <c r="P892" s="29">
        <v>279001.50750000001</v>
      </c>
      <c r="Q892" s="28" t="s">
        <v>1164</v>
      </c>
      <c r="R892" s="38">
        <v>30.181255333283001</v>
      </c>
      <c r="S892" s="34">
        <v>594269.88699999999</v>
      </c>
      <c r="T892" s="32">
        <v>9244.1982422222209</v>
      </c>
      <c r="U892" s="32">
        <v>0</v>
      </c>
      <c r="V892" s="38">
        <v>30.181255333283001</v>
      </c>
      <c r="W892" s="36">
        <v>46117</v>
      </c>
      <c r="X892" s="36">
        <v>46118</v>
      </c>
    </row>
    <row r="893" spans="1:24" ht="15.75" thickBot="1" x14ac:dyDescent="0.3">
      <c r="A893" t="str">
        <f t="shared" si="13"/>
        <v>RMSLB68586414RL</v>
      </c>
      <c r="B893" s="22" t="s">
        <v>4665</v>
      </c>
      <c r="C893" s="22" t="s">
        <v>4666</v>
      </c>
      <c r="D893" s="22" t="s">
        <v>4667</v>
      </c>
      <c r="E893" s="22" t="s">
        <v>3123</v>
      </c>
      <c r="F893" s="22" t="s">
        <v>4089</v>
      </c>
      <c r="G893" s="28" t="s">
        <v>2012</v>
      </c>
      <c r="H893" s="22" t="s">
        <v>4090</v>
      </c>
      <c r="I893" s="22" t="s">
        <v>4091</v>
      </c>
      <c r="J893" s="22" t="s">
        <v>3324</v>
      </c>
      <c r="K893" s="22" t="s">
        <v>3324</v>
      </c>
      <c r="L893" s="22" t="s">
        <v>2558</v>
      </c>
      <c r="M893" s="22" t="s">
        <v>2532</v>
      </c>
      <c r="N893" s="28" t="s">
        <v>2494</v>
      </c>
      <c r="O893" s="28" t="s">
        <v>2016</v>
      </c>
      <c r="P893" s="29">
        <v>5180</v>
      </c>
      <c r="Q893" s="28" t="s">
        <v>1164</v>
      </c>
      <c r="R893" s="38">
        <v>31.719496774469999</v>
      </c>
      <c r="S893" s="34">
        <v>10498.275</v>
      </c>
      <c r="T893" s="32">
        <v>163.3065</v>
      </c>
      <c r="U893" s="32">
        <v>0</v>
      </c>
      <c r="V893" s="38">
        <v>31.719496774469999</v>
      </c>
      <c r="W893" s="36">
        <v>46118</v>
      </c>
      <c r="X893" s="36">
        <v>46118</v>
      </c>
    </row>
    <row r="894" spans="1:24" ht="15.75" thickBot="1" x14ac:dyDescent="0.3">
      <c r="A894" t="str">
        <f t="shared" si="13"/>
        <v>1-11194-0100-202</v>
      </c>
      <c r="B894" s="22" t="s">
        <v>550</v>
      </c>
      <c r="C894" s="22" t="s">
        <v>4668</v>
      </c>
      <c r="D894" s="22" t="s">
        <v>4669</v>
      </c>
      <c r="E894" s="22" t="s">
        <v>4670</v>
      </c>
      <c r="F894" s="22" t="s">
        <v>2026</v>
      </c>
      <c r="G894" s="28" t="s">
        <v>2012</v>
      </c>
      <c r="H894" s="22" t="s">
        <v>4671</v>
      </c>
      <c r="I894" s="21"/>
      <c r="J894" s="22" t="s">
        <v>404</v>
      </c>
      <c r="K894" s="22" t="s">
        <v>262</v>
      </c>
      <c r="L894" s="21"/>
      <c r="M894" s="22" t="s">
        <v>2014</v>
      </c>
      <c r="N894" s="28" t="s">
        <v>2015</v>
      </c>
      <c r="O894" s="28" t="s">
        <v>2016</v>
      </c>
      <c r="P894" s="29">
        <v>398</v>
      </c>
      <c r="Q894" s="28" t="s">
        <v>2017</v>
      </c>
      <c r="R894" s="38">
        <v>32.802197802197</v>
      </c>
      <c r="S894" s="29">
        <v>780</v>
      </c>
      <c r="T894" s="32">
        <v>12.133333333333001</v>
      </c>
      <c r="U894" s="32">
        <v>0</v>
      </c>
      <c r="V894" s="38">
        <v>32.802197802197</v>
      </c>
      <c r="W894" s="36">
        <v>46119</v>
      </c>
      <c r="X894" s="36">
        <v>46119</v>
      </c>
    </row>
    <row r="895" spans="1:24" ht="15.75" thickBot="1" x14ac:dyDescent="0.3">
      <c r="A895" t="str">
        <f t="shared" si="13"/>
        <v>PCP10CBOX</v>
      </c>
      <c r="B895" s="22" t="s">
        <v>4672</v>
      </c>
      <c r="C895" s="21"/>
      <c r="D895" s="22" t="s">
        <v>4673</v>
      </c>
      <c r="E895" s="21"/>
      <c r="F895" s="22" t="s">
        <v>2030</v>
      </c>
      <c r="G895" s="28" t="s">
        <v>2012</v>
      </c>
      <c r="H895" s="22" t="s">
        <v>3611</v>
      </c>
      <c r="I895" s="22" t="s">
        <v>3612</v>
      </c>
      <c r="J895" s="22" t="s">
        <v>394</v>
      </c>
      <c r="K895" s="22" t="s">
        <v>262</v>
      </c>
      <c r="L895" s="22" t="s">
        <v>3325</v>
      </c>
      <c r="M895" s="22" t="s">
        <v>2130</v>
      </c>
      <c r="N895" s="28" t="s">
        <v>2494</v>
      </c>
      <c r="O895" s="28" t="s">
        <v>2016</v>
      </c>
      <c r="P895" s="29">
        <v>37.081420000000001</v>
      </c>
      <c r="Q895" s="28" t="s">
        <v>3613</v>
      </c>
      <c r="R895" s="38">
        <v>32.827136863261998</v>
      </c>
      <c r="S895" s="34">
        <v>72.616919999999993</v>
      </c>
      <c r="T895" s="32">
        <v>1.129596533333</v>
      </c>
      <c r="U895" s="32">
        <v>0</v>
      </c>
      <c r="V895" s="38">
        <v>32.827136863261998</v>
      </c>
      <c r="W895" s="36">
        <v>46119</v>
      </c>
      <c r="X895" s="36">
        <v>46119</v>
      </c>
    </row>
    <row r="896" spans="1:24" ht="15.75" thickBot="1" x14ac:dyDescent="0.3">
      <c r="A896" t="str">
        <f t="shared" si="13"/>
        <v>PCPE27406AR04.HA</v>
      </c>
      <c r="B896" s="22" t="s">
        <v>4674</v>
      </c>
      <c r="C896" s="21"/>
      <c r="D896" s="22" t="s">
        <v>4675</v>
      </c>
      <c r="E896" s="22" t="s">
        <v>4539</v>
      </c>
      <c r="F896" s="22" t="s">
        <v>2030</v>
      </c>
      <c r="G896" s="28" t="s">
        <v>2012</v>
      </c>
      <c r="H896" s="22" t="s">
        <v>3459</v>
      </c>
      <c r="I896" s="22" t="s">
        <v>3460</v>
      </c>
      <c r="J896" s="22" t="s">
        <v>261</v>
      </c>
      <c r="K896" s="22" t="s">
        <v>262</v>
      </c>
      <c r="L896" s="22" t="s">
        <v>3318</v>
      </c>
      <c r="M896" s="22" t="s">
        <v>2130</v>
      </c>
      <c r="N896" s="28" t="s">
        <v>2494</v>
      </c>
      <c r="O896" s="28" t="s">
        <v>2016</v>
      </c>
      <c r="P896" s="29">
        <v>1301</v>
      </c>
      <c r="Q896" s="28" t="s">
        <v>2017</v>
      </c>
      <c r="R896" s="38">
        <v>32.593809152654998</v>
      </c>
      <c r="S896" s="29">
        <v>2566</v>
      </c>
      <c r="T896" s="32">
        <v>39.915555555555002</v>
      </c>
      <c r="U896" s="32">
        <v>0</v>
      </c>
      <c r="V896" s="38">
        <v>32.593809152654998</v>
      </c>
      <c r="W896" s="36">
        <v>46119</v>
      </c>
      <c r="X896" s="36">
        <v>46119</v>
      </c>
    </row>
    <row r="897" spans="1:24" ht="15.75" thickBot="1" x14ac:dyDescent="0.3">
      <c r="A897" t="str">
        <f t="shared" si="13"/>
        <v>RMPS777K UV BK61099</v>
      </c>
      <c r="B897" s="22" t="s">
        <v>4676</v>
      </c>
      <c r="C897" s="22" t="s">
        <v>4677</v>
      </c>
      <c r="D897" s="22" t="s">
        <v>4677</v>
      </c>
      <c r="E897" s="21"/>
      <c r="F897" s="22" t="s">
        <v>2030</v>
      </c>
      <c r="G897" s="28" t="s">
        <v>2012</v>
      </c>
      <c r="H897" s="22" t="s">
        <v>4678</v>
      </c>
      <c r="I897" s="22" t="s">
        <v>4679</v>
      </c>
      <c r="J897" s="22" t="s">
        <v>494</v>
      </c>
      <c r="K897" s="22" t="s">
        <v>262</v>
      </c>
      <c r="L897" s="22" t="s">
        <v>2842</v>
      </c>
      <c r="M897" s="22" t="s">
        <v>2523</v>
      </c>
      <c r="N897" s="28" t="s">
        <v>2494</v>
      </c>
      <c r="O897" s="28" t="s">
        <v>2016</v>
      </c>
      <c r="P897" s="29">
        <v>12517.460999999999</v>
      </c>
      <c r="Q897" s="28" t="s">
        <v>1164</v>
      </c>
      <c r="R897" s="38">
        <v>32.614621194001003</v>
      </c>
      <c r="S897" s="34">
        <v>24672.7968</v>
      </c>
      <c r="T897" s="32">
        <v>383.79906133333299</v>
      </c>
      <c r="U897" s="32">
        <v>0</v>
      </c>
      <c r="V897" s="38">
        <v>32.614621194001003</v>
      </c>
      <c r="W897" s="36">
        <v>46119</v>
      </c>
      <c r="X897" s="36">
        <v>46119</v>
      </c>
    </row>
    <row r="898" spans="1:24" ht="15.75" thickBot="1" x14ac:dyDescent="0.3">
      <c r="A898" t="str">
        <f t="shared" si="13"/>
        <v>RMS2150840AA</v>
      </c>
      <c r="B898" s="22" t="s">
        <v>4680</v>
      </c>
      <c r="C898" s="22" t="s">
        <v>4681</v>
      </c>
      <c r="D898" s="22" t="s">
        <v>4682</v>
      </c>
      <c r="E898" s="22" t="s">
        <v>2527</v>
      </c>
      <c r="F898" s="22" t="s">
        <v>4683</v>
      </c>
      <c r="G898" s="28" t="s">
        <v>2012</v>
      </c>
      <c r="H898" s="22" t="s">
        <v>2852</v>
      </c>
      <c r="I898" s="22" t="s">
        <v>2853</v>
      </c>
      <c r="J898" s="22" t="s">
        <v>261</v>
      </c>
      <c r="K898" s="22" t="s">
        <v>924</v>
      </c>
      <c r="L898" s="22" t="s">
        <v>2531</v>
      </c>
      <c r="M898" s="22" t="s">
        <v>2532</v>
      </c>
      <c r="N898" s="28" t="s">
        <v>2494</v>
      </c>
      <c r="O898" s="28" t="s">
        <v>2016</v>
      </c>
      <c r="P898" s="29">
        <v>38943.423000000003</v>
      </c>
      <c r="Q898" s="28" t="s">
        <v>1164</v>
      </c>
      <c r="R898" s="38">
        <v>32.387827398953</v>
      </c>
      <c r="S898" s="34">
        <v>77297.736999999994</v>
      </c>
      <c r="T898" s="32">
        <v>1202.40924222222</v>
      </c>
      <c r="U898" s="32">
        <v>0</v>
      </c>
      <c r="V898" s="38">
        <v>32.387827398953</v>
      </c>
      <c r="W898" s="36">
        <v>46119</v>
      </c>
      <c r="X898" s="36">
        <v>46119</v>
      </c>
    </row>
    <row r="899" spans="1:24" ht="15.75" thickBot="1" x14ac:dyDescent="0.3">
      <c r="A899" t="str">
        <f t="shared" si="13"/>
        <v>RMSN9BUOA9/10</v>
      </c>
      <c r="B899" s="22" t="s">
        <v>4684</v>
      </c>
      <c r="C899" s="22" t="s">
        <v>4685</v>
      </c>
      <c r="D899" s="22" t="s">
        <v>4686</v>
      </c>
      <c r="E899" s="22" t="s">
        <v>3123</v>
      </c>
      <c r="F899" s="22" t="s">
        <v>4687</v>
      </c>
      <c r="G899" s="28" t="s">
        <v>2012</v>
      </c>
      <c r="H899" s="22" t="s">
        <v>3658</v>
      </c>
      <c r="I899" s="22" t="s">
        <v>3659</v>
      </c>
      <c r="J899" s="22" t="s">
        <v>1086</v>
      </c>
      <c r="K899" s="22" t="s">
        <v>924</v>
      </c>
      <c r="L899" s="22" t="s">
        <v>2558</v>
      </c>
      <c r="M899" s="22" t="s">
        <v>2532</v>
      </c>
      <c r="N899" s="28" t="s">
        <v>2494</v>
      </c>
      <c r="O899" s="28" t="s">
        <v>2016</v>
      </c>
      <c r="P899" s="29">
        <v>68771.195999999996</v>
      </c>
      <c r="Q899" s="28" t="s">
        <v>1164</v>
      </c>
      <c r="R899" s="38">
        <v>32.138066658752003</v>
      </c>
      <c r="S899" s="34">
        <v>137562.894</v>
      </c>
      <c r="T899" s="32">
        <v>2139.86724</v>
      </c>
      <c r="U899" s="32">
        <v>0</v>
      </c>
      <c r="V899" s="38">
        <v>32.138066658752003</v>
      </c>
      <c r="W899" s="36">
        <v>46119</v>
      </c>
      <c r="X899" s="36">
        <v>46119</v>
      </c>
    </row>
    <row r="900" spans="1:24" ht="15.75" thickBot="1" x14ac:dyDescent="0.3">
      <c r="A900" t="str">
        <f t="shared" si="13"/>
        <v>RMST1XC0240201/801RL</v>
      </c>
      <c r="B900" s="22" t="s">
        <v>4688</v>
      </c>
      <c r="C900" s="22" t="s">
        <v>4689</v>
      </c>
      <c r="D900" s="22" t="s">
        <v>4690</v>
      </c>
      <c r="E900" s="22" t="s">
        <v>4691</v>
      </c>
      <c r="F900" s="22" t="s">
        <v>4692</v>
      </c>
      <c r="G900" s="28" t="s">
        <v>2012</v>
      </c>
      <c r="H900" s="22" t="s">
        <v>2013</v>
      </c>
      <c r="I900" s="21"/>
      <c r="J900" s="22" t="s">
        <v>404</v>
      </c>
      <c r="K900" s="22" t="s">
        <v>924</v>
      </c>
      <c r="L900" s="22" t="s">
        <v>2531</v>
      </c>
      <c r="M900" s="22" t="s">
        <v>2532</v>
      </c>
      <c r="N900" s="28" t="s">
        <v>2494</v>
      </c>
      <c r="O900" s="28" t="s">
        <v>2016</v>
      </c>
      <c r="P900" s="29">
        <v>1494615.818</v>
      </c>
      <c r="Q900" s="28" t="s">
        <v>1164</v>
      </c>
      <c r="R900" s="38">
        <v>32.730056835420001</v>
      </c>
      <c r="S900" s="34">
        <v>2935602.7680000002</v>
      </c>
      <c r="T900" s="32">
        <v>45664.9319466667</v>
      </c>
      <c r="U900" s="32">
        <v>0</v>
      </c>
      <c r="V900" s="38">
        <v>32.730056835420001</v>
      </c>
      <c r="W900" s="36">
        <v>46119</v>
      </c>
      <c r="X900" s="36">
        <v>46119</v>
      </c>
    </row>
    <row r="901" spans="1:24" ht="15.75" thickBot="1" x14ac:dyDescent="0.3">
      <c r="A901" t="str">
        <f t="shared" ref="A901:A964" si="14">TRIM(B901)</f>
        <v>ASYBEI35638</v>
      </c>
      <c r="B901" s="22" t="s">
        <v>567</v>
      </c>
      <c r="C901" s="22" t="s">
        <v>4693</v>
      </c>
      <c r="D901" s="22" t="s">
        <v>4694</v>
      </c>
      <c r="E901" s="21"/>
      <c r="F901" s="22" t="s">
        <v>2030</v>
      </c>
      <c r="G901" s="28" t="s">
        <v>2012</v>
      </c>
      <c r="H901" s="22" t="s">
        <v>4587</v>
      </c>
      <c r="I901" s="21"/>
      <c r="J901" s="22" t="s">
        <v>404</v>
      </c>
      <c r="K901" s="22" t="s">
        <v>262</v>
      </c>
      <c r="L901" s="21"/>
      <c r="M901" s="22" t="s">
        <v>2034</v>
      </c>
      <c r="N901" s="28" t="s">
        <v>2015</v>
      </c>
      <c r="O901" s="28" t="s">
        <v>2016</v>
      </c>
      <c r="P901" s="29">
        <v>980</v>
      </c>
      <c r="Q901" s="28" t="s">
        <v>2017</v>
      </c>
      <c r="R901" s="38">
        <v>33.510638297871999</v>
      </c>
      <c r="S901" s="29">
        <v>1880</v>
      </c>
      <c r="T901" s="32">
        <v>29.244444444443999</v>
      </c>
      <c r="U901" s="32">
        <v>0</v>
      </c>
      <c r="V901" s="38">
        <v>33.510638297871999</v>
      </c>
      <c r="W901" s="36">
        <v>46120</v>
      </c>
      <c r="X901" s="36">
        <v>46120</v>
      </c>
    </row>
    <row r="902" spans="1:24" ht="15.75" thickBot="1" x14ac:dyDescent="0.3">
      <c r="A902" t="str">
        <f t="shared" si="14"/>
        <v>DET68435702</v>
      </c>
      <c r="B902" s="22" t="s">
        <v>1458</v>
      </c>
      <c r="C902" s="22" t="s">
        <v>3076</v>
      </c>
      <c r="D902" s="22" t="s">
        <v>4695</v>
      </c>
      <c r="E902" s="21"/>
      <c r="F902" s="22" t="s">
        <v>4696</v>
      </c>
      <c r="G902" s="28" t="s">
        <v>2012</v>
      </c>
      <c r="H902" s="22" t="s">
        <v>2022</v>
      </c>
      <c r="I902" s="21"/>
      <c r="J902" s="22" t="s">
        <v>1117</v>
      </c>
      <c r="K902" s="22" t="s">
        <v>924</v>
      </c>
      <c r="L902" s="21"/>
      <c r="M902" s="22" t="s">
        <v>2034</v>
      </c>
      <c r="N902" s="28" t="s">
        <v>2015</v>
      </c>
      <c r="O902" s="28" t="s">
        <v>2016</v>
      </c>
      <c r="P902" s="29">
        <v>31574</v>
      </c>
      <c r="Q902" s="28" t="s">
        <v>2017</v>
      </c>
      <c r="R902" s="38">
        <v>33.762323772137002</v>
      </c>
      <c r="S902" s="29">
        <v>60119</v>
      </c>
      <c r="T902" s="32">
        <v>935.18444444444401</v>
      </c>
      <c r="U902" s="32">
        <v>0</v>
      </c>
      <c r="V902" s="38">
        <v>33.762323772137002</v>
      </c>
      <c r="W902" s="36">
        <v>46120</v>
      </c>
      <c r="X902" s="36">
        <v>46120</v>
      </c>
    </row>
    <row r="903" spans="1:24" ht="15.75" thickBot="1" x14ac:dyDescent="0.3">
      <c r="A903" t="str">
        <f t="shared" si="14"/>
        <v>DETE43489A</v>
      </c>
      <c r="B903" s="22" t="s">
        <v>1496</v>
      </c>
      <c r="C903" s="22" t="s">
        <v>2073</v>
      </c>
      <c r="D903" s="22" t="s">
        <v>4597</v>
      </c>
      <c r="E903" s="21"/>
      <c r="F903" s="22" t="s">
        <v>4697</v>
      </c>
      <c r="G903" s="28" t="s">
        <v>2012</v>
      </c>
      <c r="H903" s="22" t="s">
        <v>2013</v>
      </c>
      <c r="I903" s="21"/>
      <c r="J903" s="22" t="s">
        <v>261</v>
      </c>
      <c r="K903" s="22" t="s">
        <v>924</v>
      </c>
      <c r="L903" s="21"/>
      <c r="M903" s="22" t="s">
        <v>2034</v>
      </c>
      <c r="N903" s="28" t="s">
        <v>2015</v>
      </c>
      <c r="O903" s="28" t="s">
        <v>2016</v>
      </c>
      <c r="P903" s="29">
        <v>9894</v>
      </c>
      <c r="Q903" s="28" t="s">
        <v>2017</v>
      </c>
      <c r="R903" s="38">
        <v>33.470655009359</v>
      </c>
      <c r="S903" s="29">
        <v>19003</v>
      </c>
      <c r="T903" s="32">
        <v>295.602222222222</v>
      </c>
      <c r="U903" s="32">
        <v>0</v>
      </c>
      <c r="V903" s="38">
        <v>33.470655009359</v>
      </c>
      <c r="W903" s="36">
        <v>46120</v>
      </c>
      <c r="X903" s="36">
        <v>46120</v>
      </c>
    </row>
    <row r="904" spans="1:24" ht="15.75" thickBot="1" x14ac:dyDescent="0.3">
      <c r="A904" t="str">
        <f t="shared" si="14"/>
        <v>N1WB 16L558 DB</v>
      </c>
      <c r="B904" s="22" t="s">
        <v>497</v>
      </c>
      <c r="C904" s="22" t="s">
        <v>4698</v>
      </c>
      <c r="D904" s="22" t="s">
        <v>4699</v>
      </c>
      <c r="E904" s="21"/>
      <c r="F904" s="22" t="s">
        <v>2030</v>
      </c>
      <c r="G904" s="28" t="s">
        <v>2012</v>
      </c>
      <c r="H904" s="22" t="s">
        <v>2080</v>
      </c>
      <c r="I904" s="21"/>
      <c r="J904" s="22" t="s">
        <v>261</v>
      </c>
      <c r="K904" s="22" t="s">
        <v>262</v>
      </c>
      <c r="L904" s="21"/>
      <c r="M904" s="22" t="s">
        <v>2014</v>
      </c>
      <c r="N904" s="28" t="s">
        <v>2015</v>
      </c>
      <c r="O904" s="28" t="s">
        <v>2016</v>
      </c>
      <c r="P904" s="29">
        <v>10</v>
      </c>
      <c r="Q904" s="28" t="s">
        <v>2017</v>
      </c>
      <c r="R904" s="38">
        <v>33.834586466165</v>
      </c>
      <c r="S904" s="29">
        <v>19</v>
      </c>
      <c r="T904" s="32">
        <v>0.29555555555500002</v>
      </c>
      <c r="U904" s="32">
        <v>0</v>
      </c>
      <c r="V904" s="38">
        <v>33.834586466165</v>
      </c>
      <c r="W904" s="36">
        <v>46120</v>
      </c>
      <c r="X904" s="36">
        <v>46120</v>
      </c>
    </row>
    <row r="905" spans="1:24" ht="15.75" thickBot="1" x14ac:dyDescent="0.3">
      <c r="A905" t="str">
        <f t="shared" si="14"/>
        <v>PCP520823S439</v>
      </c>
      <c r="B905" s="22" t="s">
        <v>4700</v>
      </c>
      <c r="C905" s="21"/>
      <c r="D905" s="22" t="s">
        <v>4701</v>
      </c>
      <c r="E905" s="22" t="s">
        <v>3619</v>
      </c>
      <c r="F905" s="22" t="s">
        <v>2030</v>
      </c>
      <c r="G905" s="28" t="s">
        <v>2012</v>
      </c>
      <c r="H905" s="22" t="s">
        <v>4702</v>
      </c>
      <c r="I905" s="22" t="s">
        <v>4703</v>
      </c>
      <c r="J905" s="22" t="s">
        <v>364</v>
      </c>
      <c r="K905" s="22" t="s">
        <v>262</v>
      </c>
      <c r="L905" s="22" t="s">
        <v>4704</v>
      </c>
      <c r="M905" s="22" t="s">
        <v>2830</v>
      </c>
      <c r="N905" s="28" t="s">
        <v>2494</v>
      </c>
      <c r="O905" s="28" t="s">
        <v>2016</v>
      </c>
      <c r="P905" s="29">
        <v>28681</v>
      </c>
      <c r="Q905" s="28" t="s">
        <v>2017</v>
      </c>
      <c r="R905" s="38">
        <v>33.760181847668001</v>
      </c>
      <c r="S905" s="29">
        <v>54614</v>
      </c>
      <c r="T905" s="32">
        <v>849.55111111111103</v>
      </c>
      <c r="U905" s="32">
        <v>0</v>
      </c>
      <c r="V905" s="38">
        <v>33.760181847668001</v>
      </c>
      <c r="W905" s="36">
        <v>46120</v>
      </c>
      <c r="X905" s="36">
        <v>46120</v>
      </c>
    </row>
    <row r="906" spans="1:24" ht="15.75" thickBot="1" x14ac:dyDescent="0.3">
      <c r="A906" t="str">
        <f t="shared" si="14"/>
        <v>PCPBUR100089</v>
      </c>
      <c r="B906" s="22" t="s">
        <v>4705</v>
      </c>
      <c r="C906" s="21"/>
      <c r="D906" s="22" t="s">
        <v>3618</v>
      </c>
      <c r="E906" s="22" t="s">
        <v>3845</v>
      </c>
      <c r="F906" s="22" t="s">
        <v>2030</v>
      </c>
      <c r="G906" s="28" t="s">
        <v>2012</v>
      </c>
      <c r="H906" s="22" t="s">
        <v>3846</v>
      </c>
      <c r="I906" s="22" t="s">
        <v>3847</v>
      </c>
      <c r="J906" s="22" t="s">
        <v>261</v>
      </c>
      <c r="K906" s="22" t="s">
        <v>262</v>
      </c>
      <c r="L906" s="22" t="s">
        <v>4706</v>
      </c>
      <c r="M906" s="22" t="s">
        <v>2130</v>
      </c>
      <c r="N906" s="28" t="s">
        <v>2494</v>
      </c>
      <c r="O906" s="28" t="s">
        <v>2016</v>
      </c>
      <c r="P906" s="29">
        <v>33934</v>
      </c>
      <c r="Q906" s="28" t="s">
        <v>2017</v>
      </c>
      <c r="R906" s="38">
        <v>33.816543870954</v>
      </c>
      <c r="S906" s="29">
        <v>64509</v>
      </c>
      <c r="T906" s="32">
        <v>1003.4733333333299</v>
      </c>
      <c r="U906" s="32">
        <v>0</v>
      </c>
      <c r="V906" s="38">
        <v>33.816543870954</v>
      </c>
      <c r="W906" s="36">
        <v>46120</v>
      </c>
      <c r="X906" s="36">
        <v>46120</v>
      </c>
    </row>
    <row r="907" spans="1:24" ht="15.75" thickBot="1" x14ac:dyDescent="0.3">
      <c r="A907" t="str">
        <f t="shared" si="14"/>
        <v>PCPE23942AR03.HA</v>
      </c>
      <c r="B907" s="22" t="s">
        <v>4707</v>
      </c>
      <c r="C907" s="21"/>
      <c r="D907" s="22" t="s">
        <v>4708</v>
      </c>
      <c r="E907" s="21"/>
      <c r="F907" s="22" t="s">
        <v>2030</v>
      </c>
      <c r="G907" s="28" t="s">
        <v>2012</v>
      </c>
      <c r="H907" s="22" t="s">
        <v>3459</v>
      </c>
      <c r="I907" s="22" t="s">
        <v>3460</v>
      </c>
      <c r="J907" s="22" t="s">
        <v>261</v>
      </c>
      <c r="K907" s="22" t="s">
        <v>262</v>
      </c>
      <c r="L907" s="22" t="s">
        <v>3318</v>
      </c>
      <c r="M907" s="22" t="s">
        <v>2130</v>
      </c>
      <c r="N907" s="28" t="s">
        <v>2494</v>
      </c>
      <c r="O907" s="28" t="s">
        <v>2016</v>
      </c>
      <c r="P907" s="29">
        <v>299</v>
      </c>
      <c r="Q907" s="28" t="s">
        <v>2017</v>
      </c>
      <c r="R907" s="38">
        <v>33.960121150932999</v>
      </c>
      <c r="S907" s="29">
        <v>566</v>
      </c>
      <c r="T907" s="32">
        <v>8.804444444444</v>
      </c>
      <c r="U907" s="32">
        <v>0</v>
      </c>
      <c r="V907" s="38">
        <v>33.960121150932999</v>
      </c>
      <c r="W907" s="36">
        <v>46120</v>
      </c>
      <c r="X907" s="36">
        <v>46120</v>
      </c>
    </row>
    <row r="908" spans="1:24" ht="15.75" thickBot="1" x14ac:dyDescent="0.3">
      <c r="A908" t="str">
        <f t="shared" si="14"/>
        <v>PCPW714113-S424</v>
      </c>
      <c r="B908" s="22" t="s">
        <v>4709</v>
      </c>
      <c r="C908" s="22" t="s">
        <v>4710</v>
      </c>
      <c r="D908" s="22" t="s">
        <v>3618</v>
      </c>
      <c r="E908" s="22" t="s">
        <v>3619</v>
      </c>
      <c r="F908" s="22" t="s">
        <v>2030</v>
      </c>
      <c r="G908" s="28" t="s">
        <v>2012</v>
      </c>
      <c r="H908" s="22" t="s">
        <v>4058</v>
      </c>
      <c r="I908" s="22" t="s">
        <v>4059</v>
      </c>
      <c r="J908" s="22" t="s">
        <v>261</v>
      </c>
      <c r="K908" s="22" t="s">
        <v>262</v>
      </c>
      <c r="L908" s="22" t="s">
        <v>3620</v>
      </c>
      <c r="M908" s="22" t="s">
        <v>2130</v>
      </c>
      <c r="N908" s="28" t="s">
        <v>2494</v>
      </c>
      <c r="O908" s="28" t="s">
        <v>2016</v>
      </c>
      <c r="P908" s="29">
        <v>34076</v>
      </c>
      <c r="Q908" s="28" t="s">
        <v>2017</v>
      </c>
      <c r="R908" s="38">
        <v>33.257423938785998</v>
      </c>
      <c r="S908" s="29">
        <v>65868</v>
      </c>
      <c r="T908" s="32">
        <v>1024.61333333333</v>
      </c>
      <c r="U908" s="32">
        <v>0</v>
      </c>
      <c r="V908" s="38">
        <v>33.257423938785998</v>
      </c>
      <c r="W908" s="36">
        <v>46120</v>
      </c>
      <c r="X908" s="36">
        <v>46120</v>
      </c>
    </row>
    <row r="909" spans="1:24" ht="15.75" thickBot="1" x14ac:dyDescent="0.3">
      <c r="A909" t="str">
        <f t="shared" si="14"/>
        <v>RMS2611150RLA</v>
      </c>
      <c r="B909" s="22" t="s">
        <v>4711</v>
      </c>
      <c r="C909" s="22" t="s">
        <v>4712</v>
      </c>
      <c r="D909" s="22" t="s">
        <v>4713</v>
      </c>
      <c r="E909" s="22" t="s">
        <v>2527</v>
      </c>
      <c r="F909" s="22" t="s">
        <v>2535</v>
      </c>
      <c r="G909" s="28" t="s">
        <v>2012</v>
      </c>
      <c r="H909" s="22" t="s">
        <v>2543</v>
      </c>
      <c r="I909" s="22" t="s">
        <v>2544</v>
      </c>
      <c r="J909" s="22" t="s">
        <v>261</v>
      </c>
      <c r="K909" s="22" t="s">
        <v>924</v>
      </c>
      <c r="L909" s="22" t="s">
        <v>2531</v>
      </c>
      <c r="M909" s="22" t="s">
        <v>2532</v>
      </c>
      <c r="N909" s="28" t="s">
        <v>2494</v>
      </c>
      <c r="O909" s="28" t="s">
        <v>2016</v>
      </c>
      <c r="P909" s="29">
        <v>78467.19</v>
      </c>
      <c r="Q909" s="28" t="s">
        <v>1164</v>
      </c>
      <c r="R909" s="38">
        <v>33.270983586721997</v>
      </c>
      <c r="S909" s="34">
        <v>151613.17199999999</v>
      </c>
      <c r="T909" s="32">
        <v>2358.4271199999998</v>
      </c>
      <c r="U909" s="32">
        <v>0</v>
      </c>
      <c r="V909" s="38">
        <v>33.270983586721997</v>
      </c>
      <c r="W909" s="36">
        <v>46120</v>
      </c>
      <c r="X909" s="36">
        <v>46120</v>
      </c>
    </row>
    <row r="910" spans="1:24" ht="15.75" thickBot="1" x14ac:dyDescent="0.3">
      <c r="A910" t="str">
        <f t="shared" si="14"/>
        <v>RMSBRS502D12A CR4</v>
      </c>
      <c r="B910" s="22" t="s">
        <v>4714</v>
      </c>
      <c r="C910" s="22" t="s">
        <v>4715</v>
      </c>
      <c r="D910" s="22" t="s">
        <v>4716</v>
      </c>
      <c r="E910" s="22" t="s">
        <v>3752</v>
      </c>
      <c r="F910" s="22" t="s">
        <v>4717</v>
      </c>
      <c r="G910" s="28" t="s">
        <v>2012</v>
      </c>
      <c r="H910" s="22" t="s">
        <v>2549</v>
      </c>
      <c r="I910" s="22" t="s">
        <v>2550</v>
      </c>
      <c r="J910" s="22" t="s">
        <v>364</v>
      </c>
      <c r="K910" s="22" t="s">
        <v>924</v>
      </c>
      <c r="L910" s="22" t="s">
        <v>3136</v>
      </c>
      <c r="M910" s="22" t="s">
        <v>2532</v>
      </c>
      <c r="N910" s="28" t="s">
        <v>2494</v>
      </c>
      <c r="O910" s="28" t="s">
        <v>2016</v>
      </c>
      <c r="P910" s="29">
        <v>47958</v>
      </c>
      <c r="Q910" s="28" t="s">
        <v>1164</v>
      </c>
      <c r="R910" s="38">
        <v>33.108113498278001</v>
      </c>
      <c r="S910" s="34">
        <v>93119.6</v>
      </c>
      <c r="T910" s="32">
        <v>1448.5271111111099</v>
      </c>
      <c r="U910" s="32">
        <v>0</v>
      </c>
      <c r="V910" s="38">
        <v>33.108113498278001</v>
      </c>
      <c r="W910" s="36">
        <v>46120</v>
      </c>
      <c r="X910" s="36">
        <v>46120</v>
      </c>
    </row>
    <row r="911" spans="1:24" ht="15.75" thickBot="1" x14ac:dyDescent="0.3">
      <c r="A911" t="str">
        <f t="shared" si="14"/>
        <v>RMSWL68424074/5</v>
      </c>
      <c r="B911" s="22" t="s">
        <v>4718</v>
      </c>
      <c r="C911" s="22" t="s">
        <v>4719</v>
      </c>
      <c r="D911" s="22" t="s">
        <v>4720</v>
      </c>
      <c r="E911" s="22" t="s">
        <v>2527</v>
      </c>
      <c r="F911" s="22" t="s">
        <v>4721</v>
      </c>
      <c r="G911" s="28" t="s">
        <v>2012</v>
      </c>
      <c r="H911" s="22" t="s">
        <v>3758</v>
      </c>
      <c r="I911" s="22" t="s">
        <v>3759</v>
      </c>
      <c r="J911" s="22" t="s">
        <v>1117</v>
      </c>
      <c r="K911" s="22" t="s">
        <v>924</v>
      </c>
      <c r="L911" s="22" t="s">
        <v>2531</v>
      </c>
      <c r="M911" s="22" t="s">
        <v>2532</v>
      </c>
      <c r="N911" s="28" t="s">
        <v>2494</v>
      </c>
      <c r="O911" s="28" t="s">
        <v>2016</v>
      </c>
      <c r="P911" s="29">
        <v>23053.31</v>
      </c>
      <c r="Q911" s="28" t="s">
        <v>1164</v>
      </c>
      <c r="R911" s="38">
        <v>33.368950182943998</v>
      </c>
      <c r="S911" s="34">
        <v>44412.5</v>
      </c>
      <c r="T911" s="32">
        <v>690.86111111111097</v>
      </c>
      <c r="U911" s="32">
        <v>0</v>
      </c>
      <c r="V911" s="38">
        <v>33.368950182943998</v>
      </c>
      <c r="W911" s="36">
        <v>46120</v>
      </c>
      <c r="X911" s="36">
        <v>46120</v>
      </c>
    </row>
    <row r="912" spans="1:24" ht="15.75" thickBot="1" x14ac:dyDescent="0.3">
      <c r="A912" t="str">
        <f t="shared" si="14"/>
        <v>DET68436049</v>
      </c>
      <c r="B912" s="22" t="s">
        <v>1124</v>
      </c>
      <c r="C912" s="22" t="s">
        <v>2695</v>
      </c>
      <c r="D912" s="22" t="s">
        <v>4722</v>
      </c>
      <c r="E912" s="21"/>
      <c r="F912" s="22" t="s">
        <v>4723</v>
      </c>
      <c r="G912" s="28" t="s">
        <v>2012</v>
      </c>
      <c r="H912" s="22" t="s">
        <v>2022</v>
      </c>
      <c r="I912" s="21"/>
      <c r="J912" s="22" t="s">
        <v>1117</v>
      </c>
      <c r="K912" s="22" t="s">
        <v>924</v>
      </c>
      <c r="L912" s="21"/>
      <c r="M912" s="22" t="s">
        <v>2034</v>
      </c>
      <c r="N912" s="28" t="s">
        <v>2015</v>
      </c>
      <c r="O912" s="28" t="s">
        <v>2016</v>
      </c>
      <c r="P912" s="29">
        <v>18419</v>
      </c>
      <c r="Q912" s="28" t="s">
        <v>2017</v>
      </c>
      <c r="R912" s="38">
        <v>34.336046728390997</v>
      </c>
      <c r="S912" s="29">
        <v>34485</v>
      </c>
      <c r="T912" s="32">
        <v>536.43333333333305</v>
      </c>
      <c r="U912" s="32">
        <v>0</v>
      </c>
      <c r="V912" s="38">
        <v>34.336046728390997</v>
      </c>
      <c r="W912" s="36">
        <v>46121</v>
      </c>
      <c r="X912" s="36">
        <v>46121</v>
      </c>
    </row>
    <row r="913" spans="1:24" ht="15.75" thickBot="1" x14ac:dyDescent="0.3">
      <c r="A913" t="str">
        <f t="shared" si="14"/>
        <v>DET68586411AA</v>
      </c>
      <c r="B913" s="22" t="s">
        <v>1591</v>
      </c>
      <c r="C913" s="22" t="s">
        <v>4724</v>
      </c>
      <c r="D913" s="22" t="s">
        <v>4725</v>
      </c>
      <c r="E913" s="22" t="s">
        <v>4726</v>
      </c>
      <c r="F913" s="22" t="s">
        <v>4727</v>
      </c>
      <c r="G913" s="28" t="s">
        <v>2012</v>
      </c>
      <c r="H913" s="22" t="s">
        <v>3677</v>
      </c>
      <c r="I913" s="21"/>
      <c r="J913" s="22" t="s">
        <v>394</v>
      </c>
      <c r="K913" s="22" t="s">
        <v>924</v>
      </c>
      <c r="L913" s="21"/>
      <c r="M913" s="22" t="s">
        <v>2034</v>
      </c>
      <c r="N913" s="28" t="s">
        <v>2015</v>
      </c>
      <c r="O913" s="28" t="s">
        <v>2016</v>
      </c>
      <c r="P913" s="29">
        <v>6156</v>
      </c>
      <c r="Q913" s="28" t="s">
        <v>2017</v>
      </c>
      <c r="R913" s="38">
        <v>34.897959183673002</v>
      </c>
      <c r="S913" s="29">
        <v>11340</v>
      </c>
      <c r="T913" s="32">
        <v>176.4</v>
      </c>
      <c r="U913" s="32">
        <v>0</v>
      </c>
      <c r="V913" s="38">
        <v>34.897959183673002</v>
      </c>
      <c r="W913" s="36">
        <v>46121</v>
      </c>
      <c r="X913" s="36">
        <v>46121</v>
      </c>
    </row>
    <row r="914" spans="1:24" ht="15.75" thickBot="1" x14ac:dyDescent="0.3">
      <c r="A914" t="str">
        <f t="shared" si="14"/>
        <v>DETE200B65A</v>
      </c>
      <c r="B914" s="22" t="s">
        <v>1478</v>
      </c>
      <c r="C914" s="22" t="s">
        <v>2073</v>
      </c>
      <c r="D914" s="22" t="s">
        <v>4728</v>
      </c>
      <c r="E914" s="21"/>
      <c r="F914" s="22" t="s">
        <v>4729</v>
      </c>
      <c r="G914" s="28" t="s">
        <v>2012</v>
      </c>
      <c r="H914" s="22" t="s">
        <v>2080</v>
      </c>
      <c r="I914" s="21"/>
      <c r="J914" s="22" t="s">
        <v>261</v>
      </c>
      <c r="K914" s="22" t="s">
        <v>924</v>
      </c>
      <c r="L914" s="21"/>
      <c r="M914" s="22" t="s">
        <v>2034</v>
      </c>
      <c r="N914" s="28" t="s">
        <v>2015</v>
      </c>
      <c r="O914" s="28" t="s">
        <v>2016</v>
      </c>
      <c r="P914" s="29">
        <v>10203</v>
      </c>
      <c r="Q914" s="28" t="s">
        <v>2017</v>
      </c>
      <c r="R914" s="38">
        <v>34.515978680057998</v>
      </c>
      <c r="S914" s="29">
        <v>19003</v>
      </c>
      <c r="T914" s="32">
        <v>295.602222222222</v>
      </c>
      <c r="U914" s="32">
        <v>0</v>
      </c>
      <c r="V914" s="38">
        <v>34.515978680057998</v>
      </c>
      <c r="W914" s="36">
        <v>46121</v>
      </c>
      <c r="X914" s="36">
        <v>46121</v>
      </c>
    </row>
    <row r="915" spans="1:24" ht="15.75" thickBot="1" x14ac:dyDescent="0.3">
      <c r="A915" t="str">
        <f t="shared" si="14"/>
        <v>N1WB E50291 AA</v>
      </c>
      <c r="B915" s="22" t="s">
        <v>1613</v>
      </c>
      <c r="C915" s="22" t="s">
        <v>4730</v>
      </c>
      <c r="D915" s="22" t="s">
        <v>4731</v>
      </c>
      <c r="E915" s="21"/>
      <c r="F915" s="22" t="s">
        <v>2030</v>
      </c>
      <c r="G915" s="28" t="s">
        <v>2012</v>
      </c>
      <c r="H915" s="22" t="s">
        <v>2080</v>
      </c>
      <c r="I915" s="21"/>
      <c r="J915" s="22" t="s">
        <v>261</v>
      </c>
      <c r="K915" s="22" t="s">
        <v>924</v>
      </c>
      <c r="L915" s="21"/>
      <c r="M915" s="22" t="s">
        <v>2014</v>
      </c>
      <c r="N915" s="28" t="s">
        <v>2015</v>
      </c>
      <c r="O915" s="28" t="s">
        <v>2016</v>
      </c>
      <c r="P915" s="29">
        <v>9211</v>
      </c>
      <c r="Q915" s="28" t="s">
        <v>2017</v>
      </c>
      <c r="R915" s="38">
        <v>34.386510701840997</v>
      </c>
      <c r="S915" s="29">
        <v>17220</v>
      </c>
      <c r="T915" s="32">
        <v>267.86666666666702</v>
      </c>
      <c r="U915" s="32">
        <v>0</v>
      </c>
      <c r="V915" s="38">
        <v>34.386510701840997</v>
      </c>
      <c r="W915" s="36">
        <v>46121</v>
      </c>
      <c r="X915" s="36">
        <v>46121</v>
      </c>
    </row>
    <row r="916" spans="1:24" ht="15.75" thickBot="1" x14ac:dyDescent="0.3">
      <c r="A916" t="str">
        <f t="shared" si="14"/>
        <v>PC26189A</v>
      </c>
      <c r="B916" s="22" t="s">
        <v>1507</v>
      </c>
      <c r="C916" s="22" t="s">
        <v>4732</v>
      </c>
      <c r="D916" s="22" t="s">
        <v>4733</v>
      </c>
      <c r="E916" s="22" t="s">
        <v>4734</v>
      </c>
      <c r="F916" s="22" t="s">
        <v>4735</v>
      </c>
      <c r="G916" s="28" t="s">
        <v>2012</v>
      </c>
      <c r="H916" s="22" t="s">
        <v>2022</v>
      </c>
      <c r="I916" s="21"/>
      <c r="J916" s="22" t="s">
        <v>1117</v>
      </c>
      <c r="K916" s="22" t="s">
        <v>924</v>
      </c>
      <c r="L916" s="21"/>
      <c r="M916" s="22" t="s">
        <v>2014</v>
      </c>
      <c r="N916" s="28" t="s">
        <v>2015</v>
      </c>
      <c r="O916" s="28" t="s">
        <v>2016</v>
      </c>
      <c r="P916" s="29">
        <v>18341</v>
      </c>
      <c r="Q916" s="28" t="s">
        <v>2017</v>
      </c>
      <c r="R916" s="38">
        <v>34.475563909774003</v>
      </c>
      <c r="S916" s="29">
        <v>34200</v>
      </c>
      <c r="T916" s="32">
        <v>532</v>
      </c>
      <c r="U916" s="32">
        <v>0</v>
      </c>
      <c r="V916" s="38">
        <v>34.475563909774003</v>
      </c>
      <c r="W916" s="36">
        <v>46121</v>
      </c>
      <c r="X916" s="36">
        <v>46121</v>
      </c>
    </row>
    <row r="917" spans="1:24" ht="15.75" thickBot="1" x14ac:dyDescent="0.3">
      <c r="A917" t="str">
        <f t="shared" si="14"/>
        <v>PCPW714972</v>
      </c>
      <c r="B917" s="22" t="s">
        <v>4736</v>
      </c>
      <c r="C917" s="22" t="s">
        <v>4737</v>
      </c>
      <c r="D917" s="22" t="s">
        <v>4346</v>
      </c>
      <c r="E917" s="22" t="s">
        <v>4125</v>
      </c>
      <c r="F917" s="22" t="s">
        <v>2030</v>
      </c>
      <c r="G917" s="28" t="s">
        <v>2012</v>
      </c>
      <c r="H917" s="22" t="s">
        <v>3714</v>
      </c>
      <c r="I917" s="22" t="s">
        <v>3715</v>
      </c>
      <c r="J917" s="22" t="s">
        <v>261</v>
      </c>
      <c r="K917" s="22" t="s">
        <v>262</v>
      </c>
      <c r="L917" s="22" t="s">
        <v>3716</v>
      </c>
      <c r="M917" s="22" t="s">
        <v>2130</v>
      </c>
      <c r="N917" s="28" t="s">
        <v>2494</v>
      </c>
      <c r="O917" s="28" t="s">
        <v>2016</v>
      </c>
      <c r="P917" s="29">
        <v>53920</v>
      </c>
      <c r="Q917" s="28" t="s">
        <v>2017</v>
      </c>
      <c r="R917" s="38">
        <v>34.370024533828001</v>
      </c>
      <c r="S917" s="29">
        <v>100852</v>
      </c>
      <c r="T917" s="32">
        <v>1568.8088888888899</v>
      </c>
      <c r="U917" s="32">
        <v>0</v>
      </c>
      <c r="V917" s="38">
        <v>34.370024533828001</v>
      </c>
      <c r="W917" s="36">
        <v>46121</v>
      </c>
      <c r="X917" s="36">
        <v>46121</v>
      </c>
    </row>
    <row r="918" spans="1:24" ht="15.75" thickBot="1" x14ac:dyDescent="0.3">
      <c r="A918" t="str">
        <f t="shared" si="14"/>
        <v>PCSW520762S300</v>
      </c>
      <c r="B918" s="22" t="s">
        <v>4738</v>
      </c>
      <c r="C918" s="21"/>
      <c r="D918" s="22" t="s">
        <v>2959</v>
      </c>
      <c r="E918" s="22" t="s">
        <v>3357</v>
      </c>
      <c r="F918" s="22" t="s">
        <v>2030</v>
      </c>
      <c r="G918" s="28" t="s">
        <v>2012</v>
      </c>
      <c r="H918" s="22" t="s">
        <v>3927</v>
      </c>
      <c r="I918" s="22" t="s">
        <v>3928</v>
      </c>
      <c r="J918" s="22" t="s">
        <v>494</v>
      </c>
      <c r="K918" s="22" t="s">
        <v>924</v>
      </c>
      <c r="L918" s="22" t="s">
        <v>2964</v>
      </c>
      <c r="M918" s="22" t="s">
        <v>2130</v>
      </c>
      <c r="N918" s="28" t="s">
        <v>2494</v>
      </c>
      <c r="O918" s="28" t="s">
        <v>2016</v>
      </c>
      <c r="P918" s="29">
        <v>2200</v>
      </c>
      <c r="Q918" s="28" t="s">
        <v>2017</v>
      </c>
      <c r="R918" s="38">
        <v>34.360683048729001</v>
      </c>
      <c r="S918" s="29">
        <v>4116</v>
      </c>
      <c r="T918" s="32">
        <v>64.026666666666003</v>
      </c>
      <c r="U918" s="32">
        <v>0</v>
      </c>
      <c r="V918" s="38">
        <v>34.360683048729001</v>
      </c>
      <c r="W918" s="36">
        <v>46121</v>
      </c>
      <c r="X918" s="36">
        <v>46121</v>
      </c>
    </row>
    <row r="919" spans="1:24" ht="15.75" thickBot="1" x14ac:dyDescent="0.3">
      <c r="A919" t="str">
        <f t="shared" si="14"/>
        <v>PCSW710471S300</v>
      </c>
      <c r="B919" s="22" t="s">
        <v>4739</v>
      </c>
      <c r="C919" s="22" t="s">
        <v>4740</v>
      </c>
      <c r="D919" s="22" t="s">
        <v>3349</v>
      </c>
      <c r="E919" s="22" t="s">
        <v>3357</v>
      </c>
      <c r="F919" s="22" t="s">
        <v>2030</v>
      </c>
      <c r="G919" s="28" t="s">
        <v>2012</v>
      </c>
      <c r="H919" s="22" t="s">
        <v>3351</v>
      </c>
      <c r="I919" s="22" t="s">
        <v>3352</v>
      </c>
      <c r="J919" s="22" t="s">
        <v>364</v>
      </c>
      <c r="K919" s="22" t="s">
        <v>924</v>
      </c>
      <c r="L919" s="22" t="s">
        <v>3353</v>
      </c>
      <c r="M919" s="22" t="s">
        <v>2130</v>
      </c>
      <c r="N919" s="28" t="s">
        <v>2494</v>
      </c>
      <c r="O919" s="28" t="s">
        <v>2016</v>
      </c>
      <c r="P919" s="29">
        <v>84876</v>
      </c>
      <c r="Q919" s="28" t="s">
        <v>2017</v>
      </c>
      <c r="R919" s="38">
        <v>34.55616183787</v>
      </c>
      <c r="S919" s="29">
        <v>157897</v>
      </c>
      <c r="T919" s="32">
        <v>2456.1755555555601</v>
      </c>
      <c r="U919" s="32">
        <v>0</v>
      </c>
      <c r="V919" s="38">
        <v>34.55616183787</v>
      </c>
      <c r="W919" s="36">
        <v>46121</v>
      </c>
      <c r="X919" s="36">
        <v>46121</v>
      </c>
    </row>
    <row r="920" spans="1:24" ht="15.75" thickBot="1" x14ac:dyDescent="0.3">
      <c r="A920" t="str">
        <f t="shared" si="14"/>
        <v>RMS26104A98RLAA</v>
      </c>
      <c r="B920" s="22" t="s">
        <v>4741</v>
      </c>
      <c r="C920" s="22" t="s">
        <v>4742</v>
      </c>
      <c r="D920" s="22" t="s">
        <v>4743</v>
      </c>
      <c r="E920" s="22" t="s">
        <v>2527</v>
      </c>
      <c r="F920" s="22" t="s">
        <v>4744</v>
      </c>
      <c r="G920" s="28" t="s">
        <v>2012</v>
      </c>
      <c r="H920" s="22" t="s">
        <v>2529</v>
      </c>
      <c r="I920" s="22" t="s">
        <v>2530</v>
      </c>
      <c r="J920" s="22" t="s">
        <v>261</v>
      </c>
      <c r="K920" s="22" t="s">
        <v>924</v>
      </c>
      <c r="L920" s="22" t="s">
        <v>2531</v>
      </c>
      <c r="M920" s="22" t="s">
        <v>2532</v>
      </c>
      <c r="N920" s="28" t="s">
        <v>2494</v>
      </c>
      <c r="O920" s="28" t="s">
        <v>2016</v>
      </c>
      <c r="P920" s="29">
        <v>185432</v>
      </c>
      <c r="Q920" s="28" t="s">
        <v>1164</v>
      </c>
      <c r="R920" s="38">
        <v>34.402968564361998</v>
      </c>
      <c r="S920" s="34">
        <v>346499.99894999998</v>
      </c>
      <c r="T920" s="32">
        <v>5389.9999836666702</v>
      </c>
      <c r="U920" s="32">
        <v>0</v>
      </c>
      <c r="V920" s="38">
        <v>34.402968564361998</v>
      </c>
      <c r="W920" s="36">
        <v>46121</v>
      </c>
      <c r="X920" s="36">
        <v>46121</v>
      </c>
    </row>
    <row r="921" spans="1:24" ht="15.75" thickBot="1" x14ac:dyDescent="0.3">
      <c r="A921" t="str">
        <f t="shared" si="14"/>
        <v>RMSBR5F147</v>
      </c>
      <c r="B921" s="22" t="s">
        <v>4745</v>
      </c>
      <c r="C921" s="22" t="s">
        <v>4746</v>
      </c>
      <c r="D921" s="22" t="s">
        <v>4747</v>
      </c>
      <c r="E921" s="22" t="s">
        <v>3123</v>
      </c>
      <c r="F921" s="22" t="s">
        <v>4748</v>
      </c>
      <c r="G921" s="28" t="s">
        <v>2012</v>
      </c>
      <c r="H921" s="22" t="s">
        <v>2549</v>
      </c>
      <c r="I921" s="22" t="s">
        <v>2550</v>
      </c>
      <c r="J921" s="22" t="s">
        <v>364</v>
      </c>
      <c r="K921" s="22" t="s">
        <v>924</v>
      </c>
      <c r="L921" s="22" t="s">
        <v>2558</v>
      </c>
      <c r="M921" s="22" t="s">
        <v>2532</v>
      </c>
      <c r="N921" s="28" t="s">
        <v>2494</v>
      </c>
      <c r="O921" s="28" t="s">
        <v>2016</v>
      </c>
      <c r="P921" s="29">
        <v>15562.352000000001</v>
      </c>
      <c r="Q921" s="28" t="s">
        <v>1164</v>
      </c>
      <c r="R921" s="38">
        <v>34.888576689463001</v>
      </c>
      <c r="S921" s="34">
        <v>28675.200000000001</v>
      </c>
      <c r="T921" s="32">
        <v>446.05866666666702</v>
      </c>
      <c r="U921" s="32">
        <v>0</v>
      </c>
      <c r="V921" s="38">
        <v>34.888576689463001</v>
      </c>
      <c r="W921" s="36">
        <v>46121</v>
      </c>
      <c r="X921" s="36">
        <v>46121</v>
      </c>
    </row>
    <row r="922" spans="1:24" ht="15.75" thickBot="1" x14ac:dyDescent="0.3">
      <c r="A922" t="str">
        <f t="shared" si="14"/>
        <v>RMSBRS444A20A</v>
      </c>
      <c r="B922" s="22" t="s">
        <v>4749</v>
      </c>
      <c r="C922" s="22" t="s">
        <v>4750</v>
      </c>
      <c r="D922" s="22" t="s">
        <v>4751</v>
      </c>
      <c r="E922" s="22" t="s">
        <v>3123</v>
      </c>
      <c r="F922" s="22" t="s">
        <v>3969</v>
      </c>
      <c r="G922" s="28" t="s">
        <v>2012</v>
      </c>
      <c r="H922" s="22" t="s">
        <v>2549</v>
      </c>
      <c r="I922" s="22" t="s">
        <v>2550</v>
      </c>
      <c r="J922" s="22" t="s">
        <v>364</v>
      </c>
      <c r="K922" s="22" t="s">
        <v>924</v>
      </c>
      <c r="L922" s="22" t="s">
        <v>2558</v>
      </c>
      <c r="M922" s="22" t="s">
        <v>2532</v>
      </c>
      <c r="N922" s="28" t="s">
        <v>2494</v>
      </c>
      <c r="O922" s="28" t="s">
        <v>2016</v>
      </c>
      <c r="P922" s="29">
        <v>23431.917000000001</v>
      </c>
      <c r="Q922" s="28" t="s">
        <v>1164</v>
      </c>
      <c r="R922" s="38">
        <v>34.094495347109998</v>
      </c>
      <c r="S922" s="34">
        <v>44181.252899999999</v>
      </c>
      <c r="T922" s="32">
        <v>687.26393399999995</v>
      </c>
      <c r="U922" s="32">
        <v>0</v>
      </c>
      <c r="V922" s="38">
        <v>34.094495347109998</v>
      </c>
      <c r="W922" s="36">
        <v>46121</v>
      </c>
      <c r="X922" s="36">
        <v>46121</v>
      </c>
    </row>
    <row r="923" spans="1:24" ht="15.75" thickBot="1" x14ac:dyDescent="0.3">
      <c r="A923" t="str">
        <f t="shared" si="14"/>
        <v>RMSWL68430482/3</v>
      </c>
      <c r="B923" s="22" t="s">
        <v>4752</v>
      </c>
      <c r="C923" s="22" t="s">
        <v>4753</v>
      </c>
      <c r="D923" s="22" t="s">
        <v>4754</v>
      </c>
      <c r="E923" s="22" t="s">
        <v>2527</v>
      </c>
      <c r="F923" s="22" t="s">
        <v>3986</v>
      </c>
      <c r="G923" s="28" t="s">
        <v>2012</v>
      </c>
      <c r="H923" s="22" t="s">
        <v>3987</v>
      </c>
      <c r="I923" s="22" t="s">
        <v>3988</v>
      </c>
      <c r="J923" s="22" t="s">
        <v>1117</v>
      </c>
      <c r="K923" s="22" t="s">
        <v>924</v>
      </c>
      <c r="L923" s="22" t="s">
        <v>2531</v>
      </c>
      <c r="M923" s="22" t="s">
        <v>2532</v>
      </c>
      <c r="N923" s="28" t="s">
        <v>2494</v>
      </c>
      <c r="O923" s="28" t="s">
        <v>2016</v>
      </c>
      <c r="P923" s="29">
        <v>71739.284</v>
      </c>
      <c r="Q923" s="28" t="s">
        <v>1164</v>
      </c>
      <c r="R923" s="38">
        <v>34.926382245360003</v>
      </c>
      <c r="S923" s="34">
        <v>132043.76800000001</v>
      </c>
      <c r="T923" s="32">
        <v>2054.0141688888898</v>
      </c>
      <c r="U923" s="32">
        <v>0</v>
      </c>
      <c r="V923" s="38">
        <v>34.926382245360003</v>
      </c>
      <c r="W923" s="36">
        <v>46121</v>
      </c>
      <c r="X923" s="36">
        <v>46121</v>
      </c>
    </row>
    <row r="924" spans="1:24" ht="15.75" thickBot="1" x14ac:dyDescent="0.3">
      <c r="A924" t="str">
        <f t="shared" si="14"/>
        <v>85533617</v>
      </c>
      <c r="B924" s="22" t="s">
        <v>853</v>
      </c>
      <c r="C924" s="22" t="s">
        <v>4755</v>
      </c>
      <c r="D924" s="22" t="s">
        <v>4756</v>
      </c>
      <c r="E924" s="22" t="s">
        <v>3496</v>
      </c>
      <c r="F924" s="22" t="s">
        <v>3765</v>
      </c>
      <c r="G924" s="28" t="s">
        <v>2012</v>
      </c>
      <c r="H924" s="22" t="s">
        <v>2027</v>
      </c>
      <c r="I924" s="21"/>
      <c r="J924" s="22" t="s">
        <v>404</v>
      </c>
      <c r="K924" s="22" t="s">
        <v>262</v>
      </c>
      <c r="L924" s="21"/>
      <c r="M924" s="22" t="s">
        <v>2014</v>
      </c>
      <c r="N924" s="28" t="s">
        <v>2015</v>
      </c>
      <c r="O924" s="28" t="s">
        <v>2016</v>
      </c>
      <c r="P924" s="29">
        <v>1070</v>
      </c>
      <c r="Q924" s="28" t="s">
        <v>2017</v>
      </c>
      <c r="R924" s="38">
        <v>35.094752186588003</v>
      </c>
      <c r="S924" s="29">
        <v>1960</v>
      </c>
      <c r="T924" s="32">
        <v>30.488888888887999</v>
      </c>
      <c r="U924" s="32">
        <v>0</v>
      </c>
      <c r="V924" s="38">
        <v>35.094752186588003</v>
      </c>
      <c r="W924" s="36">
        <v>46122</v>
      </c>
      <c r="X924" s="36">
        <v>46122</v>
      </c>
    </row>
    <row r="925" spans="1:24" ht="15.75" thickBot="1" x14ac:dyDescent="0.3">
      <c r="A925" t="str">
        <f t="shared" si="14"/>
        <v>DETE200B64A</v>
      </c>
      <c r="B925" s="22" t="s">
        <v>1476</v>
      </c>
      <c r="C925" s="22" t="s">
        <v>2185</v>
      </c>
      <c r="D925" s="22" t="s">
        <v>4757</v>
      </c>
      <c r="E925" s="21"/>
      <c r="F925" s="22" t="s">
        <v>4758</v>
      </c>
      <c r="G925" s="28" t="s">
        <v>2012</v>
      </c>
      <c r="H925" s="22" t="s">
        <v>2080</v>
      </c>
      <c r="I925" s="21"/>
      <c r="J925" s="22" t="s">
        <v>261</v>
      </c>
      <c r="K925" s="22" t="s">
        <v>924</v>
      </c>
      <c r="L925" s="21"/>
      <c r="M925" s="22" t="s">
        <v>2034</v>
      </c>
      <c r="N925" s="28" t="s">
        <v>2015</v>
      </c>
      <c r="O925" s="28" t="s">
        <v>2016</v>
      </c>
      <c r="P925" s="29">
        <v>10357</v>
      </c>
      <c r="Q925" s="28" t="s">
        <v>2017</v>
      </c>
      <c r="R925" s="38">
        <v>35.114558454571998</v>
      </c>
      <c r="S925" s="29">
        <v>18961</v>
      </c>
      <c r="T925" s="32">
        <v>294.94888888888897</v>
      </c>
      <c r="U925" s="32">
        <v>0</v>
      </c>
      <c r="V925" s="38">
        <v>35.114558454571998</v>
      </c>
      <c r="W925" s="36">
        <v>46122</v>
      </c>
      <c r="X925" s="36">
        <v>46122</v>
      </c>
    </row>
    <row r="926" spans="1:24" ht="15.75" thickBot="1" x14ac:dyDescent="0.3">
      <c r="A926" t="str">
        <f t="shared" si="14"/>
        <v>MLDBEU43796</v>
      </c>
      <c r="B926" s="22" t="s">
        <v>873</v>
      </c>
      <c r="C926" s="22" t="s">
        <v>3155</v>
      </c>
      <c r="D926" s="22" t="s">
        <v>4759</v>
      </c>
      <c r="E926" s="22" t="s">
        <v>3831</v>
      </c>
      <c r="F926" s="22" t="s">
        <v>3832</v>
      </c>
      <c r="G926" s="28" t="s">
        <v>2012</v>
      </c>
      <c r="H926" s="22" t="s">
        <v>2013</v>
      </c>
      <c r="I926" s="21"/>
      <c r="J926" s="22" t="s">
        <v>404</v>
      </c>
      <c r="K926" s="22" t="s">
        <v>262</v>
      </c>
      <c r="L926" s="21"/>
      <c r="M926" s="22" t="s">
        <v>2034</v>
      </c>
      <c r="N926" s="28" t="s">
        <v>2015</v>
      </c>
      <c r="O926" s="28" t="s">
        <v>2016</v>
      </c>
      <c r="P926" s="29">
        <v>939</v>
      </c>
      <c r="Q926" s="28" t="s">
        <v>2017</v>
      </c>
      <c r="R926" s="38">
        <v>35.571176024917001</v>
      </c>
      <c r="S926" s="29">
        <v>1697</v>
      </c>
      <c r="T926" s="32">
        <v>26.397777777777002</v>
      </c>
      <c r="U926" s="32">
        <v>0</v>
      </c>
      <c r="V926" s="38">
        <v>35.571176024917001</v>
      </c>
      <c r="W926" s="36">
        <v>46122</v>
      </c>
      <c r="X926" s="36">
        <v>46122</v>
      </c>
    </row>
    <row r="927" spans="1:24" ht="15.75" thickBot="1" x14ac:dyDescent="0.3">
      <c r="A927" t="str">
        <f t="shared" si="14"/>
        <v>PCPW719347-S439</v>
      </c>
      <c r="B927" s="22" t="s">
        <v>4760</v>
      </c>
      <c r="C927" s="22" t="s">
        <v>4761</v>
      </c>
      <c r="D927" s="22" t="s">
        <v>3618</v>
      </c>
      <c r="E927" s="22" t="s">
        <v>3902</v>
      </c>
      <c r="F927" s="22" t="s">
        <v>2030</v>
      </c>
      <c r="G927" s="28" t="s">
        <v>2012</v>
      </c>
      <c r="H927" s="22" t="s">
        <v>3922</v>
      </c>
      <c r="I927" s="22" t="s">
        <v>3923</v>
      </c>
      <c r="J927" s="22" t="s">
        <v>261</v>
      </c>
      <c r="K927" s="22" t="s">
        <v>262</v>
      </c>
      <c r="L927" s="22" t="s">
        <v>3716</v>
      </c>
      <c r="M927" s="22" t="s">
        <v>2130</v>
      </c>
      <c r="N927" s="28" t="s">
        <v>2494</v>
      </c>
      <c r="O927" s="28" t="s">
        <v>2016</v>
      </c>
      <c r="P927" s="29">
        <v>19244</v>
      </c>
      <c r="Q927" s="28" t="s">
        <v>2017</v>
      </c>
      <c r="R927" s="38">
        <v>35.887511189205</v>
      </c>
      <c r="S927" s="29">
        <v>34472</v>
      </c>
      <c r="T927" s="32">
        <v>536.23111111111098</v>
      </c>
      <c r="U927" s="32">
        <v>0</v>
      </c>
      <c r="V927" s="38">
        <v>35.887511189205</v>
      </c>
      <c r="W927" s="36">
        <v>46122</v>
      </c>
      <c r="X927" s="36">
        <v>46122</v>
      </c>
    </row>
    <row r="928" spans="1:24" ht="15.75" thickBot="1" x14ac:dyDescent="0.3">
      <c r="A928" t="str">
        <f t="shared" si="14"/>
        <v>RMS2103410AA</v>
      </c>
      <c r="B928" s="22" t="s">
        <v>4762</v>
      </c>
      <c r="C928" s="22" t="s">
        <v>4763</v>
      </c>
      <c r="D928" s="22" t="s">
        <v>4764</v>
      </c>
      <c r="E928" s="22" t="s">
        <v>2527</v>
      </c>
      <c r="F928" s="22" t="s">
        <v>4765</v>
      </c>
      <c r="G928" s="28" t="s">
        <v>2012</v>
      </c>
      <c r="H928" s="22" t="s">
        <v>2543</v>
      </c>
      <c r="I928" s="22" t="s">
        <v>2544</v>
      </c>
      <c r="J928" s="22" t="s">
        <v>261</v>
      </c>
      <c r="K928" s="22" t="s">
        <v>924</v>
      </c>
      <c r="L928" s="22" t="s">
        <v>2531</v>
      </c>
      <c r="M928" s="22" t="s">
        <v>2532</v>
      </c>
      <c r="N928" s="28" t="s">
        <v>2494</v>
      </c>
      <c r="O928" s="28" t="s">
        <v>2016</v>
      </c>
      <c r="P928" s="29">
        <v>66840</v>
      </c>
      <c r="Q928" s="28" t="s">
        <v>1164</v>
      </c>
      <c r="R928" s="38">
        <v>35.735405816735998</v>
      </c>
      <c r="S928" s="34">
        <v>120240.894</v>
      </c>
      <c r="T928" s="32">
        <v>1870.4139066666701</v>
      </c>
      <c r="U928" s="32">
        <v>0</v>
      </c>
      <c r="V928" s="38">
        <v>35.735405816735998</v>
      </c>
      <c r="W928" s="36">
        <v>46122</v>
      </c>
      <c r="X928" s="36">
        <v>46122</v>
      </c>
    </row>
    <row r="929" spans="1:24" ht="15.75" thickBot="1" x14ac:dyDescent="0.3">
      <c r="A929" t="str">
        <f t="shared" si="14"/>
        <v>RMS26112A56RLA</v>
      </c>
      <c r="B929" s="22" t="s">
        <v>4766</v>
      </c>
      <c r="C929" s="22" t="s">
        <v>4767</v>
      </c>
      <c r="D929" s="22" t="s">
        <v>4768</v>
      </c>
      <c r="E929" s="22" t="s">
        <v>2527</v>
      </c>
      <c r="F929" s="22" t="s">
        <v>2535</v>
      </c>
      <c r="G929" s="28" t="s">
        <v>2012</v>
      </c>
      <c r="H929" s="22" t="s">
        <v>2716</v>
      </c>
      <c r="I929" s="22" t="s">
        <v>2717</v>
      </c>
      <c r="J929" s="22" t="s">
        <v>261</v>
      </c>
      <c r="K929" s="22" t="s">
        <v>924</v>
      </c>
      <c r="L929" s="22" t="s">
        <v>2531</v>
      </c>
      <c r="M929" s="22" t="s">
        <v>2532</v>
      </c>
      <c r="N929" s="28" t="s">
        <v>2494</v>
      </c>
      <c r="O929" s="28" t="s">
        <v>2016</v>
      </c>
      <c r="P929" s="29">
        <v>11496.88</v>
      </c>
      <c r="Q929" s="28" t="s">
        <v>1164</v>
      </c>
      <c r="R929" s="38">
        <v>35.395048619107001</v>
      </c>
      <c r="S929" s="34">
        <v>20881.031999999999</v>
      </c>
      <c r="T929" s="32">
        <v>324.816053333333</v>
      </c>
      <c r="U929" s="32">
        <v>0</v>
      </c>
      <c r="V929" s="38">
        <v>35.395048619107001</v>
      </c>
      <c r="W929" s="36">
        <v>46122</v>
      </c>
      <c r="X929" s="36">
        <v>46122</v>
      </c>
    </row>
    <row r="930" spans="1:24" ht="15.75" thickBot="1" x14ac:dyDescent="0.3">
      <c r="A930" t="str">
        <f t="shared" si="14"/>
        <v>RMSBRX67110ARL</v>
      </c>
      <c r="B930" s="22" t="s">
        <v>4769</v>
      </c>
      <c r="C930" s="22" t="s">
        <v>4770</v>
      </c>
      <c r="D930" s="22" t="s">
        <v>4771</v>
      </c>
      <c r="E930" s="22" t="s">
        <v>3132</v>
      </c>
      <c r="F930" s="22" t="s">
        <v>3133</v>
      </c>
      <c r="G930" s="28" t="s">
        <v>2012</v>
      </c>
      <c r="H930" s="22" t="s">
        <v>2716</v>
      </c>
      <c r="I930" s="22" t="s">
        <v>2717</v>
      </c>
      <c r="J930" s="22" t="s">
        <v>364</v>
      </c>
      <c r="K930" s="22" t="s">
        <v>924</v>
      </c>
      <c r="L930" s="22" t="s">
        <v>3136</v>
      </c>
      <c r="M930" s="22" t="s">
        <v>2532</v>
      </c>
      <c r="N930" s="28" t="s">
        <v>2494</v>
      </c>
      <c r="O930" s="28" t="s">
        <v>2016</v>
      </c>
      <c r="P930" s="29">
        <v>6365</v>
      </c>
      <c r="Q930" s="28" t="s">
        <v>1164</v>
      </c>
      <c r="R930" s="38">
        <v>35.379408817212003</v>
      </c>
      <c r="S930" s="34">
        <v>11565.444</v>
      </c>
      <c r="T930" s="32">
        <v>179.906906666667</v>
      </c>
      <c r="U930" s="32">
        <v>0</v>
      </c>
      <c r="V930" s="38">
        <v>35.379408817212003</v>
      </c>
      <c r="W930" s="36">
        <v>46122</v>
      </c>
      <c r="X930" s="36">
        <v>46122</v>
      </c>
    </row>
    <row r="931" spans="1:24" ht="15.75" thickBot="1" x14ac:dyDescent="0.3">
      <c r="A931" t="str">
        <f t="shared" si="14"/>
        <v>RMSWL68430481</v>
      </c>
      <c r="B931" s="22" t="s">
        <v>4772</v>
      </c>
      <c r="C931" s="22" t="s">
        <v>4773</v>
      </c>
      <c r="D931" s="22" t="s">
        <v>4774</v>
      </c>
      <c r="E931" s="22" t="s">
        <v>2527</v>
      </c>
      <c r="F931" s="22" t="s">
        <v>3569</v>
      </c>
      <c r="G931" s="28" t="s">
        <v>2012</v>
      </c>
      <c r="H931" s="22" t="s">
        <v>4554</v>
      </c>
      <c r="I931" s="22" t="s">
        <v>4555</v>
      </c>
      <c r="J931" s="22" t="s">
        <v>1117</v>
      </c>
      <c r="K931" s="22" t="s">
        <v>924</v>
      </c>
      <c r="L931" s="22" t="s">
        <v>2531</v>
      </c>
      <c r="M931" s="22" t="s">
        <v>2532</v>
      </c>
      <c r="N931" s="28" t="s">
        <v>2494</v>
      </c>
      <c r="O931" s="28" t="s">
        <v>2016</v>
      </c>
      <c r="P931" s="29">
        <v>93710.68</v>
      </c>
      <c r="Q931" s="28" t="s">
        <v>1164</v>
      </c>
      <c r="R931" s="38">
        <v>35.093250902676999</v>
      </c>
      <c r="S931" s="34">
        <v>171664.29</v>
      </c>
      <c r="T931" s="32">
        <v>2670.3334</v>
      </c>
      <c r="U931" s="32">
        <v>0</v>
      </c>
      <c r="V931" s="38">
        <v>35.093250902676999</v>
      </c>
      <c r="W931" s="36">
        <v>46122</v>
      </c>
      <c r="X931" s="36">
        <v>46122</v>
      </c>
    </row>
    <row r="932" spans="1:24" ht="15.75" thickBot="1" x14ac:dyDescent="0.3">
      <c r="A932" t="str">
        <f t="shared" si="14"/>
        <v>ASYBEH03511</v>
      </c>
      <c r="B932" s="22" t="s">
        <v>443</v>
      </c>
      <c r="C932" s="21"/>
      <c r="D932" s="22" t="s">
        <v>2332</v>
      </c>
      <c r="E932" s="21"/>
      <c r="F932" s="22" t="s">
        <v>2030</v>
      </c>
      <c r="G932" s="28" t="s">
        <v>2012</v>
      </c>
      <c r="H932" s="22" t="s">
        <v>4587</v>
      </c>
      <c r="I932" s="21"/>
      <c r="J932" s="22" t="s">
        <v>404</v>
      </c>
      <c r="K932" s="22" t="s">
        <v>262</v>
      </c>
      <c r="L932" s="21"/>
      <c r="M932" s="22" t="s">
        <v>2034</v>
      </c>
      <c r="N932" s="28" t="s">
        <v>2015</v>
      </c>
      <c r="O932" s="28" t="s">
        <v>2016</v>
      </c>
      <c r="P932" s="29">
        <v>810</v>
      </c>
      <c r="Q932" s="28" t="s">
        <v>2017</v>
      </c>
      <c r="R932" s="38">
        <v>37.193877551020002</v>
      </c>
      <c r="S932" s="29">
        <v>1400</v>
      </c>
      <c r="T932" s="32">
        <v>21.777777777777001</v>
      </c>
      <c r="U932" s="32">
        <v>0</v>
      </c>
      <c r="V932" s="38">
        <v>37.193877551020002</v>
      </c>
      <c r="W932" s="36">
        <v>46124</v>
      </c>
      <c r="X932" s="36">
        <v>46125</v>
      </c>
    </row>
    <row r="933" spans="1:24" ht="15.75" thickBot="1" x14ac:dyDescent="0.3">
      <c r="A933" t="str">
        <f t="shared" si="14"/>
        <v>ASYBEI35635</v>
      </c>
      <c r="B933" s="22" t="s">
        <v>565</v>
      </c>
      <c r="C933" s="22" t="s">
        <v>4775</v>
      </c>
      <c r="D933" s="22" t="s">
        <v>4776</v>
      </c>
      <c r="E933" s="21"/>
      <c r="F933" s="22" t="s">
        <v>2030</v>
      </c>
      <c r="G933" s="28" t="s">
        <v>2012</v>
      </c>
      <c r="H933" s="22" t="s">
        <v>4587</v>
      </c>
      <c r="I933" s="21"/>
      <c r="J933" s="22" t="s">
        <v>404</v>
      </c>
      <c r="K933" s="22" t="s">
        <v>262</v>
      </c>
      <c r="L933" s="21"/>
      <c r="M933" s="22" t="s">
        <v>2034</v>
      </c>
      <c r="N933" s="28" t="s">
        <v>2015</v>
      </c>
      <c r="O933" s="28" t="s">
        <v>2016</v>
      </c>
      <c r="P933" s="29">
        <v>980</v>
      </c>
      <c r="Q933" s="28" t="s">
        <v>2017</v>
      </c>
      <c r="R933" s="38">
        <v>37.124337065409001</v>
      </c>
      <c r="S933" s="29">
        <v>1697</v>
      </c>
      <c r="T933" s="32">
        <v>26.397777777777002</v>
      </c>
      <c r="U933" s="32">
        <v>0</v>
      </c>
      <c r="V933" s="38">
        <v>37.124337065409001</v>
      </c>
      <c r="W933" s="36">
        <v>46124</v>
      </c>
      <c r="X933" s="36">
        <v>46125</v>
      </c>
    </row>
    <row r="934" spans="1:24" ht="15.75" thickBot="1" x14ac:dyDescent="0.3">
      <c r="A934" t="str">
        <f t="shared" si="14"/>
        <v>DET10723DPIA02</v>
      </c>
      <c r="B934" s="22" t="s">
        <v>1389</v>
      </c>
      <c r="C934" s="22" t="s">
        <v>4777</v>
      </c>
      <c r="D934" s="22" t="s">
        <v>4778</v>
      </c>
      <c r="E934" s="21"/>
      <c r="F934" s="22" t="s">
        <v>4779</v>
      </c>
      <c r="G934" s="28" t="s">
        <v>2012</v>
      </c>
      <c r="H934" s="22" t="s">
        <v>2055</v>
      </c>
      <c r="I934" s="21"/>
      <c r="J934" s="22" t="s">
        <v>261</v>
      </c>
      <c r="K934" s="22" t="s">
        <v>924</v>
      </c>
      <c r="L934" s="21"/>
      <c r="M934" s="22" t="s">
        <v>2034</v>
      </c>
      <c r="N934" s="28" t="s">
        <v>2015</v>
      </c>
      <c r="O934" s="28" t="s">
        <v>2016</v>
      </c>
      <c r="P934" s="29">
        <v>11697</v>
      </c>
      <c r="Q934" s="28" t="s">
        <v>2017</v>
      </c>
      <c r="R934" s="38">
        <v>37.650210294411998</v>
      </c>
      <c r="S934" s="29">
        <v>19972</v>
      </c>
      <c r="T934" s="32">
        <v>310.675555555556</v>
      </c>
      <c r="U934" s="32">
        <v>0</v>
      </c>
      <c r="V934" s="38">
        <v>37.650210294411998</v>
      </c>
      <c r="W934" s="36">
        <v>46124</v>
      </c>
      <c r="X934" s="36">
        <v>46125</v>
      </c>
    </row>
    <row r="935" spans="1:24" ht="15.75" thickBot="1" x14ac:dyDescent="0.3">
      <c r="A935" t="str">
        <f t="shared" si="14"/>
        <v>DET68586410AA</v>
      </c>
      <c r="B935" s="22" t="s">
        <v>1589</v>
      </c>
      <c r="C935" s="22" t="s">
        <v>4780</v>
      </c>
      <c r="D935" s="22" t="s">
        <v>4725</v>
      </c>
      <c r="E935" s="22" t="s">
        <v>4726</v>
      </c>
      <c r="F935" s="22" t="s">
        <v>4781</v>
      </c>
      <c r="G935" s="28" t="s">
        <v>2012</v>
      </c>
      <c r="H935" s="22" t="s">
        <v>3677</v>
      </c>
      <c r="I935" s="21"/>
      <c r="J935" s="22" t="s">
        <v>394</v>
      </c>
      <c r="K935" s="22" t="s">
        <v>924</v>
      </c>
      <c r="L935" s="21"/>
      <c r="M935" s="22" t="s">
        <v>2034</v>
      </c>
      <c r="N935" s="28" t="s">
        <v>2015</v>
      </c>
      <c r="O935" s="28" t="s">
        <v>2016</v>
      </c>
      <c r="P935" s="29">
        <v>6141</v>
      </c>
      <c r="Q935" s="28" t="s">
        <v>2017</v>
      </c>
      <c r="R935" s="38">
        <v>36.26812782991</v>
      </c>
      <c r="S935" s="29">
        <v>10885</v>
      </c>
      <c r="T935" s="32">
        <v>169.322222222222</v>
      </c>
      <c r="U935" s="32">
        <v>0</v>
      </c>
      <c r="V935" s="38">
        <v>36.26812782991</v>
      </c>
      <c r="W935" s="36">
        <v>46123</v>
      </c>
      <c r="X935" s="36">
        <v>46125</v>
      </c>
    </row>
    <row r="936" spans="1:24" ht="15.75" thickBot="1" x14ac:dyDescent="0.3">
      <c r="A936" t="str">
        <f t="shared" si="14"/>
        <v>DETE43974A</v>
      </c>
      <c r="B936" s="22" t="s">
        <v>1497</v>
      </c>
      <c r="C936" s="22" t="s">
        <v>4782</v>
      </c>
      <c r="D936" s="22" t="s">
        <v>4783</v>
      </c>
      <c r="E936" s="21"/>
      <c r="F936" s="22" t="s">
        <v>4784</v>
      </c>
      <c r="G936" s="28" t="s">
        <v>2012</v>
      </c>
      <c r="H936" s="22" t="s">
        <v>2080</v>
      </c>
      <c r="I936" s="21"/>
      <c r="J936" s="22" t="s">
        <v>261</v>
      </c>
      <c r="K936" s="22" t="s">
        <v>924</v>
      </c>
      <c r="L936" s="21"/>
      <c r="M936" s="22" t="s">
        <v>2034</v>
      </c>
      <c r="N936" s="28" t="s">
        <v>2015</v>
      </c>
      <c r="O936" s="28" t="s">
        <v>2016</v>
      </c>
      <c r="P936" s="29">
        <v>9613</v>
      </c>
      <c r="Q936" s="28" t="s">
        <v>2017</v>
      </c>
      <c r="R936" s="38">
        <v>36.360236021920997</v>
      </c>
      <c r="S936" s="29">
        <v>16996</v>
      </c>
      <c r="T936" s="32">
        <v>264.38222222222203</v>
      </c>
      <c r="U936" s="32">
        <v>0</v>
      </c>
      <c r="V936" s="38">
        <v>36.360236021920997</v>
      </c>
      <c r="W936" s="36">
        <v>46123</v>
      </c>
      <c r="X936" s="36">
        <v>46125</v>
      </c>
    </row>
    <row r="937" spans="1:24" ht="15.75" thickBot="1" x14ac:dyDescent="0.3">
      <c r="A937" t="str">
        <f t="shared" si="14"/>
        <v>PCP14E072AF</v>
      </c>
      <c r="B937" s="22" t="s">
        <v>4785</v>
      </c>
      <c r="C937" s="22" t="s">
        <v>4786</v>
      </c>
      <c r="D937" s="22" t="s">
        <v>4787</v>
      </c>
      <c r="E937" s="21"/>
      <c r="F937" s="22" t="s">
        <v>2030</v>
      </c>
      <c r="G937" s="28" t="s">
        <v>2012</v>
      </c>
      <c r="H937" s="22" t="s">
        <v>4788</v>
      </c>
      <c r="I937" s="22" t="s">
        <v>4789</v>
      </c>
      <c r="J937" s="22" t="s">
        <v>261</v>
      </c>
      <c r="K937" s="22" t="s">
        <v>262</v>
      </c>
      <c r="L937" s="22" t="s">
        <v>4790</v>
      </c>
      <c r="M937" s="22" t="s">
        <v>2130</v>
      </c>
      <c r="N937" s="28" t="s">
        <v>2494</v>
      </c>
      <c r="O937" s="28" t="s">
        <v>2016</v>
      </c>
      <c r="P937" s="29">
        <v>1621</v>
      </c>
      <c r="Q937" s="28" t="s">
        <v>2017</v>
      </c>
      <c r="R937" s="38">
        <v>37.417286483712999</v>
      </c>
      <c r="S937" s="29">
        <v>2785</v>
      </c>
      <c r="T937" s="32">
        <v>43.322222222222003</v>
      </c>
      <c r="U937" s="32">
        <v>0</v>
      </c>
      <c r="V937" s="38">
        <v>37.417286483712999</v>
      </c>
      <c r="W937" s="36">
        <v>46124</v>
      </c>
      <c r="X937" s="36">
        <v>46125</v>
      </c>
    </row>
    <row r="938" spans="1:24" ht="15.75" thickBot="1" x14ac:dyDescent="0.3">
      <c r="A938" t="str">
        <f t="shared" si="14"/>
        <v>PCPE23942APIA20JA6</v>
      </c>
      <c r="B938" s="22" t="s">
        <v>4791</v>
      </c>
      <c r="C938" s="21"/>
      <c r="D938" s="22" t="s">
        <v>4792</v>
      </c>
      <c r="E938" s="21"/>
      <c r="F938" s="22" t="s">
        <v>2030</v>
      </c>
      <c r="G938" s="28" t="s">
        <v>2012</v>
      </c>
      <c r="H938" s="22" t="s">
        <v>3866</v>
      </c>
      <c r="I938" s="22" t="s">
        <v>3867</v>
      </c>
      <c r="J938" s="22" t="s">
        <v>261</v>
      </c>
      <c r="K938" s="22" t="s">
        <v>262</v>
      </c>
      <c r="L938" s="22" t="s">
        <v>3868</v>
      </c>
      <c r="M938" s="22" t="s">
        <v>2130</v>
      </c>
      <c r="N938" s="28" t="s">
        <v>2494</v>
      </c>
      <c r="O938" s="28" t="s">
        <v>2016</v>
      </c>
      <c r="P938" s="29">
        <v>1654</v>
      </c>
      <c r="Q938" s="28" t="s">
        <v>2017</v>
      </c>
      <c r="R938" s="38">
        <v>38.261450675988002</v>
      </c>
      <c r="S938" s="29">
        <v>2779</v>
      </c>
      <c r="T938" s="32">
        <v>43.228888888888001</v>
      </c>
      <c r="U938" s="32">
        <v>0</v>
      </c>
      <c r="V938" s="38">
        <v>38.261450675988002</v>
      </c>
      <c r="W938" s="36">
        <v>46125</v>
      </c>
      <c r="X938" s="36">
        <v>46125</v>
      </c>
    </row>
    <row r="939" spans="1:24" ht="15.75" thickBot="1" x14ac:dyDescent="0.3">
      <c r="A939" t="str">
        <f t="shared" si="14"/>
        <v>PCPE23943APIA20JA6A</v>
      </c>
      <c r="B939" s="22" t="s">
        <v>4793</v>
      </c>
      <c r="C939" s="21"/>
      <c r="D939" s="22" t="s">
        <v>4794</v>
      </c>
      <c r="E939" s="21"/>
      <c r="F939" s="22" t="s">
        <v>2030</v>
      </c>
      <c r="G939" s="28" t="s">
        <v>2012</v>
      </c>
      <c r="H939" s="22" t="s">
        <v>3866</v>
      </c>
      <c r="I939" s="22" t="s">
        <v>3867</v>
      </c>
      <c r="J939" s="22" t="s">
        <v>261</v>
      </c>
      <c r="K939" s="22" t="s">
        <v>262</v>
      </c>
      <c r="L939" s="22" t="s">
        <v>3868</v>
      </c>
      <c r="M939" s="22" t="s">
        <v>2130</v>
      </c>
      <c r="N939" s="28" t="s">
        <v>2494</v>
      </c>
      <c r="O939" s="28" t="s">
        <v>2016</v>
      </c>
      <c r="P939" s="29">
        <v>1592</v>
      </c>
      <c r="Q939" s="28" t="s">
        <v>2017</v>
      </c>
      <c r="R939" s="38">
        <v>36.761083743842001</v>
      </c>
      <c r="S939" s="29">
        <v>2784</v>
      </c>
      <c r="T939" s="32">
        <v>43.306666666665997</v>
      </c>
      <c r="U939" s="32">
        <v>0</v>
      </c>
      <c r="V939" s="38">
        <v>36.761083743842001</v>
      </c>
      <c r="W939" s="36">
        <v>46123</v>
      </c>
      <c r="X939" s="36">
        <v>46125</v>
      </c>
    </row>
    <row r="940" spans="1:24" ht="15.75" thickBot="1" x14ac:dyDescent="0.3">
      <c r="A940" t="str">
        <f t="shared" si="14"/>
        <v>PCPE23943AR03.HA</v>
      </c>
      <c r="B940" s="22" t="s">
        <v>4795</v>
      </c>
      <c r="C940" s="21"/>
      <c r="D940" s="22" t="s">
        <v>4796</v>
      </c>
      <c r="E940" s="22" t="s">
        <v>4797</v>
      </c>
      <c r="F940" s="22" t="s">
        <v>2030</v>
      </c>
      <c r="G940" s="28" t="s">
        <v>2012</v>
      </c>
      <c r="H940" s="22" t="s">
        <v>3459</v>
      </c>
      <c r="I940" s="22" t="s">
        <v>3460</v>
      </c>
      <c r="J940" s="22" t="s">
        <v>261</v>
      </c>
      <c r="K940" s="22" t="s">
        <v>262</v>
      </c>
      <c r="L940" s="22" t="s">
        <v>3318</v>
      </c>
      <c r="M940" s="22" t="s">
        <v>2130</v>
      </c>
      <c r="N940" s="28" t="s">
        <v>2494</v>
      </c>
      <c r="O940" s="28" t="s">
        <v>2016</v>
      </c>
      <c r="P940" s="29">
        <v>331</v>
      </c>
      <c r="Q940" s="28" t="s">
        <v>2017</v>
      </c>
      <c r="R940" s="38">
        <v>37.070681931308997</v>
      </c>
      <c r="S940" s="29">
        <v>574</v>
      </c>
      <c r="T940" s="32">
        <v>8.9288888888880003</v>
      </c>
      <c r="U940" s="32">
        <v>0</v>
      </c>
      <c r="V940" s="38">
        <v>37.070681931308997</v>
      </c>
      <c r="W940" s="36">
        <v>46124</v>
      </c>
      <c r="X940" s="36">
        <v>46125</v>
      </c>
    </row>
    <row r="941" spans="1:24" ht="15.75" thickBot="1" x14ac:dyDescent="0.3">
      <c r="A941" t="str">
        <f t="shared" si="14"/>
        <v>PCPE27407AR03.HA</v>
      </c>
      <c r="B941" s="22" t="s">
        <v>4798</v>
      </c>
      <c r="C941" s="21"/>
      <c r="D941" s="22" t="s">
        <v>4799</v>
      </c>
      <c r="E941" s="22" t="s">
        <v>4539</v>
      </c>
      <c r="F941" s="22" t="s">
        <v>2030</v>
      </c>
      <c r="G941" s="28" t="s">
        <v>2012</v>
      </c>
      <c r="H941" s="22" t="s">
        <v>3459</v>
      </c>
      <c r="I941" s="22" t="s">
        <v>3460</v>
      </c>
      <c r="J941" s="22" t="s">
        <v>261</v>
      </c>
      <c r="K941" s="22" t="s">
        <v>262</v>
      </c>
      <c r="L941" s="22" t="s">
        <v>3318</v>
      </c>
      <c r="M941" s="22" t="s">
        <v>2130</v>
      </c>
      <c r="N941" s="28" t="s">
        <v>2494</v>
      </c>
      <c r="O941" s="28" t="s">
        <v>2016</v>
      </c>
      <c r="P941" s="29">
        <v>328</v>
      </c>
      <c r="Q941" s="28" t="s">
        <v>2017</v>
      </c>
      <c r="R941" s="38">
        <v>36.670807453416003</v>
      </c>
      <c r="S941" s="29">
        <v>575</v>
      </c>
      <c r="T941" s="32">
        <v>8.9444444444440006</v>
      </c>
      <c r="U941" s="32">
        <v>0</v>
      </c>
      <c r="V941" s="38">
        <v>36.670807453416003</v>
      </c>
      <c r="W941" s="36">
        <v>46123</v>
      </c>
      <c r="X941" s="36">
        <v>46125</v>
      </c>
    </row>
    <row r="942" spans="1:24" ht="15.75" thickBot="1" x14ac:dyDescent="0.3">
      <c r="A942" t="str">
        <f t="shared" si="14"/>
        <v>PCPGMBEE17813</v>
      </c>
      <c r="B942" s="22" t="s">
        <v>4800</v>
      </c>
      <c r="C942" s="21"/>
      <c r="D942" s="22" t="s">
        <v>4801</v>
      </c>
      <c r="E942" s="22" t="s">
        <v>4802</v>
      </c>
      <c r="F942" s="22" t="s">
        <v>2030</v>
      </c>
      <c r="G942" s="28" t="s">
        <v>2012</v>
      </c>
      <c r="H942" s="22" t="s">
        <v>3897</v>
      </c>
      <c r="I942" s="22" t="s">
        <v>3898</v>
      </c>
      <c r="J942" s="22" t="s">
        <v>404</v>
      </c>
      <c r="K942" s="22" t="s">
        <v>262</v>
      </c>
      <c r="L942" s="22" t="s">
        <v>3858</v>
      </c>
      <c r="M942" s="22" t="s">
        <v>4055</v>
      </c>
      <c r="N942" s="28" t="s">
        <v>2494</v>
      </c>
      <c r="O942" s="28" t="s">
        <v>2016</v>
      </c>
      <c r="P942" s="29">
        <v>669</v>
      </c>
      <c r="Q942" s="28" t="s">
        <v>2017</v>
      </c>
      <c r="R942" s="38">
        <v>36.477644492910997</v>
      </c>
      <c r="S942" s="29">
        <v>1179</v>
      </c>
      <c r="T942" s="32">
        <v>18.34</v>
      </c>
      <c r="U942" s="32">
        <v>0</v>
      </c>
      <c r="V942" s="38">
        <v>36.477644492910997</v>
      </c>
      <c r="W942" s="36">
        <v>46123</v>
      </c>
      <c r="X942" s="36">
        <v>46125</v>
      </c>
    </row>
    <row r="943" spans="1:24" ht="15.75" thickBot="1" x14ac:dyDescent="0.3">
      <c r="A943" t="str">
        <f t="shared" si="14"/>
        <v>PCSW520720S300</v>
      </c>
      <c r="B943" s="22" t="s">
        <v>4803</v>
      </c>
      <c r="C943" s="21"/>
      <c r="D943" s="22" t="s">
        <v>2959</v>
      </c>
      <c r="E943" s="22" t="s">
        <v>3357</v>
      </c>
      <c r="F943" s="22" t="s">
        <v>2030</v>
      </c>
      <c r="G943" s="28" t="s">
        <v>2012</v>
      </c>
      <c r="H943" s="22" t="s">
        <v>3927</v>
      </c>
      <c r="I943" s="22" t="s">
        <v>3928</v>
      </c>
      <c r="J943" s="22" t="s">
        <v>494</v>
      </c>
      <c r="K943" s="22" t="s">
        <v>924</v>
      </c>
      <c r="L943" s="22" t="s">
        <v>2964</v>
      </c>
      <c r="M943" s="22" t="s">
        <v>2130</v>
      </c>
      <c r="N943" s="28" t="s">
        <v>2494</v>
      </c>
      <c r="O943" s="28" t="s">
        <v>2016</v>
      </c>
      <c r="P943" s="29">
        <v>665455</v>
      </c>
      <c r="Q943" s="28" t="s">
        <v>2017</v>
      </c>
      <c r="R943" s="38">
        <v>37.400170480623999</v>
      </c>
      <c r="S943" s="29">
        <v>1143825</v>
      </c>
      <c r="T943" s="32">
        <v>17792.833333333299</v>
      </c>
      <c r="U943" s="32">
        <v>0</v>
      </c>
      <c r="V943" s="38">
        <v>37.400170480623999</v>
      </c>
      <c r="W943" s="36">
        <v>46124</v>
      </c>
      <c r="X943" s="36">
        <v>46125</v>
      </c>
    </row>
    <row r="944" spans="1:24" ht="15.75" thickBot="1" x14ac:dyDescent="0.3">
      <c r="A944" t="str">
        <f t="shared" si="14"/>
        <v>PCSW703778S300</v>
      </c>
      <c r="B944" s="22" t="s">
        <v>4804</v>
      </c>
      <c r="C944" s="22" t="s">
        <v>4805</v>
      </c>
      <c r="D944" s="22" t="s">
        <v>3349</v>
      </c>
      <c r="E944" s="22" t="s">
        <v>3357</v>
      </c>
      <c r="F944" s="22" t="s">
        <v>2030</v>
      </c>
      <c r="G944" s="28" t="s">
        <v>2012</v>
      </c>
      <c r="H944" s="22" t="s">
        <v>3351</v>
      </c>
      <c r="I944" s="22" t="s">
        <v>3352</v>
      </c>
      <c r="J944" s="22" t="s">
        <v>261</v>
      </c>
      <c r="K944" s="22" t="s">
        <v>924</v>
      </c>
      <c r="L944" s="22" t="s">
        <v>3353</v>
      </c>
      <c r="M944" s="22" t="s">
        <v>2130</v>
      </c>
      <c r="N944" s="28" t="s">
        <v>2494</v>
      </c>
      <c r="O944" s="28" t="s">
        <v>2016</v>
      </c>
      <c r="P944" s="29">
        <v>21902</v>
      </c>
      <c r="Q944" s="28" t="s">
        <v>2017</v>
      </c>
      <c r="R944" s="38">
        <v>38.689429387933998</v>
      </c>
      <c r="S944" s="29">
        <v>36392</v>
      </c>
      <c r="T944" s="32">
        <v>566.09777777777799</v>
      </c>
      <c r="U944" s="32">
        <v>0</v>
      </c>
      <c r="V944" s="38">
        <v>38.689429387933998</v>
      </c>
      <c r="W944" s="36">
        <v>46125</v>
      </c>
      <c r="X944" s="36">
        <v>46125</v>
      </c>
    </row>
    <row r="945" spans="1:24" ht="15.75" thickBot="1" x14ac:dyDescent="0.3">
      <c r="A945" t="str">
        <f t="shared" si="14"/>
        <v>PCSW707701S300</v>
      </c>
      <c r="B945" s="22" t="s">
        <v>4806</v>
      </c>
      <c r="C945" s="21"/>
      <c r="D945" s="22" t="s">
        <v>3349</v>
      </c>
      <c r="E945" s="22" t="s">
        <v>3357</v>
      </c>
      <c r="F945" s="22" t="s">
        <v>2030</v>
      </c>
      <c r="G945" s="28" t="s">
        <v>2012</v>
      </c>
      <c r="H945" s="22" t="s">
        <v>4807</v>
      </c>
      <c r="I945" s="22" t="s">
        <v>4808</v>
      </c>
      <c r="J945" s="22" t="s">
        <v>261</v>
      </c>
      <c r="K945" s="22" t="s">
        <v>924</v>
      </c>
      <c r="L945" s="22" t="s">
        <v>3353</v>
      </c>
      <c r="M945" s="22" t="s">
        <v>2130</v>
      </c>
      <c r="N945" s="28" t="s">
        <v>2494</v>
      </c>
      <c r="O945" s="28" t="s">
        <v>2016</v>
      </c>
      <c r="P945" s="29">
        <v>11928</v>
      </c>
      <c r="Q945" s="28" t="s">
        <v>2017</v>
      </c>
      <c r="R945" s="38">
        <v>38.393751251752001</v>
      </c>
      <c r="S945" s="29">
        <v>19972</v>
      </c>
      <c r="T945" s="32">
        <v>310.675555555556</v>
      </c>
      <c r="U945" s="32">
        <v>0</v>
      </c>
      <c r="V945" s="38">
        <v>38.393751251752001</v>
      </c>
      <c r="W945" s="36">
        <v>46125</v>
      </c>
      <c r="X945" s="36">
        <v>46125</v>
      </c>
    </row>
    <row r="946" spans="1:24" ht="15.75" thickBot="1" x14ac:dyDescent="0.3">
      <c r="A946" t="str">
        <f t="shared" si="14"/>
        <v>RMP1168X BLK</v>
      </c>
      <c r="B946" s="22" t="s">
        <v>4809</v>
      </c>
      <c r="C946" s="22" t="s">
        <v>4810</v>
      </c>
      <c r="D946" s="22" t="s">
        <v>4811</v>
      </c>
      <c r="E946" s="22" t="s">
        <v>2710</v>
      </c>
      <c r="F946" s="22" t="s">
        <v>4812</v>
      </c>
      <c r="G946" s="28" t="s">
        <v>2012</v>
      </c>
      <c r="H946" s="22" t="s">
        <v>3378</v>
      </c>
      <c r="I946" s="22" t="s">
        <v>3379</v>
      </c>
      <c r="J946" s="22" t="s">
        <v>698</v>
      </c>
      <c r="K946" s="22" t="s">
        <v>262</v>
      </c>
      <c r="L946" s="22" t="s">
        <v>3380</v>
      </c>
      <c r="M946" s="22" t="s">
        <v>2523</v>
      </c>
      <c r="N946" s="28" t="s">
        <v>2494</v>
      </c>
      <c r="O946" s="28" t="s">
        <v>2016</v>
      </c>
      <c r="P946" s="29">
        <v>530.976</v>
      </c>
      <c r="Q946" s="28" t="s">
        <v>1164</v>
      </c>
      <c r="R946" s="38">
        <v>36.490587614356002</v>
      </c>
      <c r="S946" s="34">
        <v>935.42399999999998</v>
      </c>
      <c r="T946" s="32">
        <v>14.55104</v>
      </c>
      <c r="U946" s="32">
        <v>0</v>
      </c>
      <c r="V946" s="38">
        <v>36.490587614356002</v>
      </c>
      <c r="W946" s="36">
        <v>46123</v>
      </c>
      <c r="X946" s="36">
        <v>46125</v>
      </c>
    </row>
    <row r="947" spans="1:24" ht="15.75" thickBot="1" x14ac:dyDescent="0.3">
      <c r="A947" t="str">
        <f t="shared" si="14"/>
        <v>RMP30S91PZG-SM</v>
      </c>
      <c r="B947" s="22" t="s">
        <v>4813</v>
      </c>
      <c r="C947" s="22" t="s">
        <v>4814</v>
      </c>
      <c r="D947" s="22" t="s">
        <v>4815</v>
      </c>
      <c r="E947" s="22" t="s">
        <v>4816</v>
      </c>
      <c r="F947" s="22" t="s">
        <v>2030</v>
      </c>
      <c r="G947" s="28" t="s">
        <v>2012</v>
      </c>
      <c r="H947" s="22" t="s">
        <v>4817</v>
      </c>
      <c r="I947" s="22" t="s">
        <v>4818</v>
      </c>
      <c r="J947" s="22" t="s">
        <v>261</v>
      </c>
      <c r="K947" s="22" t="s">
        <v>262</v>
      </c>
      <c r="L947" s="22" t="s">
        <v>2842</v>
      </c>
      <c r="M947" s="22" t="s">
        <v>2523</v>
      </c>
      <c r="N947" s="28" t="s">
        <v>2494</v>
      </c>
      <c r="O947" s="28" t="s">
        <v>2016</v>
      </c>
      <c r="P947" s="29">
        <v>9017.6510199999993</v>
      </c>
      <c r="Q947" s="28" t="s">
        <v>1164</v>
      </c>
      <c r="R947" s="38">
        <v>37.854028354058002</v>
      </c>
      <c r="S947" s="34">
        <v>15314.252200000001</v>
      </c>
      <c r="T947" s="32">
        <v>238.22170088888899</v>
      </c>
      <c r="U947" s="32">
        <v>0</v>
      </c>
      <c r="V947" s="38">
        <v>37.854028354058002</v>
      </c>
      <c r="W947" s="36">
        <v>46124</v>
      </c>
      <c r="X947" s="36">
        <v>46125</v>
      </c>
    </row>
    <row r="948" spans="1:24" ht="15.75" thickBot="1" x14ac:dyDescent="0.3">
      <c r="A948" t="str">
        <f t="shared" si="14"/>
        <v>RMSE286G50</v>
      </c>
      <c r="B948" s="22" t="s">
        <v>4819</v>
      </c>
      <c r="C948" s="22" t="s">
        <v>4820</v>
      </c>
      <c r="D948" s="22" t="s">
        <v>4821</v>
      </c>
      <c r="E948" s="22" t="s">
        <v>2527</v>
      </c>
      <c r="F948" s="22" t="s">
        <v>2570</v>
      </c>
      <c r="G948" s="28" t="s">
        <v>2012</v>
      </c>
      <c r="H948" s="22" t="s">
        <v>2716</v>
      </c>
      <c r="I948" s="22" t="s">
        <v>2717</v>
      </c>
      <c r="J948" s="22" t="s">
        <v>261</v>
      </c>
      <c r="K948" s="22" t="s">
        <v>924</v>
      </c>
      <c r="L948" s="22" t="s">
        <v>2531</v>
      </c>
      <c r="M948" s="22" t="s">
        <v>2532</v>
      </c>
      <c r="N948" s="28" t="s">
        <v>2494</v>
      </c>
      <c r="O948" s="28" t="s">
        <v>2016</v>
      </c>
      <c r="P948" s="29">
        <v>39654.065000000002</v>
      </c>
      <c r="Q948" s="28" t="s">
        <v>1164</v>
      </c>
      <c r="R948" s="38">
        <v>37.269617096984</v>
      </c>
      <c r="S948" s="34">
        <v>68398.607000000004</v>
      </c>
      <c r="T948" s="32">
        <v>1063.97833111111</v>
      </c>
      <c r="U948" s="32">
        <v>0</v>
      </c>
      <c r="V948" s="38">
        <v>37.269617096984</v>
      </c>
      <c r="W948" s="36">
        <v>46124</v>
      </c>
      <c r="X948" s="36">
        <v>46125</v>
      </c>
    </row>
    <row r="949" spans="1:24" ht="15.75" thickBot="1" x14ac:dyDescent="0.3">
      <c r="A949" t="str">
        <f t="shared" si="14"/>
        <v>PCP14540U</v>
      </c>
      <c r="B949" s="22" t="s">
        <v>4822</v>
      </c>
      <c r="C949" s="21"/>
      <c r="D949" s="22" t="s">
        <v>4823</v>
      </c>
      <c r="E949" s="21"/>
      <c r="F949" s="22" t="s">
        <v>2030</v>
      </c>
      <c r="G949" s="28" t="s">
        <v>2012</v>
      </c>
      <c r="H949" s="22" t="s">
        <v>3310</v>
      </c>
      <c r="I949" s="22" t="s">
        <v>3311</v>
      </c>
      <c r="J949" s="22" t="s">
        <v>261</v>
      </c>
      <c r="K949" s="22" t="s">
        <v>262</v>
      </c>
      <c r="L949" s="22" t="s">
        <v>3312</v>
      </c>
      <c r="M949" s="22" t="s">
        <v>2130</v>
      </c>
      <c r="N949" s="28" t="s">
        <v>2494</v>
      </c>
      <c r="O949" s="28" t="s">
        <v>2016</v>
      </c>
      <c r="P949" s="29">
        <v>6449</v>
      </c>
      <c r="Q949" s="28" t="s">
        <v>2017</v>
      </c>
      <c r="R949" s="38">
        <v>39.779175919072003</v>
      </c>
      <c r="S949" s="29">
        <v>10422</v>
      </c>
      <c r="T949" s="32">
        <v>162.12</v>
      </c>
      <c r="U949" s="32">
        <v>0</v>
      </c>
      <c r="V949" s="38">
        <v>39.779175919072003</v>
      </c>
      <c r="W949" s="36">
        <v>46126</v>
      </c>
      <c r="X949" s="36">
        <v>46126</v>
      </c>
    </row>
    <row r="950" spans="1:24" ht="15.75" thickBot="1" x14ac:dyDescent="0.3">
      <c r="A950" t="str">
        <f t="shared" si="14"/>
        <v>PCPGMBEE78516</v>
      </c>
      <c r="B950" s="22" t="s">
        <v>4824</v>
      </c>
      <c r="C950" s="21"/>
      <c r="D950" s="22" t="s">
        <v>4825</v>
      </c>
      <c r="E950" s="22" t="s">
        <v>4826</v>
      </c>
      <c r="F950" s="22" t="s">
        <v>2030</v>
      </c>
      <c r="G950" s="28" t="s">
        <v>2012</v>
      </c>
      <c r="H950" s="22" t="s">
        <v>3897</v>
      </c>
      <c r="I950" s="22" t="s">
        <v>3898</v>
      </c>
      <c r="J950" s="22" t="s">
        <v>404</v>
      </c>
      <c r="K950" s="22" t="s">
        <v>262</v>
      </c>
      <c r="L950" s="22" t="s">
        <v>3858</v>
      </c>
      <c r="M950" s="22" t="s">
        <v>4055</v>
      </c>
      <c r="N950" s="28" t="s">
        <v>2494</v>
      </c>
      <c r="O950" s="28" t="s">
        <v>2016</v>
      </c>
      <c r="P950" s="29">
        <v>915</v>
      </c>
      <c r="Q950" s="28" t="s">
        <v>2017</v>
      </c>
      <c r="R950" s="38">
        <v>39.006252368321</v>
      </c>
      <c r="S950" s="29">
        <v>1508</v>
      </c>
      <c r="T950" s="32">
        <v>23.457777777777</v>
      </c>
      <c r="U950" s="32">
        <v>0</v>
      </c>
      <c r="V950" s="38">
        <v>39.006252368321</v>
      </c>
      <c r="W950" s="36">
        <v>46126</v>
      </c>
      <c r="X950" s="36">
        <v>46126</v>
      </c>
    </row>
    <row r="951" spans="1:24" ht="15.75" thickBot="1" x14ac:dyDescent="0.3">
      <c r="A951" t="str">
        <f t="shared" si="14"/>
        <v>RMPGMPPC2935</v>
      </c>
      <c r="B951" s="22" t="s">
        <v>4827</v>
      </c>
      <c r="C951" s="21"/>
      <c r="D951" s="22" t="s">
        <v>4828</v>
      </c>
      <c r="E951" s="22" t="s">
        <v>4829</v>
      </c>
      <c r="F951" s="22" t="s">
        <v>2030</v>
      </c>
      <c r="G951" s="28" t="s">
        <v>2012</v>
      </c>
      <c r="H951" s="22" t="s">
        <v>3118</v>
      </c>
      <c r="I951" s="22" t="s">
        <v>3119</v>
      </c>
      <c r="J951" s="22" t="s">
        <v>404</v>
      </c>
      <c r="K951" s="22" t="s">
        <v>262</v>
      </c>
      <c r="L951" s="22" t="s">
        <v>2711</v>
      </c>
      <c r="M951" s="22" t="s">
        <v>4830</v>
      </c>
      <c r="N951" s="28" t="s">
        <v>2494</v>
      </c>
      <c r="O951" s="28" t="s">
        <v>2016</v>
      </c>
      <c r="P951" s="29">
        <v>1134.0999999999999</v>
      </c>
      <c r="Q951" s="28" t="s">
        <v>1164</v>
      </c>
      <c r="R951" s="38">
        <v>39.686903154764003</v>
      </c>
      <c r="S951" s="34">
        <v>1837.04</v>
      </c>
      <c r="T951" s="32">
        <v>28.576177777777001</v>
      </c>
      <c r="U951" s="32">
        <v>0</v>
      </c>
      <c r="V951" s="38">
        <v>39.686903154764003</v>
      </c>
      <c r="W951" s="36">
        <v>46126</v>
      </c>
      <c r="X951" s="36">
        <v>46126</v>
      </c>
    </row>
    <row r="952" spans="1:24" ht="15.75" thickBot="1" x14ac:dyDescent="0.3">
      <c r="A952" t="str">
        <f t="shared" si="14"/>
        <v>RMSE42908RL</v>
      </c>
      <c r="B952" s="22" t="s">
        <v>4831</v>
      </c>
      <c r="C952" s="22" t="s">
        <v>4832</v>
      </c>
      <c r="D952" s="22" t="s">
        <v>4833</v>
      </c>
      <c r="E952" s="22" t="s">
        <v>2554</v>
      </c>
      <c r="F952" s="22" t="s">
        <v>4834</v>
      </c>
      <c r="G952" s="28" t="s">
        <v>2012</v>
      </c>
      <c r="H952" s="22" t="s">
        <v>2556</v>
      </c>
      <c r="I952" s="22" t="s">
        <v>2557</v>
      </c>
      <c r="J952" s="22" t="s">
        <v>261</v>
      </c>
      <c r="K952" s="22" t="s">
        <v>924</v>
      </c>
      <c r="L952" s="22" t="s">
        <v>2558</v>
      </c>
      <c r="M952" s="22" t="s">
        <v>2532</v>
      </c>
      <c r="N952" s="28" t="s">
        <v>2494</v>
      </c>
      <c r="O952" s="28" t="s">
        <v>2016</v>
      </c>
      <c r="P952" s="29">
        <v>22360.135999999999</v>
      </c>
      <c r="Q952" s="28" t="s">
        <v>1164</v>
      </c>
      <c r="R952" s="38">
        <v>39.300185977566002</v>
      </c>
      <c r="S952" s="34">
        <v>36575.839999999997</v>
      </c>
      <c r="T952" s="32">
        <v>568.95751111111099</v>
      </c>
      <c r="U952" s="32">
        <v>0</v>
      </c>
      <c r="V952" s="38">
        <v>39.300185977566002</v>
      </c>
      <c r="W952" s="36">
        <v>46126</v>
      </c>
      <c r="X952" s="36">
        <v>46126</v>
      </c>
    </row>
    <row r="953" spans="1:24" ht="15.75" thickBot="1" x14ac:dyDescent="0.3">
      <c r="A953" t="str">
        <f t="shared" si="14"/>
        <v>DET26243B13A</v>
      </c>
      <c r="B953" s="22" t="s">
        <v>1107</v>
      </c>
      <c r="C953" s="22" t="s">
        <v>4835</v>
      </c>
      <c r="D953" s="22" t="s">
        <v>4836</v>
      </c>
      <c r="E953" s="22" t="s">
        <v>4837</v>
      </c>
      <c r="F953" s="22" t="s">
        <v>4838</v>
      </c>
      <c r="G953" s="28" t="s">
        <v>2012</v>
      </c>
      <c r="H953" s="22" t="s">
        <v>2080</v>
      </c>
      <c r="I953" s="21"/>
      <c r="J953" s="22" t="s">
        <v>494</v>
      </c>
      <c r="K953" s="22" t="s">
        <v>924</v>
      </c>
      <c r="L953" s="21"/>
      <c r="M953" s="22" t="s">
        <v>2034</v>
      </c>
      <c r="N953" s="28" t="s">
        <v>2015</v>
      </c>
      <c r="O953" s="28" t="s">
        <v>2016</v>
      </c>
      <c r="P953" s="29">
        <v>10859</v>
      </c>
      <c r="Q953" s="28" t="s">
        <v>2017</v>
      </c>
      <c r="R953" s="38">
        <v>40.379371322799997</v>
      </c>
      <c r="S953" s="29">
        <v>17288</v>
      </c>
      <c r="T953" s="32">
        <v>268.92444444444402</v>
      </c>
      <c r="U953" s="32">
        <v>0</v>
      </c>
      <c r="V953" s="38">
        <v>40.379371322799997</v>
      </c>
      <c r="W953" s="36">
        <v>46127</v>
      </c>
      <c r="X953" s="36">
        <v>46127</v>
      </c>
    </row>
    <row r="954" spans="1:24" ht="15.75" thickBot="1" x14ac:dyDescent="0.3">
      <c r="A954" t="str">
        <f t="shared" si="14"/>
        <v>PCP71415</v>
      </c>
      <c r="B954" s="22" t="s">
        <v>4839</v>
      </c>
      <c r="C954" s="22" t="s">
        <v>4840</v>
      </c>
      <c r="D954" s="22" t="s">
        <v>4841</v>
      </c>
      <c r="E954" s="21"/>
      <c r="F954" s="22" t="s">
        <v>2030</v>
      </c>
      <c r="G954" s="28" t="s">
        <v>2012</v>
      </c>
      <c r="H954" s="22" t="s">
        <v>4058</v>
      </c>
      <c r="I954" s="22" t="s">
        <v>4059</v>
      </c>
      <c r="J954" s="22" t="s">
        <v>261</v>
      </c>
      <c r="K954" s="22" t="s">
        <v>262</v>
      </c>
      <c r="L954" s="22" t="s">
        <v>2829</v>
      </c>
      <c r="M954" s="22" t="s">
        <v>2130</v>
      </c>
      <c r="N954" s="28" t="s">
        <v>2494</v>
      </c>
      <c r="O954" s="28" t="s">
        <v>2016</v>
      </c>
      <c r="P954" s="29">
        <v>10964</v>
      </c>
      <c r="Q954" s="28" t="s">
        <v>2017</v>
      </c>
      <c r="R954" s="38">
        <v>40.248319519676002</v>
      </c>
      <c r="S954" s="29">
        <v>17512</v>
      </c>
      <c r="T954" s="32">
        <v>272.40888888888901</v>
      </c>
      <c r="U954" s="32">
        <v>0</v>
      </c>
      <c r="V954" s="38">
        <v>40.248319519676002</v>
      </c>
      <c r="W954" s="36">
        <v>46127</v>
      </c>
      <c r="X954" s="36">
        <v>46127</v>
      </c>
    </row>
    <row r="955" spans="1:24" ht="15.75" thickBot="1" x14ac:dyDescent="0.3">
      <c r="A955" t="str">
        <f t="shared" si="14"/>
        <v>PCPE403A86APIA0809</v>
      </c>
      <c r="B955" s="22" t="s">
        <v>4842</v>
      </c>
      <c r="C955" s="22" t="s">
        <v>4843</v>
      </c>
      <c r="D955" s="22" t="s">
        <v>4844</v>
      </c>
      <c r="E955" s="22" t="s">
        <v>4845</v>
      </c>
      <c r="F955" s="22" t="s">
        <v>2030</v>
      </c>
      <c r="G955" s="28" t="s">
        <v>2012</v>
      </c>
      <c r="H955" s="22" t="s">
        <v>3877</v>
      </c>
      <c r="I955" s="22" t="s">
        <v>3878</v>
      </c>
      <c r="J955" s="22" t="s">
        <v>261</v>
      </c>
      <c r="K955" s="22" t="s">
        <v>262</v>
      </c>
      <c r="L955" s="22" t="s">
        <v>3899</v>
      </c>
      <c r="M955" s="22" t="s">
        <v>2130</v>
      </c>
      <c r="N955" s="28" t="s">
        <v>2494</v>
      </c>
      <c r="O955" s="28" t="s">
        <v>2016</v>
      </c>
      <c r="P955" s="29">
        <v>19574</v>
      </c>
      <c r="Q955" s="28" t="s">
        <v>2017</v>
      </c>
      <c r="R955" s="38">
        <v>40.672589418468</v>
      </c>
      <c r="S955" s="29">
        <v>30938</v>
      </c>
      <c r="T955" s="32">
        <v>481.25777777777802</v>
      </c>
      <c r="U955" s="32">
        <v>0</v>
      </c>
      <c r="V955" s="38">
        <v>40.672589418468</v>
      </c>
      <c r="W955" s="36">
        <v>46127</v>
      </c>
      <c r="X955" s="36">
        <v>46127</v>
      </c>
    </row>
    <row r="956" spans="1:24" ht="15.75" thickBot="1" x14ac:dyDescent="0.3">
      <c r="A956" t="str">
        <f t="shared" si="14"/>
        <v>PCPGM11589329</v>
      </c>
      <c r="B956" s="22" t="s">
        <v>4846</v>
      </c>
      <c r="C956" s="22" t="s">
        <v>4847</v>
      </c>
      <c r="D956" s="22" t="s">
        <v>4848</v>
      </c>
      <c r="E956" s="22" t="s">
        <v>4849</v>
      </c>
      <c r="F956" s="22" t="s">
        <v>2030</v>
      </c>
      <c r="G956" s="28" t="s">
        <v>2012</v>
      </c>
      <c r="H956" s="22" t="s">
        <v>4058</v>
      </c>
      <c r="I956" s="22" t="s">
        <v>4059</v>
      </c>
      <c r="J956" s="22" t="s">
        <v>404</v>
      </c>
      <c r="K956" s="22" t="s">
        <v>262</v>
      </c>
      <c r="L956" s="22" t="s">
        <v>3620</v>
      </c>
      <c r="M956" s="22" t="s">
        <v>4055</v>
      </c>
      <c r="N956" s="28" t="s">
        <v>2494</v>
      </c>
      <c r="O956" s="28" t="s">
        <v>2016</v>
      </c>
      <c r="P956" s="29">
        <v>26164</v>
      </c>
      <c r="Q956" s="28" t="s">
        <v>2017</v>
      </c>
      <c r="R956" s="38">
        <v>40.342785871903999</v>
      </c>
      <c r="S956" s="29">
        <v>41692</v>
      </c>
      <c r="T956" s="32">
        <v>648.54222222222199</v>
      </c>
      <c r="U956" s="32">
        <v>0</v>
      </c>
      <c r="V956" s="38">
        <v>40.342785871903999</v>
      </c>
      <c r="W956" s="36">
        <v>46127</v>
      </c>
      <c r="X956" s="36">
        <v>46127</v>
      </c>
    </row>
    <row r="957" spans="1:24" ht="15.75" thickBot="1" x14ac:dyDescent="0.3">
      <c r="A957" t="str">
        <f t="shared" si="14"/>
        <v>PCPGM85664836</v>
      </c>
      <c r="B957" s="22" t="s">
        <v>4850</v>
      </c>
      <c r="C957" s="22" t="s">
        <v>4851</v>
      </c>
      <c r="D957" s="22" t="s">
        <v>4852</v>
      </c>
      <c r="E957" s="21"/>
      <c r="F957" s="22" t="s">
        <v>2030</v>
      </c>
      <c r="G957" s="28" t="s">
        <v>2012</v>
      </c>
      <c r="H957" s="22" t="s">
        <v>4853</v>
      </c>
      <c r="I957" s="22" t="s">
        <v>4854</v>
      </c>
      <c r="J957" s="22" t="s">
        <v>404</v>
      </c>
      <c r="K957" s="22" t="s">
        <v>262</v>
      </c>
      <c r="L957" s="22" t="s">
        <v>3894</v>
      </c>
      <c r="M957" s="22" t="s">
        <v>4055</v>
      </c>
      <c r="N957" s="28" t="s">
        <v>2494</v>
      </c>
      <c r="O957" s="28" t="s">
        <v>2016</v>
      </c>
      <c r="P957" s="29">
        <v>1198</v>
      </c>
      <c r="Q957" s="28" t="s">
        <v>2017</v>
      </c>
      <c r="R957" s="38">
        <v>40.965045592705003</v>
      </c>
      <c r="S957" s="29">
        <v>1880</v>
      </c>
      <c r="T957" s="32">
        <v>29.244444444443999</v>
      </c>
      <c r="U957" s="32">
        <v>0</v>
      </c>
      <c r="V957" s="38">
        <v>40.965045592705003</v>
      </c>
      <c r="W957" s="36">
        <v>46127</v>
      </c>
      <c r="X957" s="36">
        <v>46127</v>
      </c>
    </row>
    <row r="958" spans="1:24" ht="15.75" thickBot="1" x14ac:dyDescent="0.3">
      <c r="A958" t="str">
        <f t="shared" si="14"/>
        <v>RMSE200B62RL</v>
      </c>
      <c r="B958" s="22" t="s">
        <v>4855</v>
      </c>
      <c r="C958" s="22" t="s">
        <v>4856</v>
      </c>
      <c r="D958" s="22" t="s">
        <v>4857</v>
      </c>
      <c r="E958" s="22" t="s">
        <v>2527</v>
      </c>
      <c r="F958" s="22" t="s">
        <v>2570</v>
      </c>
      <c r="G958" s="28" t="s">
        <v>2012</v>
      </c>
      <c r="H958" s="22" t="s">
        <v>2716</v>
      </c>
      <c r="I958" s="22" t="s">
        <v>2717</v>
      </c>
      <c r="J958" s="22" t="s">
        <v>261</v>
      </c>
      <c r="K958" s="22" t="s">
        <v>924</v>
      </c>
      <c r="L958" s="22" t="s">
        <v>2531</v>
      </c>
      <c r="M958" s="22" t="s">
        <v>2532</v>
      </c>
      <c r="N958" s="28" t="s">
        <v>2494</v>
      </c>
      <c r="O958" s="28" t="s">
        <v>2016</v>
      </c>
      <c r="P958" s="29">
        <v>32010.964</v>
      </c>
      <c r="Q958" s="28" t="s">
        <v>1164</v>
      </c>
      <c r="R958" s="38">
        <v>40.95670654637</v>
      </c>
      <c r="S958" s="34">
        <v>50244.462</v>
      </c>
      <c r="T958" s="32">
        <v>781.58051999999998</v>
      </c>
      <c r="U958" s="32">
        <v>0</v>
      </c>
      <c r="V958" s="38">
        <v>40.95670654637</v>
      </c>
      <c r="W958" s="36">
        <v>46127</v>
      </c>
      <c r="X958" s="36">
        <v>46127</v>
      </c>
    </row>
    <row r="959" spans="1:24" ht="15.75" thickBot="1" x14ac:dyDescent="0.3">
      <c r="A959" t="str">
        <f t="shared" si="14"/>
        <v>RMSWL68430490/1</v>
      </c>
      <c r="B959" s="22" t="s">
        <v>4858</v>
      </c>
      <c r="C959" s="22" t="s">
        <v>4859</v>
      </c>
      <c r="D959" s="22" t="s">
        <v>4860</v>
      </c>
      <c r="E959" s="22" t="s">
        <v>2527</v>
      </c>
      <c r="F959" s="22" t="s">
        <v>4861</v>
      </c>
      <c r="G959" s="28" t="s">
        <v>2012</v>
      </c>
      <c r="H959" s="22" t="s">
        <v>4554</v>
      </c>
      <c r="I959" s="22" t="s">
        <v>4555</v>
      </c>
      <c r="J959" s="22" t="s">
        <v>1117</v>
      </c>
      <c r="K959" s="22" t="s">
        <v>924</v>
      </c>
      <c r="L959" s="22" t="s">
        <v>2531</v>
      </c>
      <c r="M959" s="22" t="s">
        <v>2532</v>
      </c>
      <c r="N959" s="28" t="s">
        <v>2494</v>
      </c>
      <c r="O959" s="28" t="s">
        <v>2016</v>
      </c>
      <c r="P959" s="29">
        <v>83758.263999999996</v>
      </c>
      <c r="Q959" s="28" t="s">
        <v>1164</v>
      </c>
      <c r="R959" s="38">
        <v>40.114081055435001</v>
      </c>
      <c r="S959" s="34">
        <v>134228.67199999999</v>
      </c>
      <c r="T959" s="32">
        <v>2088.0015644444402</v>
      </c>
      <c r="U959" s="32">
        <v>0</v>
      </c>
      <c r="V959" s="38">
        <v>40.114081055435001</v>
      </c>
      <c r="W959" s="36">
        <v>46127</v>
      </c>
      <c r="X959" s="36">
        <v>46127</v>
      </c>
    </row>
    <row r="960" spans="1:24" ht="15.75" thickBot="1" x14ac:dyDescent="0.3">
      <c r="A960" t="str">
        <f t="shared" si="14"/>
        <v>DETE16387A</v>
      </c>
      <c r="B960" s="22" t="s">
        <v>1470</v>
      </c>
      <c r="C960" s="22" t="s">
        <v>2073</v>
      </c>
      <c r="D960" s="22" t="s">
        <v>4862</v>
      </c>
      <c r="E960" s="22" t="s">
        <v>4863</v>
      </c>
      <c r="F960" s="22" t="s">
        <v>4864</v>
      </c>
      <c r="G960" s="28" t="s">
        <v>2012</v>
      </c>
      <c r="H960" s="22" t="s">
        <v>2055</v>
      </c>
      <c r="I960" s="21"/>
      <c r="J960" s="22" t="s">
        <v>261</v>
      </c>
      <c r="K960" s="22" t="s">
        <v>924</v>
      </c>
      <c r="L960" s="21"/>
      <c r="M960" s="22" t="s">
        <v>2034</v>
      </c>
      <c r="N960" s="28" t="s">
        <v>2015</v>
      </c>
      <c r="O960" s="28" t="s">
        <v>2016</v>
      </c>
      <c r="P960" s="29">
        <v>10531</v>
      </c>
      <c r="Q960" s="28" t="s">
        <v>2017</v>
      </c>
      <c r="R960" s="38">
        <v>41.540949692756001</v>
      </c>
      <c r="S960" s="29">
        <v>16297</v>
      </c>
      <c r="T960" s="32">
        <v>253.508888888889</v>
      </c>
      <c r="U960" s="32">
        <v>0</v>
      </c>
      <c r="V960" s="38">
        <v>41.540949692756001</v>
      </c>
      <c r="W960" s="36">
        <v>46128</v>
      </c>
      <c r="X960" s="36">
        <v>46128</v>
      </c>
    </row>
    <row r="961" spans="1:24" ht="15.75" thickBot="1" x14ac:dyDescent="0.3">
      <c r="A961" t="str">
        <f t="shared" si="14"/>
        <v>PCPDT68310051AA</v>
      </c>
      <c r="B961" s="22" t="s">
        <v>4865</v>
      </c>
      <c r="C961" s="22" t="s">
        <v>4866</v>
      </c>
      <c r="D961" s="22" t="s">
        <v>4493</v>
      </c>
      <c r="E961" s="22" t="s">
        <v>4494</v>
      </c>
      <c r="F961" s="22" t="s">
        <v>2030</v>
      </c>
      <c r="G961" s="28" t="s">
        <v>2012</v>
      </c>
      <c r="H961" s="22" t="s">
        <v>4495</v>
      </c>
      <c r="I961" s="22" t="s">
        <v>4496</v>
      </c>
      <c r="J961" s="22" t="s">
        <v>698</v>
      </c>
      <c r="K961" s="22" t="s">
        <v>262</v>
      </c>
      <c r="L961" s="22" t="s">
        <v>4497</v>
      </c>
      <c r="M961" s="22" t="s">
        <v>2130</v>
      </c>
      <c r="N961" s="28" t="s">
        <v>2494</v>
      </c>
      <c r="O961" s="28" t="s">
        <v>2016</v>
      </c>
      <c r="P961" s="29">
        <v>130854</v>
      </c>
      <c r="Q961" s="28" t="s">
        <v>2017</v>
      </c>
      <c r="R961" s="38">
        <v>41.746282243244998</v>
      </c>
      <c r="S961" s="29">
        <v>201504</v>
      </c>
      <c r="T961" s="32">
        <v>3134.5066666666698</v>
      </c>
      <c r="U961" s="32">
        <v>0</v>
      </c>
      <c r="V961" s="38">
        <v>41.746282243244998</v>
      </c>
      <c r="W961" s="36">
        <v>46128</v>
      </c>
      <c r="X961" s="36">
        <v>46128</v>
      </c>
    </row>
    <row r="962" spans="1:24" ht="15.75" thickBot="1" x14ac:dyDescent="0.3">
      <c r="A962" t="str">
        <f t="shared" si="14"/>
        <v>PCPW716437-S300</v>
      </c>
      <c r="B962" s="22" t="s">
        <v>4867</v>
      </c>
      <c r="C962" s="21"/>
      <c r="D962" s="22" t="s">
        <v>3712</v>
      </c>
      <c r="E962" s="22" t="s">
        <v>3902</v>
      </c>
      <c r="F962" s="22" t="s">
        <v>2030</v>
      </c>
      <c r="G962" s="28" t="s">
        <v>2012</v>
      </c>
      <c r="H962" s="22" t="s">
        <v>3714</v>
      </c>
      <c r="I962" s="22" t="s">
        <v>3715</v>
      </c>
      <c r="J962" s="22" t="s">
        <v>364</v>
      </c>
      <c r="K962" s="22" t="s">
        <v>262</v>
      </c>
      <c r="L962" s="22" t="s">
        <v>3716</v>
      </c>
      <c r="M962" s="22" t="s">
        <v>2830</v>
      </c>
      <c r="N962" s="28" t="s">
        <v>2494</v>
      </c>
      <c r="O962" s="28" t="s">
        <v>2016</v>
      </c>
      <c r="P962" s="29">
        <v>231856</v>
      </c>
      <c r="Q962" s="28" t="s">
        <v>2017</v>
      </c>
      <c r="R962" s="38">
        <v>41.214187750044999</v>
      </c>
      <c r="S962" s="29">
        <v>361648</v>
      </c>
      <c r="T962" s="32">
        <v>5625.6355555555501</v>
      </c>
      <c r="U962" s="32">
        <v>0</v>
      </c>
      <c r="V962" s="38">
        <v>41.214187750044999</v>
      </c>
      <c r="W962" s="36">
        <v>46128</v>
      </c>
      <c r="X962" s="36">
        <v>46128</v>
      </c>
    </row>
    <row r="963" spans="1:24" ht="15.75" thickBot="1" x14ac:dyDescent="0.3">
      <c r="A963" t="str">
        <f t="shared" si="14"/>
        <v>PCSA26480AA</v>
      </c>
      <c r="B963" s="22" t="s">
        <v>4868</v>
      </c>
      <c r="C963" s="21"/>
      <c r="D963" s="22" t="s">
        <v>4869</v>
      </c>
      <c r="E963" s="22" t="s">
        <v>3623</v>
      </c>
      <c r="F963" s="22" t="s">
        <v>2030</v>
      </c>
      <c r="G963" s="28" t="s">
        <v>2012</v>
      </c>
      <c r="H963" s="22" t="s">
        <v>3624</v>
      </c>
      <c r="I963" s="22" t="s">
        <v>3625</v>
      </c>
      <c r="J963" s="22" t="s">
        <v>261</v>
      </c>
      <c r="K963" s="22" t="s">
        <v>924</v>
      </c>
      <c r="L963" s="22" t="s">
        <v>3628</v>
      </c>
      <c r="M963" s="22" t="s">
        <v>2130</v>
      </c>
      <c r="N963" s="28" t="s">
        <v>2494</v>
      </c>
      <c r="O963" s="28" t="s">
        <v>2016</v>
      </c>
      <c r="P963" s="29">
        <v>10854</v>
      </c>
      <c r="Q963" s="28" t="s">
        <v>2017</v>
      </c>
      <c r="R963" s="38">
        <v>41.326530612243999</v>
      </c>
      <c r="S963" s="29">
        <v>16884</v>
      </c>
      <c r="T963" s="32">
        <v>262.64</v>
      </c>
      <c r="U963" s="32">
        <v>0</v>
      </c>
      <c r="V963" s="38">
        <v>41.326530612243999</v>
      </c>
      <c r="W963" s="36">
        <v>46128</v>
      </c>
      <c r="X963" s="36">
        <v>46128</v>
      </c>
    </row>
    <row r="964" spans="1:24" ht="15.75" thickBot="1" x14ac:dyDescent="0.3">
      <c r="A964" t="str">
        <f t="shared" si="14"/>
        <v>RMS2K004RLAA</v>
      </c>
      <c r="B964" s="22" t="s">
        <v>4870</v>
      </c>
      <c r="C964" s="22" t="s">
        <v>4871</v>
      </c>
      <c r="D964" s="22" t="s">
        <v>4872</v>
      </c>
      <c r="E964" s="22" t="s">
        <v>2527</v>
      </c>
      <c r="F964" s="22" t="s">
        <v>4873</v>
      </c>
      <c r="G964" s="28" t="s">
        <v>2012</v>
      </c>
      <c r="H964" s="22" t="s">
        <v>2529</v>
      </c>
      <c r="I964" s="22" t="s">
        <v>2530</v>
      </c>
      <c r="J964" s="22" t="s">
        <v>261</v>
      </c>
      <c r="K964" s="22" t="s">
        <v>924</v>
      </c>
      <c r="L964" s="22" t="s">
        <v>2531</v>
      </c>
      <c r="M964" s="22" t="s">
        <v>2532</v>
      </c>
      <c r="N964" s="28" t="s">
        <v>2494</v>
      </c>
      <c r="O964" s="28" t="s">
        <v>2016</v>
      </c>
      <c r="P964" s="29">
        <v>77228.36</v>
      </c>
      <c r="Q964" s="28" t="s">
        <v>1164</v>
      </c>
      <c r="R964" s="38">
        <v>41.806566585890998</v>
      </c>
      <c r="S964" s="34">
        <v>118753.60000000001</v>
      </c>
      <c r="T964" s="32">
        <v>1847.2782222222199</v>
      </c>
      <c r="U964" s="32">
        <v>0</v>
      </c>
      <c r="V964" s="38">
        <v>41.806566585890998</v>
      </c>
      <c r="W964" s="36">
        <v>46128</v>
      </c>
      <c r="X964" s="36">
        <v>46128</v>
      </c>
    </row>
    <row r="965" spans="1:24" ht="15.75" thickBot="1" x14ac:dyDescent="0.3">
      <c r="A965" t="str">
        <f t="shared" ref="A965:A1028" si="15">TRIM(B965)</f>
        <v>DET68507882</v>
      </c>
      <c r="B965" s="22" t="s">
        <v>1543</v>
      </c>
      <c r="C965" s="22" t="s">
        <v>2480</v>
      </c>
      <c r="D965" s="22" t="s">
        <v>1544</v>
      </c>
      <c r="E965" s="21"/>
      <c r="F965" s="22" t="s">
        <v>4874</v>
      </c>
      <c r="G965" s="28" t="s">
        <v>2012</v>
      </c>
      <c r="H965" s="22" t="s">
        <v>2022</v>
      </c>
      <c r="I965" s="21"/>
      <c r="J965" s="22" t="s">
        <v>1117</v>
      </c>
      <c r="K965" s="22" t="s">
        <v>924</v>
      </c>
      <c r="L965" s="21"/>
      <c r="M965" s="22" t="s">
        <v>2034</v>
      </c>
      <c r="N965" s="28" t="s">
        <v>2015</v>
      </c>
      <c r="O965" s="28" t="s">
        <v>2016</v>
      </c>
      <c r="P965" s="29">
        <v>22392</v>
      </c>
      <c r="Q965" s="28" t="s">
        <v>2017</v>
      </c>
      <c r="R965" s="38">
        <v>42.264473833221999</v>
      </c>
      <c r="S965" s="29">
        <v>34059</v>
      </c>
      <c r="T965" s="32">
        <v>529.80666666666696</v>
      </c>
      <c r="U965" s="32">
        <v>0</v>
      </c>
      <c r="V965" s="38">
        <v>42.264473833221999</v>
      </c>
      <c r="W965" s="36">
        <v>46129</v>
      </c>
      <c r="X965" s="36">
        <v>46129</v>
      </c>
    </row>
    <row r="966" spans="1:24" ht="15.75" thickBot="1" x14ac:dyDescent="0.3">
      <c r="A966" t="str">
        <f t="shared" si="15"/>
        <v>MLDE025B85B</v>
      </c>
      <c r="B966" s="22" t="s">
        <v>728</v>
      </c>
      <c r="C966" s="22" t="s">
        <v>2035</v>
      </c>
      <c r="D966" s="22" t="s">
        <v>3265</v>
      </c>
      <c r="E966" s="21"/>
      <c r="F966" s="22" t="s">
        <v>3266</v>
      </c>
      <c r="G966" s="28" t="s">
        <v>2012</v>
      </c>
      <c r="H966" s="22" t="s">
        <v>2037</v>
      </c>
      <c r="I966" s="21"/>
      <c r="J966" s="22" t="s">
        <v>261</v>
      </c>
      <c r="K966" s="22" t="s">
        <v>262</v>
      </c>
      <c r="L966" s="21"/>
      <c r="M966" s="22" t="s">
        <v>2034</v>
      </c>
      <c r="N966" s="28" t="s">
        <v>2015</v>
      </c>
      <c r="O966" s="28" t="s">
        <v>2016</v>
      </c>
      <c r="P966" s="29">
        <v>2710</v>
      </c>
      <c r="Q966" s="28" t="s">
        <v>2017</v>
      </c>
      <c r="R966" s="38">
        <v>42.460220744403003</v>
      </c>
      <c r="S966" s="29">
        <v>4103</v>
      </c>
      <c r="T966" s="32">
        <v>63.824444444443998</v>
      </c>
      <c r="U966" s="32">
        <v>0</v>
      </c>
      <c r="V966" s="38">
        <v>42.460220744403003</v>
      </c>
      <c r="W966" s="36">
        <v>46129</v>
      </c>
      <c r="X966" s="36">
        <v>46129</v>
      </c>
    </row>
    <row r="967" spans="1:24" ht="15.75" thickBot="1" x14ac:dyDescent="0.3">
      <c r="A967" t="str">
        <f t="shared" si="15"/>
        <v>PCP30616-105</v>
      </c>
      <c r="B967" s="22" t="s">
        <v>4875</v>
      </c>
      <c r="C967" s="22" t="s">
        <v>4876</v>
      </c>
      <c r="D967" s="22" t="s">
        <v>3618</v>
      </c>
      <c r="E967" s="22" t="s">
        <v>3619</v>
      </c>
      <c r="F967" s="22" t="s">
        <v>2030</v>
      </c>
      <c r="G967" s="28" t="s">
        <v>2012</v>
      </c>
      <c r="H967" s="22" t="s">
        <v>4058</v>
      </c>
      <c r="I967" s="22" t="s">
        <v>4059</v>
      </c>
      <c r="J967" s="22" t="s">
        <v>494</v>
      </c>
      <c r="K967" s="22" t="s">
        <v>262</v>
      </c>
      <c r="L967" s="22" t="s">
        <v>3620</v>
      </c>
      <c r="M967" s="22" t="s">
        <v>2130</v>
      </c>
      <c r="N967" s="28" t="s">
        <v>2494</v>
      </c>
      <c r="O967" s="28" t="s">
        <v>2016</v>
      </c>
      <c r="P967" s="29">
        <v>42578</v>
      </c>
      <c r="Q967" s="28" t="s">
        <v>2017</v>
      </c>
      <c r="R967" s="38">
        <v>42.055760906784002</v>
      </c>
      <c r="S967" s="29">
        <v>65084</v>
      </c>
      <c r="T967" s="32">
        <v>1012.41777777778</v>
      </c>
      <c r="U967" s="32">
        <v>0</v>
      </c>
      <c r="V967" s="38">
        <v>42.055760906784002</v>
      </c>
      <c r="W967" s="36">
        <v>46129</v>
      </c>
      <c r="X967" s="36">
        <v>46129</v>
      </c>
    </row>
    <row r="968" spans="1:24" ht="15.75" thickBot="1" x14ac:dyDescent="0.3">
      <c r="A968" t="str">
        <f t="shared" si="15"/>
        <v>PCSW520751S300</v>
      </c>
      <c r="B968" s="22" t="s">
        <v>4877</v>
      </c>
      <c r="C968" s="21"/>
      <c r="D968" s="22" t="s">
        <v>2959</v>
      </c>
      <c r="E968" s="22" t="s">
        <v>3357</v>
      </c>
      <c r="F968" s="22" t="s">
        <v>2030</v>
      </c>
      <c r="G968" s="28" t="s">
        <v>2012</v>
      </c>
      <c r="H968" s="22" t="s">
        <v>3731</v>
      </c>
      <c r="I968" s="22" t="s">
        <v>3732</v>
      </c>
      <c r="J968" s="22" t="s">
        <v>494</v>
      </c>
      <c r="K968" s="22" t="s">
        <v>924</v>
      </c>
      <c r="L968" s="22" t="s">
        <v>2964</v>
      </c>
      <c r="M968" s="22" t="s">
        <v>2130</v>
      </c>
      <c r="N968" s="28" t="s">
        <v>2494</v>
      </c>
      <c r="O968" s="28" t="s">
        <v>2016</v>
      </c>
      <c r="P968" s="29">
        <v>21089</v>
      </c>
      <c r="Q968" s="28" t="s">
        <v>2017</v>
      </c>
      <c r="R968" s="38">
        <v>42.480460881475999</v>
      </c>
      <c r="S968" s="29">
        <v>31914</v>
      </c>
      <c r="T968" s="32">
        <v>496.44</v>
      </c>
      <c r="U968" s="32">
        <v>0</v>
      </c>
      <c r="V968" s="38">
        <v>42.480460881475999</v>
      </c>
      <c r="W968" s="36">
        <v>46129</v>
      </c>
      <c r="X968" s="36">
        <v>46129</v>
      </c>
    </row>
    <row r="969" spans="1:24" ht="15.75" thickBot="1" x14ac:dyDescent="0.3">
      <c r="A969" t="str">
        <f t="shared" si="15"/>
        <v>PCSW703951S300</v>
      </c>
      <c r="B969" s="22" t="s">
        <v>4878</v>
      </c>
      <c r="C969" s="22" t="s">
        <v>4879</v>
      </c>
      <c r="D969" s="22" t="s">
        <v>3349</v>
      </c>
      <c r="E969" s="22" t="s">
        <v>3357</v>
      </c>
      <c r="F969" s="22" t="s">
        <v>4880</v>
      </c>
      <c r="G969" s="28" t="s">
        <v>2012</v>
      </c>
      <c r="H969" s="22" t="s">
        <v>3351</v>
      </c>
      <c r="I969" s="22" t="s">
        <v>3352</v>
      </c>
      <c r="J969" s="22" t="s">
        <v>261</v>
      </c>
      <c r="K969" s="22" t="s">
        <v>924</v>
      </c>
      <c r="L969" s="22" t="s">
        <v>3353</v>
      </c>
      <c r="M969" s="22" t="s">
        <v>2130</v>
      </c>
      <c r="N969" s="28" t="s">
        <v>2494</v>
      </c>
      <c r="O969" s="28" t="s">
        <v>2016</v>
      </c>
      <c r="P969" s="29">
        <v>149728</v>
      </c>
      <c r="Q969" s="28" t="s">
        <v>2017</v>
      </c>
      <c r="R969" s="38">
        <v>42.790268772851</v>
      </c>
      <c r="S969" s="29">
        <v>224943</v>
      </c>
      <c r="T969" s="32">
        <v>3499.11333333333</v>
      </c>
      <c r="U969" s="32">
        <v>0</v>
      </c>
      <c r="V969" s="38">
        <v>42.790268772851</v>
      </c>
      <c r="W969" s="36">
        <v>46129</v>
      </c>
      <c r="X969" s="36">
        <v>46129</v>
      </c>
    </row>
    <row r="970" spans="1:24" ht="15.75" thickBot="1" x14ac:dyDescent="0.3">
      <c r="A970" t="str">
        <f t="shared" si="15"/>
        <v>RMSBRS109A26A</v>
      </c>
      <c r="B970" s="22" t="s">
        <v>4881</v>
      </c>
      <c r="C970" s="22" t="s">
        <v>4882</v>
      </c>
      <c r="D970" s="22" t="s">
        <v>4883</v>
      </c>
      <c r="E970" s="22" t="s">
        <v>3132</v>
      </c>
      <c r="F970" s="22" t="s">
        <v>4884</v>
      </c>
      <c r="G970" s="28" t="s">
        <v>2012</v>
      </c>
      <c r="H970" s="22" t="s">
        <v>2858</v>
      </c>
      <c r="I970" s="22" t="s">
        <v>2859</v>
      </c>
      <c r="J970" s="22" t="s">
        <v>364</v>
      </c>
      <c r="K970" s="22" t="s">
        <v>924</v>
      </c>
      <c r="L970" s="22" t="s">
        <v>3136</v>
      </c>
      <c r="M970" s="22" t="s">
        <v>2532</v>
      </c>
      <c r="N970" s="28" t="s">
        <v>2494</v>
      </c>
      <c r="O970" s="28" t="s">
        <v>2016</v>
      </c>
      <c r="P970" s="29">
        <v>308172.34999999998</v>
      </c>
      <c r="Q970" s="28" t="s">
        <v>1164</v>
      </c>
      <c r="R970" s="38">
        <v>42.413288024060002</v>
      </c>
      <c r="S970" s="34">
        <v>467096.05800000002</v>
      </c>
      <c r="T970" s="32">
        <v>7265.9386800000002</v>
      </c>
      <c r="U970" s="32">
        <v>0</v>
      </c>
      <c r="V970" s="38">
        <v>42.413288024060002</v>
      </c>
      <c r="W970" s="36">
        <v>46129</v>
      </c>
      <c r="X970" s="36">
        <v>46129</v>
      </c>
    </row>
    <row r="971" spans="1:24" ht="15.75" thickBot="1" x14ac:dyDescent="0.3">
      <c r="A971" t="str">
        <f t="shared" si="15"/>
        <v>85163288</v>
      </c>
      <c r="B971" s="22" t="s">
        <v>847</v>
      </c>
      <c r="C971" s="22" t="s">
        <v>4885</v>
      </c>
      <c r="D971" s="22" t="s">
        <v>4886</v>
      </c>
      <c r="E971" s="22" t="s">
        <v>3496</v>
      </c>
      <c r="F971" s="22" t="s">
        <v>3497</v>
      </c>
      <c r="G971" s="28" t="s">
        <v>2012</v>
      </c>
      <c r="H971" s="22" t="s">
        <v>2027</v>
      </c>
      <c r="I971" s="21"/>
      <c r="J971" s="22" t="s">
        <v>404</v>
      </c>
      <c r="K971" s="22" t="s">
        <v>262</v>
      </c>
      <c r="L971" s="21"/>
      <c r="M971" s="22" t="s">
        <v>2014</v>
      </c>
      <c r="N971" s="28" t="s">
        <v>2015</v>
      </c>
      <c r="O971" s="28" t="s">
        <v>2016</v>
      </c>
      <c r="P971" s="29">
        <v>1227</v>
      </c>
      <c r="Q971" s="28" t="s">
        <v>2017</v>
      </c>
      <c r="R971" s="38">
        <v>43.821428571428001</v>
      </c>
      <c r="S971" s="29">
        <v>1800</v>
      </c>
      <c r="T971" s="32">
        <v>28</v>
      </c>
      <c r="U971" s="32">
        <v>0</v>
      </c>
      <c r="V971" s="38">
        <v>43.821428571428001</v>
      </c>
      <c r="W971" s="36">
        <v>46130</v>
      </c>
      <c r="X971" s="36">
        <v>46132</v>
      </c>
    </row>
    <row r="972" spans="1:24" ht="15.75" thickBot="1" x14ac:dyDescent="0.3">
      <c r="A972" t="str">
        <f t="shared" si="15"/>
        <v>C0240801</v>
      </c>
      <c r="B972" s="22" t="s">
        <v>1346</v>
      </c>
      <c r="C972" s="22" t="s">
        <v>4887</v>
      </c>
      <c r="D972" s="22" t="s">
        <v>4888</v>
      </c>
      <c r="E972" s="22" t="s">
        <v>4889</v>
      </c>
      <c r="F972" s="22" t="s">
        <v>2139</v>
      </c>
      <c r="G972" s="28" t="s">
        <v>2012</v>
      </c>
      <c r="H972" s="22" t="s">
        <v>2140</v>
      </c>
      <c r="I972" s="21"/>
      <c r="J972" s="22" t="s">
        <v>404</v>
      </c>
      <c r="K972" s="22" t="s">
        <v>924</v>
      </c>
      <c r="L972" s="21"/>
      <c r="M972" s="22" t="s">
        <v>2014</v>
      </c>
      <c r="N972" s="28" t="s">
        <v>2015</v>
      </c>
      <c r="O972" s="28" t="s">
        <v>2016</v>
      </c>
      <c r="P972" s="29">
        <v>4895</v>
      </c>
      <c r="Q972" s="28" t="s">
        <v>2017</v>
      </c>
      <c r="R972" s="38">
        <v>44.954081632653001</v>
      </c>
      <c r="S972" s="29">
        <v>7000</v>
      </c>
      <c r="T972" s="32">
        <v>108.888888888889</v>
      </c>
      <c r="U972" s="32">
        <v>0</v>
      </c>
      <c r="V972" s="38">
        <v>44.954081632653001</v>
      </c>
      <c r="W972" s="36">
        <v>46131</v>
      </c>
      <c r="X972" s="36">
        <v>46132</v>
      </c>
    </row>
    <row r="973" spans="1:24" ht="15.75" thickBot="1" x14ac:dyDescent="0.3">
      <c r="A973" t="str">
        <f t="shared" si="15"/>
        <v>DET2102428A</v>
      </c>
      <c r="B973" s="22" t="s">
        <v>1407</v>
      </c>
      <c r="C973" s="22" t="s">
        <v>3424</v>
      </c>
      <c r="D973" s="22" t="s">
        <v>4890</v>
      </c>
      <c r="E973" s="21"/>
      <c r="F973" s="22" t="s">
        <v>4891</v>
      </c>
      <c r="G973" s="28" t="s">
        <v>2012</v>
      </c>
      <c r="H973" s="22" t="s">
        <v>2013</v>
      </c>
      <c r="I973" s="21"/>
      <c r="J973" s="22" t="s">
        <v>261</v>
      </c>
      <c r="K973" s="22" t="s">
        <v>924</v>
      </c>
      <c r="L973" s="21"/>
      <c r="M973" s="22" t="s">
        <v>2034</v>
      </c>
      <c r="N973" s="28" t="s">
        <v>2015</v>
      </c>
      <c r="O973" s="28" t="s">
        <v>2016</v>
      </c>
      <c r="P973" s="29">
        <v>12932</v>
      </c>
      <c r="Q973" s="28" t="s">
        <v>2017</v>
      </c>
      <c r="R973" s="38">
        <v>43.667552113817003</v>
      </c>
      <c r="S973" s="29">
        <v>19038</v>
      </c>
      <c r="T973" s="32">
        <v>296.14666666666699</v>
      </c>
      <c r="U973" s="32">
        <v>0</v>
      </c>
      <c r="V973" s="38">
        <v>43.667552113817003</v>
      </c>
      <c r="W973" s="36">
        <v>46130</v>
      </c>
      <c r="X973" s="36">
        <v>46132</v>
      </c>
    </row>
    <row r="974" spans="1:24" ht="15.75" thickBot="1" x14ac:dyDescent="0.3">
      <c r="A974" t="str">
        <f t="shared" si="15"/>
        <v>DET26243B12A</v>
      </c>
      <c r="B974" s="22" t="s">
        <v>1105</v>
      </c>
      <c r="C974" s="22" t="s">
        <v>4892</v>
      </c>
      <c r="D974" s="22" t="s">
        <v>4893</v>
      </c>
      <c r="E974" s="22" t="s">
        <v>4894</v>
      </c>
      <c r="F974" s="22" t="s">
        <v>4895</v>
      </c>
      <c r="G974" s="28" t="s">
        <v>2012</v>
      </c>
      <c r="H974" s="22" t="s">
        <v>2080</v>
      </c>
      <c r="I974" s="21"/>
      <c r="J974" s="22" t="s">
        <v>494</v>
      </c>
      <c r="K974" s="22" t="s">
        <v>924</v>
      </c>
      <c r="L974" s="21"/>
      <c r="M974" s="22" t="s">
        <v>2034</v>
      </c>
      <c r="N974" s="28" t="s">
        <v>2015</v>
      </c>
      <c r="O974" s="28" t="s">
        <v>2016</v>
      </c>
      <c r="P974" s="29">
        <v>11916</v>
      </c>
      <c r="Q974" s="28" t="s">
        <v>2017</v>
      </c>
      <c r="R974" s="38">
        <v>44.330357142856997</v>
      </c>
      <c r="S974" s="29">
        <v>17280</v>
      </c>
      <c r="T974" s="32">
        <v>268.8</v>
      </c>
      <c r="U974" s="32">
        <v>0</v>
      </c>
      <c r="V974" s="38">
        <v>44.330357142856997</v>
      </c>
      <c r="W974" s="36">
        <v>46131</v>
      </c>
      <c r="X974" s="36">
        <v>46132</v>
      </c>
    </row>
    <row r="975" spans="1:24" ht="15.75" thickBot="1" x14ac:dyDescent="0.3">
      <c r="A975" t="str">
        <f t="shared" si="15"/>
        <v>DET2641726A</v>
      </c>
      <c r="B975" s="22" t="s">
        <v>1534</v>
      </c>
      <c r="C975" s="22" t="s">
        <v>2752</v>
      </c>
      <c r="D975" s="22" t="s">
        <v>4896</v>
      </c>
      <c r="E975" s="22" t="s">
        <v>4897</v>
      </c>
      <c r="F975" s="22" t="s">
        <v>4898</v>
      </c>
      <c r="G975" s="28" t="s">
        <v>2012</v>
      </c>
      <c r="H975" s="22" t="s">
        <v>2080</v>
      </c>
      <c r="I975" s="21"/>
      <c r="J975" s="22" t="s">
        <v>494</v>
      </c>
      <c r="K975" s="22" t="s">
        <v>924</v>
      </c>
      <c r="L975" s="21"/>
      <c r="M975" s="22" t="s">
        <v>2034</v>
      </c>
      <c r="N975" s="28" t="s">
        <v>2015</v>
      </c>
      <c r="O975" s="28" t="s">
        <v>2016</v>
      </c>
      <c r="P975" s="29">
        <v>12826</v>
      </c>
      <c r="Q975" s="28" t="s">
        <v>2017</v>
      </c>
      <c r="R975" s="38">
        <v>43.723012590335998</v>
      </c>
      <c r="S975" s="29">
        <v>18858</v>
      </c>
      <c r="T975" s="32">
        <v>293.34666666666698</v>
      </c>
      <c r="U975" s="32">
        <v>0</v>
      </c>
      <c r="V975" s="38">
        <v>43.723012590335998</v>
      </c>
      <c r="W975" s="36">
        <v>46130</v>
      </c>
      <c r="X975" s="36">
        <v>46132</v>
      </c>
    </row>
    <row r="976" spans="1:24" ht="15.75" thickBot="1" x14ac:dyDescent="0.3">
      <c r="A976" t="str">
        <f t="shared" si="15"/>
        <v>DET68425103</v>
      </c>
      <c r="B976" s="22" t="s">
        <v>1450</v>
      </c>
      <c r="C976" s="22" t="s">
        <v>3689</v>
      </c>
      <c r="D976" s="22" t="s">
        <v>4899</v>
      </c>
      <c r="E976" s="21"/>
      <c r="F976" s="22" t="s">
        <v>4900</v>
      </c>
      <c r="G976" s="28" t="s">
        <v>2012</v>
      </c>
      <c r="H976" s="22" t="s">
        <v>2022</v>
      </c>
      <c r="I976" s="21"/>
      <c r="J976" s="22" t="s">
        <v>1117</v>
      </c>
      <c r="K976" s="22" t="s">
        <v>924</v>
      </c>
      <c r="L976" s="21"/>
      <c r="M976" s="22" t="s">
        <v>2034</v>
      </c>
      <c r="N976" s="28" t="s">
        <v>2015</v>
      </c>
      <c r="O976" s="28" t="s">
        <v>2016</v>
      </c>
      <c r="P976" s="29">
        <v>17213</v>
      </c>
      <c r="Q976" s="28" t="s">
        <v>2017</v>
      </c>
      <c r="R976" s="38">
        <v>44.078632887189002</v>
      </c>
      <c r="S976" s="29">
        <v>25104</v>
      </c>
      <c r="T976" s="32">
        <v>390.506666666667</v>
      </c>
      <c r="U976" s="32">
        <v>0</v>
      </c>
      <c r="V976" s="38">
        <v>44.078632887189002</v>
      </c>
      <c r="W976" s="36">
        <v>46131</v>
      </c>
      <c r="X976" s="36">
        <v>46132</v>
      </c>
    </row>
    <row r="977" spans="1:24" ht="15.75" thickBot="1" x14ac:dyDescent="0.3">
      <c r="A977" t="str">
        <f t="shared" si="15"/>
        <v>DETE16386A</v>
      </c>
      <c r="B977" s="22" t="s">
        <v>1468</v>
      </c>
      <c r="C977" s="22" t="s">
        <v>2185</v>
      </c>
      <c r="D977" s="22" t="s">
        <v>4901</v>
      </c>
      <c r="E977" s="22" t="s">
        <v>4902</v>
      </c>
      <c r="F977" s="22" t="s">
        <v>4903</v>
      </c>
      <c r="G977" s="28" t="s">
        <v>2012</v>
      </c>
      <c r="H977" s="22" t="s">
        <v>2055</v>
      </c>
      <c r="I977" s="21"/>
      <c r="J977" s="22" t="s">
        <v>261</v>
      </c>
      <c r="K977" s="22" t="s">
        <v>924</v>
      </c>
      <c r="L977" s="21"/>
      <c r="M977" s="22" t="s">
        <v>2034</v>
      </c>
      <c r="N977" s="28" t="s">
        <v>2015</v>
      </c>
      <c r="O977" s="28" t="s">
        <v>2016</v>
      </c>
      <c r="P977" s="29">
        <v>10959</v>
      </c>
      <c r="Q977" s="28" t="s">
        <v>2017</v>
      </c>
      <c r="R977" s="38">
        <v>43.324958050374001</v>
      </c>
      <c r="S977" s="29">
        <v>16261</v>
      </c>
      <c r="T977" s="32">
        <v>252.948888888889</v>
      </c>
      <c r="U977" s="32">
        <v>0</v>
      </c>
      <c r="V977" s="38">
        <v>43.324958050374001</v>
      </c>
      <c r="W977" s="36">
        <v>46130</v>
      </c>
      <c r="X977" s="36">
        <v>46132</v>
      </c>
    </row>
    <row r="978" spans="1:24" ht="15.75" thickBot="1" x14ac:dyDescent="0.3">
      <c r="A978" t="str">
        <f t="shared" si="15"/>
        <v>PCPGM11602377</v>
      </c>
      <c r="B978" s="22" t="s">
        <v>4904</v>
      </c>
      <c r="C978" s="22" t="s">
        <v>4905</v>
      </c>
      <c r="D978" s="22" t="s">
        <v>4906</v>
      </c>
      <c r="E978" s="21"/>
      <c r="F978" s="22" t="s">
        <v>2030</v>
      </c>
      <c r="G978" s="28" t="s">
        <v>2012</v>
      </c>
      <c r="H978" s="22" t="s">
        <v>4058</v>
      </c>
      <c r="I978" s="22" t="s">
        <v>4059</v>
      </c>
      <c r="J978" s="22" t="s">
        <v>404</v>
      </c>
      <c r="K978" s="22" t="s">
        <v>262</v>
      </c>
      <c r="L978" s="22" t="s">
        <v>2829</v>
      </c>
      <c r="M978" s="22" t="s">
        <v>4055</v>
      </c>
      <c r="N978" s="28" t="s">
        <v>2494</v>
      </c>
      <c r="O978" s="28" t="s">
        <v>2016</v>
      </c>
      <c r="P978" s="29">
        <v>2855</v>
      </c>
      <c r="Q978" s="28" t="s">
        <v>2017</v>
      </c>
      <c r="R978" s="38">
        <v>43.678180458284999</v>
      </c>
      <c r="S978" s="29">
        <v>4202</v>
      </c>
      <c r="T978" s="32">
        <v>65.364444444444004</v>
      </c>
      <c r="U978" s="32">
        <v>0</v>
      </c>
      <c r="V978" s="38">
        <v>43.678180458284999</v>
      </c>
      <c r="W978" s="36">
        <v>46130</v>
      </c>
      <c r="X978" s="36">
        <v>46132</v>
      </c>
    </row>
    <row r="979" spans="1:24" ht="15.75" thickBot="1" x14ac:dyDescent="0.3">
      <c r="A979" t="str">
        <f t="shared" si="15"/>
        <v>PCPGMBEE17847</v>
      </c>
      <c r="B979" s="22" t="s">
        <v>4907</v>
      </c>
      <c r="C979" s="21"/>
      <c r="D979" s="22" t="s">
        <v>4908</v>
      </c>
      <c r="E979" s="22" t="s">
        <v>4802</v>
      </c>
      <c r="F979" s="22" t="s">
        <v>2030</v>
      </c>
      <c r="G979" s="28" t="s">
        <v>2012</v>
      </c>
      <c r="H979" s="22" t="s">
        <v>3897</v>
      </c>
      <c r="I979" s="22" t="s">
        <v>3898</v>
      </c>
      <c r="J979" s="22" t="s">
        <v>404</v>
      </c>
      <c r="K979" s="22" t="s">
        <v>262</v>
      </c>
      <c r="L979" s="22" t="s">
        <v>3858</v>
      </c>
      <c r="M979" s="22" t="s">
        <v>4055</v>
      </c>
      <c r="N979" s="28" t="s">
        <v>2494</v>
      </c>
      <c r="O979" s="28" t="s">
        <v>2016</v>
      </c>
      <c r="P979" s="29">
        <v>476</v>
      </c>
      <c r="Q979" s="28" t="s">
        <v>2017</v>
      </c>
      <c r="R979" s="38">
        <v>43.159379407616001</v>
      </c>
      <c r="S979" s="29">
        <v>709</v>
      </c>
      <c r="T979" s="32">
        <v>11.028888888888</v>
      </c>
      <c r="U979" s="32">
        <v>0</v>
      </c>
      <c r="V979" s="38">
        <v>43.159379407616001</v>
      </c>
      <c r="W979" s="36">
        <v>46130</v>
      </c>
      <c r="X979" s="36">
        <v>46132</v>
      </c>
    </row>
    <row r="980" spans="1:24" ht="15.75" thickBot="1" x14ac:dyDescent="0.3">
      <c r="A980" t="str">
        <f t="shared" si="15"/>
        <v>PCS10723APIA07</v>
      </c>
      <c r="B980" s="22" t="s">
        <v>4909</v>
      </c>
      <c r="C980" s="22" t="s">
        <v>4910</v>
      </c>
      <c r="D980" s="22" t="s">
        <v>4911</v>
      </c>
      <c r="E980" s="22" t="s">
        <v>4912</v>
      </c>
      <c r="F980" s="22" t="s">
        <v>2030</v>
      </c>
      <c r="G980" s="28" t="s">
        <v>2012</v>
      </c>
      <c r="H980" s="22" t="s">
        <v>4913</v>
      </c>
      <c r="I980" s="22" t="s">
        <v>4914</v>
      </c>
      <c r="J980" s="22" t="s">
        <v>261</v>
      </c>
      <c r="K980" s="22" t="s">
        <v>924</v>
      </c>
      <c r="L980" s="22" t="s">
        <v>3914</v>
      </c>
      <c r="M980" s="22" t="s">
        <v>2130</v>
      </c>
      <c r="N980" s="28" t="s">
        <v>2494</v>
      </c>
      <c r="O980" s="28" t="s">
        <v>2016</v>
      </c>
      <c r="P980" s="29">
        <v>27468</v>
      </c>
      <c r="Q980" s="28" t="s">
        <v>2017</v>
      </c>
      <c r="R980" s="38">
        <v>44.206889645502997</v>
      </c>
      <c r="S980" s="29">
        <v>39944</v>
      </c>
      <c r="T980" s="32">
        <v>621.35111111111098</v>
      </c>
      <c r="U980" s="32">
        <v>0</v>
      </c>
      <c r="V980" s="38">
        <v>44.206889645502997</v>
      </c>
      <c r="W980" s="36">
        <v>46131</v>
      </c>
      <c r="X980" s="36">
        <v>46132</v>
      </c>
    </row>
    <row r="981" spans="1:24" ht="15.75" thickBot="1" x14ac:dyDescent="0.3">
      <c r="A981" t="str">
        <f t="shared" si="15"/>
        <v>PCS1BBA26480AB</v>
      </c>
      <c r="B981" s="22" t="s">
        <v>4915</v>
      </c>
      <c r="C981" s="21"/>
      <c r="D981" s="22" t="s">
        <v>4869</v>
      </c>
      <c r="E981" s="21"/>
      <c r="F981" s="22" t="s">
        <v>2030</v>
      </c>
      <c r="G981" s="28" t="s">
        <v>2012</v>
      </c>
      <c r="H981" s="22" t="s">
        <v>4916</v>
      </c>
      <c r="I981" s="22" t="s">
        <v>4917</v>
      </c>
      <c r="J981" s="22" t="s">
        <v>261</v>
      </c>
      <c r="K981" s="22" t="s">
        <v>924</v>
      </c>
      <c r="L981" s="22" t="s">
        <v>3628</v>
      </c>
      <c r="M981" s="22" t="s">
        <v>2130</v>
      </c>
      <c r="N981" s="28" t="s">
        <v>2494</v>
      </c>
      <c r="O981" s="28" t="s">
        <v>2016</v>
      </c>
      <c r="P981" s="29">
        <v>23943</v>
      </c>
      <c r="Q981" s="28" t="s">
        <v>2017</v>
      </c>
      <c r="R981" s="38">
        <v>44.052457273693001</v>
      </c>
      <c r="S981" s="29">
        <v>34940</v>
      </c>
      <c r="T981" s="32">
        <v>543.51111111111095</v>
      </c>
      <c r="U981" s="32">
        <v>0</v>
      </c>
      <c r="V981" s="38">
        <v>44.052457273693001</v>
      </c>
      <c r="W981" s="36">
        <v>46131</v>
      </c>
      <c r="X981" s="36">
        <v>46132</v>
      </c>
    </row>
    <row r="982" spans="1:24" ht="15.75" thickBot="1" x14ac:dyDescent="0.3">
      <c r="A982" t="str">
        <f t="shared" si="15"/>
        <v>PCSW713973S300</v>
      </c>
      <c r="B982" s="22" t="s">
        <v>4918</v>
      </c>
      <c r="C982" s="22" t="s">
        <v>4919</v>
      </c>
      <c r="D982" s="22" t="s">
        <v>3349</v>
      </c>
      <c r="E982" s="22" t="s">
        <v>3357</v>
      </c>
      <c r="F982" s="22" t="s">
        <v>2030</v>
      </c>
      <c r="G982" s="28" t="s">
        <v>2012</v>
      </c>
      <c r="H982" s="22" t="s">
        <v>3351</v>
      </c>
      <c r="I982" s="22" t="s">
        <v>3352</v>
      </c>
      <c r="J982" s="22" t="s">
        <v>364</v>
      </c>
      <c r="K982" s="22" t="s">
        <v>924</v>
      </c>
      <c r="L982" s="22" t="s">
        <v>3353</v>
      </c>
      <c r="M982" s="22" t="s">
        <v>2130</v>
      </c>
      <c r="N982" s="28" t="s">
        <v>2494</v>
      </c>
      <c r="O982" s="28" t="s">
        <v>2016</v>
      </c>
      <c r="P982" s="29">
        <v>86510</v>
      </c>
      <c r="Q982" s="28" t="s">
        <v>2017</v>
      </c>
      <c r="R982" s="38">
        <v>45.588631386647002</v>
      </c>
      <c r="S982" s="29">
        <v>121990</v>
      </c>
      <c r="T982" s="32">
        <v>1897.62222222222</v>
      </c>
      <c r="U982" s="32">
        <v>0</v>
      </c>
      <c r="V982" s="38">
        <v>45.588631386647002</v>
      </c>
      <c r="W982" s="36">
        <v>46132</v>
      </c>
      <c r="X982" s="36">
        <v>46132</v>
      </c>
    </row>
    <row r="983" spans="1:24" ht="15.75" thickBot="1" x14ac:dyDescent="0.3">
      <c r="A983" t="str">
        <f t="shared" si="15"/>
        <v>REPACKE312A49B</v>
      </c>
      <c r="B983" s="22" t="s">
        <v>966</v>
      </c>
      <c r="C983" s="22" t="s">
        <v>4920</v>
      </c>
      <c r="D983" s="22" t="s">
        <v>2197</v>
      </c>
      <c r="E983" s="21"/>
      <c r="F983" s="22" t="s">
        <v>4921</v>
      </c>
      <c r="G983" s="28" t="s">
        <v>2012</v>
      </c>
      <c r="H983" s="22" t="s">
        <v>2013</v>
      </c>
      <c r="I983" s="21"/>
      <c r="J983" s="22" t="s">
        <v>494</v>
      </c>
      <c r="K983" s="22" t="s">
        <v>924</v>
      </c>
      <c r="L983" s="21"/>
      <c r="M983" s="22" t="s">
        <v>2034</v>
      </c>
      <c r="N983" s="28" t="s">
        <v>2015</v>
      </c>
      <c r="O983" s="28" t="s">
        <v>2016</v>
      </c>
      <c r="P983" s="29">
        <v>11888</v>
      </c>
      <c r="Q983" s="28" t="s">
        <v>2017</v>
      </c>
      <c r="R983" s="38">
        <v>45.183195662088004</v>
      </c>
      <c r="S983" s="29">
        <v>16914</v>
      </c>
      <c r="T983" s="32">
        <v>263.10666666666702</v>
      </c>
      <c r="U983" s="32">
        <v>0</v>
      </c>
      <c r="V983" s="38">
        <v>45.183195662088004</v>
      </c>
      <c r="W983" s="36">
        <v>46132</v>
      </c>
      <c r="X983" s="36">
        <v>46132</v>
      </c>
    </row>
    <row r="984" spans="1:24" ht="15.75" thickBot="1" x14ac:dyDescent="0.3">
      <c r="A984" t="str">
        <f t="shared" si="15"/>
        <v>RMPCON30-913580TPE</v>
      </c>
      <c r="B984" s="22" t="s">
        <v>4922</v>
      </c>
      <c r="C984" s="22" t="s">
        <v>4923</v>
      </c>
      <c r="D984" s="22" t="s">
        <v>4924</v>
      </c>
      <c r="E984" s="21"/>
      <c r="F984" s="22" t="s">
        <v>2030</v>
      </c>
      <c r="G984" s="28" t="s">
        <v>2012</v>
      </c>
      <c r="H984" s="22" t="s">
        <v>4817</v>
      </c>
      <c r="I984" s="22" t="s">
        <v>4818</v>
      </c>
      <c r="J984" s="22" t="s">
        <v>494</v>
      </c>
      <c r="K984" s="22" t="s">
        <v>262</v>
      </c>
      <c r="L984" s="22" t="s">
        <v>4925</v>
      </c>
      <c r="M984" s="22" t="s">
        <v>2523</v>
      </c>
      <c r="N984" s="28" t="s">
        <v>2494</v>
      </c>
      <c r="O984" s="28" t="s">
        <v>2016</v>
      </c>
      <c r="P984" s="29">
        <v>882.03399999999999</v>
      </c>
      <c r="Q984" s="28" t="s">
        <v>1164</v>
      </c>
      <c r="R984" s="38">
        <v>45.630273605542001</v>
      </c>
      <c r="S984" s="34">
        <v>1242.644</v>
      </c>
      <c r="T984" s="32">
        <v>19.330017777777002</v>
      </c>
      <c r="U984" s="32">
        <v>0</v>
      </c>
      <c r="V984" s="38">
        <v>45.630273605542001</v>
      </c>
      <c r="W984" s="36">
        <v>46132</v>
      </c>
      <c r="X984" s="36">
        <v>46132</v>
      </c>
    </row>
    <row r="985" spans="1:24" ht="15.75" thickBot="1" x14ac:dyDescent="0.3">
      <c r="A985" t="str">
        <f t="shared" si="15"/>
        <v>RMPGMADX5301</v>
      </c>
      <c r="B985" s="22" t="s">
        <v>4926</v>
      </c>
      <c r="C985" s="21"/>
      <c r="D985" s="22" t="s">
        <v>4927</v>
      </c>
      <c r="E985" s="22" t="s">
        <v>4928</v>
      </c>
      <c r="F985" s="22" t="s">
        <v>2030</v>
      </c>
      <c r="G985" s="28" t="s">
        <v>2012</v>
      </c>
      <c r="H985" s="22" t="s">
        <v>3745</v>
      </c>
      <c r="I985" s="22" t="s">
        <v>3746</v>
      </c>
      <c r="J985" s="22" t="s">
        <v>404</v>
      </c>
      <c r="K985" s="22" t="s">
        <v>262</v>
      </c>
      <c r="L985" s="22" t="s">
        <v>3380</v>
      </c>
      <c r="M985" s="22" t="s">
        <v>2523</v>
      </c>
      <c r="N985" s="28" t="s">
        <v>2494</v>
      </c>
      <c r="O985" s="28" t="s">
        <v>2016</v>
      </c>
      <c r="P985" s="29">
        <v>7541.5320000000002</v>
      </c>
      <c r="Q985" s="28" t="s">
        <v>1164</v>
      </c>
      <c r="R985" s="38">
        <v>44.765904074639998</v>
      </c>
      <c r="S985" s="34">
        <v>10829.956</v>
      </c>
      <c r="T985" s="32">
        <v>168.46598222222201</v>
      </c>
      <c r="U985" s="32">
        <v>0</v>
      </c>
      <c r="V985" s="38">
        <v>44.765904074639998</v>
      </c>
      <c r="W985" s="36">
        <v>46131</v>
      </c>
      <c r="X985" s="36">
        <v>46132</v>
      </c>
    </row>
    <row r="986" spans="1:24" ht="15.75" thickBot="1" x14ac:dyDescent="0.3">
      <c r="A986" t="str">
        <f t="shared" si="15"/>
        <v>RMS2610116RLAA</v>
      </c>
      <c r="B986" s="22" t="s">
        <v>4929</v>
      </c>
      <c r="C986" s="22" t="s">
        <v>4930</v>
      </c>
      <c r="D986" s="22" t="s">
        <v>4931</v>
      </c>
      <c r="E986" s="22" t="s">
        <v>2527</v>
      </c>
      <c r="F986" s="22" t="s">
        <v>4932</v>
      </c>
      <c r="G986" s="28" t="s">
        <v>2012</v>
      </c>
      <c r="H986" s="22" t="s">
        <v>2982</v>
      </c>
      <c r="I986" s="22" t="s">
        <v>2983</v>
      </c>
      <c r="J986" s="22" t="s">
        <v>261</v>
      </c>
      <c r="K986" s="22" t="s">
        <v>924</v>
      </c>
      <c r="L986" s="22" t="s">
        <v>2531</v>
      </c>
      <c r="M986" s="22" t="s">
        <v>2532</v>
      </c>
      <c r="N986" s="28" t="s">
        <v>2494</v>
      </c>
      <c r="O986" s="28" t="s">
        <v>2016</v>
      </c>
      <c r="P986" s="29">
        <v>110055.03999999999</v>
      </c>
      <c r="Q986" s="28" t="s">
        <v>1164</v>
      </c>
      <c r="R986" s="38">
        <v>43.100899887300002</v>
      </c>
      <c r="S986" s="34">
        <v>164148.93599999999</v>
      </c>
      <c r="T986" s="32">
        <v>2553.4278933333298</v>
      </c>
      <c r="U986" s="32">
        <v>0</v>
      </c>
      <c r="V986" s="38">
        <v>43.100899887300002</v>
      </c>
      <c r="W986" s="36">
        <v>46130</v>
      </c>
      <c r="X986" s="36">
        <v>46132</v>
      </c>
    </row>
    <row r="987" spans="1:24" ht="15.75" thickBot="1" x14ac:dyDescent="0.3">
      <c r="A987" t="str">
        <f t="shared" si="15"/>
        <v>RMS26107K40A</v>
      </c>
      <c r="B987" s="22" t="s">
        <v>4933</v>
      </c>
      <c r="C987" s="22" t="s">
        <v>4934</v>
      </c>
      <c r="D987" s="22" t="s">
        <v>4935</v>
      </c>
      <c r="E987" s="22" t="s">
        <v>2527</v>
      </c>
      <c r="F987" s="22" t="s">
        <v>3965</v>
      </c>
      <c r="G987" s="28" t="s">
        <v>2012</v>
      </c>
      <c r="H987" s="22" t="s">
        <v>2549</v>
      </c>
      <c r="I987" s="22" t="s">
        <v>2550</v>
      </c>
      <c r="J987" s="22" t="s">
        <v>261</v>
      </c>
      <c r="K987" s="22" t="s">
        <v>924</v>
      </c>
      <c r="L987" s="22" t="s">
        <v>2531</v>
      </c>
      <c r="M987" s="22" t="s">
        <v>2532</v>
      </c>
      <c r="N987" s="28" t="s">
        <v>2494</v>
      </c>
      <c r="O987" s="28" t="s">
        <v>2016</v>
      </c>
      <c r="P987" s="29">
        <v>35796.669000000002</v>
      </c>
      <c r="Q987" s="28" t="s">
        <v>1164</v>
      </c>
      <c r="R987" s="38">
        <v>45.712680002764003</v>
      </c>
      <c r="S987" s="34">
        <v>50340.834000000003</v>
      </c>
      <c r="T987" s="32">
        <v>783.07964000000004</v>
      </c>
      <c r="U987" s="32">
        <v>0</v>
      </c>
      <c r="V987" s="38">
        <v>45.712680002764003</v>
      </c>
      <c r="W987" s="36">
        <v>46132</v>
      </c>
      <c r="X987" s="36">
        <v>46132</v>
      </c>
    </row>
    <row r="988" spans="1:24" ht="15.75" thickBot="1" x14ac:dyDescent="0.3">
      <c r="A988" t="str">
        <f t="shared" si="15"/>
        <v>RMSE41624</v>
      </c>
      <c r="B988" s="22" t="s">
        <v>4936</v>
      </c>
      <c r="C988" s="22" t="s">
        <v>4937</v>
      </c>
      <c r="D988" s="22" t="s">
        <v>4938</v>
      </c>
      <c r="E988" s="22" t="s">
        <v>2527</v>
      </c>
      <c r="F988" s="22" t="s">
        <v>4939</v>
      </c>
      <c r="G988" s="28" t="s">
        <v>2012</v>
      </c>
      <c r="H988" s="22" t="s">
        <v>2716</v>
      </c>
      <c r="I988" s="22" t="s">
        <v>2717</v>
      </c>
      <c r="J988" s="22" t="s">
        <v>261</v>
      </c>
      <c r="K988" s="22" t="s">
        <v>924</v>
      </c>
      <c r="L988" s="22" t="s">
        <v>2531</v>
      </c>
      <c r="M988" s="22" t="s">
        <v>2532</v>
      </c>
      <c r="N988" s="28" t="s">
        <v>2494</v>
      </c>
      <c r="O988" s="28" t="s">
        <v>2016</v>
      </c>
      <c r="P988" s="29">
        <v>33958.934999999998</v>
      </c>
      <c r="Q988" s="28" t="s">
        <v>1164</v>
      </c>
      <c r="R988" s="38">
        <v>43.185621178810997</v>
      </c>
      <c r="S988" s="34">
        <v>50550.955000000002</v>
      </c>
      <c r="T988" s="32">
        <v>786.34818888888901</v>
      </c>
      <c r="U988" s="32">
        <v>0</v>
      </c>
      <c r="V988" s="38">
        <v>43.185621178810997</v>
      </c>
      <c r="W988" s="36">
        <v>46130</v>
      </c>
      <c r="X988" s="36">
        <v>46132</v>
      </c>
    </row>
    <row r="989" spans="1:24" ht="15.75" thickBot="1" x14ac:dyDescent="0.3">
      <c r="A989" t="str">
        <f t="shared" si="15"/>
        <v>RMSBR5811270ARL</v>
      </c>
      <c r="B989" s="22" t="s">
        <v>4940</v>
      </c>
      <c r="C989" s="22" t="s">
        <v>4941</v>
      </c>
      <c r="D989" s="22" t="s">
        <v>4942</v>
      </c>
      <c r="E989" s="22" t="s">
        <v>3132</v>
      </c>
      <c r="F989" s="22" t="s">
        <v>4943</v>
      </c>
      <c r="G989" s="28" t="s">
        <v>2012</v>
      </c>
      <c r="H989" s="22" t="s">
        <v>2529</v>
      </c>
      <c r="I989" s="22" t="s">
        <v>2530</v>
      </c>
      <c r="J989" s="22" t="s">
        <v>364</v>
      </c>
      <c r="K989" s="22" t="s">
        <v>924</v>
      </c>
      <c r="L989" s="22" t="s">
        <v>3136</v>
      </c>
      <c r="M989" s="22" t="s">
        <v>2532</v>
      </c>
      <c r="N989" s="28" t="s">
        <v>2494</v>
      </c>
      <c r="O989" s="28" t="s">
        <v>2016</v>
      </c>
      <c r="P989" s="29">
        <v>12205.528</v>
      </c>
      <c r="Q989" s="28" t="s">
        <v>1164</v>
      </c>
      <c r="R989" s="38">
        <v>46.249342087414</v>
      </c>
      <c r="S989" s="34">
        <v>16965.454000000002</v>
      </c>
      <c r="T989" s="32">
        <v>263.90706222222201</v>
      </c>
      <c r="U989" s="32">
        <v>0</v>
      </c>
      <c r="V989" s="38">
        <v>46.249342087414</v>
      </c>
      <c r="W989" s="36">
        <v>46133</v>
      </c>
      <c r="X989" s="36">
        <v>46133</v>
      </c>
    </row>
    <row r="990" spans="1:24" ht="15.75" thickBot="1" x14ac:dyDescent="0.3">
      <c r="A990" t="str">
        <f t="shared" si="15"/>
        <v>RMSWL68430494</v>
      </c>
      <c r="B990" s="22" t="s">
        <v>4944</v>
      </c>
      <c r="C990" s="21"/>
      <c r="D990" s="22" t="s">
        <v>4945</v>
      </c>
      <c r="E990" s="22" t="s">
        <v>3144</v>
      </c>
      <c r="F990" s="22" t="s">
        <v>3145</v>
      </c>
      <c r="G990" s="28" t="s">
        <v>2012</v>
      </c>
      <c r="H990" s="22" t="s">
        <v>2536</v>
      </c>
      <c r="I990" s="22" t="s">
        <v>2537</v>
      </c>
      <c r="J990" s="22" t="s">
        <v>1117</v>
      </c>
      <c r="K990" s="22" t="s">
        <v>924</v>
      </c>
      <c r="L990" s="22" t="s">
        <v>3136</v>
      </c>
      <c r="M990" s="22" t="s">
        <v>2532</v>
      </c>
      <c r="N990" s="28" t="s">
        <v>2494</v>
      </c>
      <c r="O990" s="28" t="s">
        <v>2016</v>
      </c>
      <c r="P990" s="29">
        <v>5665</v>
      </c>
      <c r="Q990" s="28" t="s">
        <v>1164</v>
      </c>
      <c r="R990" s="38">
        <v>47.493491291117998</v>
      </c>
      <c r="S990" s="34">
        <v>7667.9679999999998</v>
      </c>
      <c r="T990" s="32">
        <v>119.27950222222201</v>
      </c>
      <c r="U990" s="32">
        <v>0</v>
      </c>
      <c r="V990" s="38">
        <v>47.493491291117998</v>
      </c>
      <c r="W990" s="36">
        <v>46134</v>
      </c>
      <c r="X990" s="36">
        <v>46134</v>
      </c>
    </row>
    <row r="991" spans="1:24" ht="15.75" thickBot="1" x14ac:dyDescent="0.3">
      <c r="A991" t="str">
        <f t="shared" si="15"/>
        <v>DET2662570A</v>
      </c>
      <c r="B991" s="22" t="s">
        <v>1538</v>
      </c>
      <c r="C991" s="22" t="s">
        <v>2876</v>
      </c>
      <c r="D991" s="22" t="s">
        <v>4352</v>
      </c>
      <c r="E991" s="22" t="s">
        <v>4946</v>
      </c>
      <c r="F991" s="22" t="s">
        <v>4947</v>
      </c>
      <c r="G991" s="28" t="s">
        <v>2012</v>
      </c>
      <c r="H991" s="22" t="s">
        <v>2080</v>
      </c>
      <c r="I991" s="21"/>
      <c r="J991" s="22" t="s">
        <v>494</v>
      </c>
      <c r="K991" s="22" t="s">
        <v>924</v>
      </c>
      <c r="L991" s="21"/>
      <c r="M991" s="22" t="s">
        <v>2034</v>
      </c>
      <c r="N991" s="28" t="s">
        <v>2015</v>
      </c>
      <c r="O991" s="28" t="s">
        <v>2016</v>
      </c>
      <c r="P991" s="29">
        <v>23202</v>
      </c>
      <c r="Q991" s="28" t="s">
        <v>2017</v>
      </c>
      <c r="R991" s="38">
        <v>48.295465058189997</v>
      </c>
      <c r="S991" s="29">
        <v>30884</v>
      </c>
      <c r="T991" s="32">
        <v>480.41777777777799</v>
      </c>
      <c r="U991" s="32">
        <v>0</v>
      </c>
      <c r="V991" s="38">
        <v>48.295465058189997</v>
      </c>
      <c r="W991" s="36">
        <v>46135</v>
      </c>
      <c r="X991" s="36">
        <v>46135</v>
      </c>
    </row>
    <row r="992" spans="1:24" ht="15.75" thickBot="1" x14ac:dyDescent="0.3">
      <c r="A992" t="str">
        <f t="shared" si="15"/>
        <v>MLD17E811GC</v>
      </c>
      <c r="B992" s="22" t="s">
        <v>861</v>
      </c>
      <c r="C992" s="22" t="s">
        <v>4948</v>
      </c>
      <c r="D992" s="22" t="s">
        <v>4949</v>
      </c>
      <c r="E992" s="22" t="s">
        <v>4950</v>
      </c>
      <c r="F992" s="22" t="s">
        <v>4951</v>
      </c>
      <c r="G992" s="28" t="s">
        <v>2012</v>
      </c>
      <c r="H992" s="22" t="s">
        <v>2013</v>
      </c>
      <c r="I992" s="21"/>
      <c r="J992" s="22" t="s">
        <v>364</v>
      </c>
      <c r="K992" s="22" t="s">
        <v>262</v>
      </c>
      <c r="L992" s="21"/>
      <c r="M992" s="22" t="s">
        <v>2034</v>
      </c>
      <c r="N992" s="28" t="s">
        <v>2015</v>
      </c>
      <c r="O992" s="28" t="s">
        <v>2016</v>
      </c>
      <c r="P992" s="29">
        <v>1512</v>
      </c>
      <c r="Q992" s="28" t="s">
        <v>2017</v>
      </c>
      <c r="R992" s="38">
        <v>48.527209186219999</v>
      </c>
      <c r="S992" s="29">
        <v>2003</v>
      </c>
      <c r="T992" s="32">
        <v>31.157777777777</v>
      </c>
      <c r="U992" s="32">
        <v>0</v>
      </c>
      <c r="V992" s="38">
        <v>48.527209186219999</v>
      </c>
      <c r="W992" s="36">
        <v>46135</v>
      </c>
      <c r="X992" s="36">
        <v>46135</v>
      </c>
    </row>
    <row r="993" spans="1:24" ht="15.75" thickBot="1" x14ac:dyDescent="0.3">
      <c r="A993" t="str">
        <f t="shared" si="15"/>
        <v>RMS21024A68</v>
      </c>
      <c r="B993" s="22" t="s">
        <v>4952</v>
      </c>
      <c r="C993" s="22" t="s">
        <v>4953</v>
      </c>
      <c r="D993" s="22" t="s">
        <v>4954</v>
      </c>
      <c r="E993" s="22" t="s">
        <v>3132</v>
      </c>
      <c r="F993" s="22" t="s">
        <v>4955</v>
      </c>
      <c r="G993" s="28" t="s">
        <v>2012</v>
      </c>
      <c r="H993" s="22" t="s">
        <v>2556</v>
      </c>
      <c r="I993" s="22" t="s">
        <v>2557</v>
      </c>
      <c r="J993" s="22" t="s">
        <v>261</v>
      </c>
      <c r="K993" s="22" t="s">
        <v>924</v>
      </c>
      <c r="L993" s="22" t="s">
        <v>3136</v>
      </c>
      <c r="M993" s="22" t="s">
        <v>2532</v>
      </c>
      <c r="N993" s="28" t="s">
        <v>2494</v>
      </c>
      <c r="O993" s="28" t="s">
        <v>2016</v>
      </c>
      <c r="P993" s="29">
        <v>17090.848000000002</v>
      </c>
      <c r="Q993" s="28" t="s">
        <v>1164</v>
      </c>
      <c r="R993" s="38">
        <v>48.972627477501</v>
      </c>
      <c r="S993" s="34">
        <v>22434.928</v>
      </c>
      <c r="T993" s="32">
        <v>348.98776888888898</v>
      </c>
      <c r="U993" s="32">
        <v>0</v>
      </c>
      <c r="V993" s="38">
        <v>48.972627477501</v>
      </c>
      <c r="W993" s="36">
        <v>46135</v>
      </c>
      <c r="X993" s="36">
        <v>46135</v>
      </c>
    </row>
    <row r="994" spans="1:24" ht="15.75" thickBot="1" x14ac:dyDescent="0.3">
      <c r="A994" t="str">
        <f t="shared" si="15"/>
        <v>REPACK10723APIA04</v>
      </c>
      <c r="B994" s="22" t="s">
        <v>4956</v>
      </c>
      <c r="C994" s="22" t="s">
        <v>4957</v>
      </c>
      <c r="D994" s="22" t="s">
        <v>4958</v>
      </c>
      <c r="E994" s="21"/>
      <c r="F994" s="22" t="s">
        <v>4959</v>
      </c>
      <c r="G994" s="28" t="s">
        <v>2012</v>
      </c>
      <c r="H994" s="22" t="s">
        <v>2013</v>
      </c>
      <c r="I994" s="21"/>
      <c r="J994" s="22" t="s">
        <v>261</v>
      </c>
      <c r="K994" s="22" t="s">
        <v>924</v>
      </c>
      <c r="L994" s="21"/>
      <c r="M994" s="22" t="s">
        <v>2034</v>
      </c>
      <c r="N994" s="28" t="s">
        <v>2015</v>
      </c>
      <c r="O994" s="28" t="s">
        <v>2016</v>
      </c>
      <c r="P994" s="29">
        <v>11499</v>
      </c>
      <c r="Q994" s="28" t="s">
        <v>2017</v>
      </c>
      <c r="R994" s="38">
        <v>49.281428571428002</v>
      </c>
      <c r="S994" s="29">
        <v>15000</v>
      </c>
      <c r="T994" s="32">
        <v>233.333333333333</v>
      </c>
      <c r="U994" s="32">
        <v>0</v>
      </c>
      <c r="V994" s="38">
        <v>49.281428571428002</v>
      </c>
      <c r="W994" s="36">
        <v>46136</v>
      </c>
      <c r="X994" s="36">
        <v>46136</v>
      </c>
    </row>
    <row r="995" spans="1:24" ht="15.75" thickBot="1" x14ac:dyDescent="0.3">
      <c r="A995" t="str">
        <f t="shared" si="15"/>
        <v>RMS10723-02</v>
      </c>
      <c r="B995" s="22" t="s">
        <v>4960</v>
      </c>
      <c r="C995" s="22" t="s">
        <v>4961</v>
      </c>
      <c r="D995" s="22" t="s">
        <v>4962</v>
      </c>
      <c r="E995" s="22" t="s">
        <v>3132</v>
      </c>
      <c r="F995" s="22" t="s">
        <v>4963</v>
      </c>
      <c r="G995" s="28" t="s">
        <v>2012</v>
      </c>
      <c r="H995" s="22" t="s">
        <v>2556</v>
      </c>
      <c r="I995" s="22" t="s">
        <v>2557</v>
      </c>
      <c r="J995" s="22" t="s">
        <v>261</v>
      </c>
      <c r="K995" s="22" t="s">
        <v>924</v>
      </c>
      <c r="L995" s="22" t="s">
        <v>3136</v>
      </c>
      <c r="M995" s="22" t="s">
        <v>2532</v>
      </c>
      <c r="N995" s="28" t="s">
        <v>2494</v>
      </c>
      <c r="O995" s="28" t="s">
        <v>2016</v>
      </c>
      <c r="P995" s="29">
        <v>60173.834999999999</v>
      </c>
      <c r="Q995" s="28" t="s">
        <v>1164</v>
      </c>
      <c r="R995" s="38">
        <v>49.817154189264002</v>
      </c>
      <c r="S995" s="34">
        <v>77650.320000000007</v>
      </c>
      <c r="T995" s="32">
        <v>1207.89386666667</v>
      </c>
      <c r="U995" s="32">
        <v>0</v>
      </c>
      <c r="V995" s="38">
        <v>49.817154189264002</v>
      </c>
      <c r="W995" s="36">
        <v>46136</v>
      </c>
      <c r="X995" s="36">
        <v>46136</v>
      </c>
    </row>
    <row r="996" spans="1:24" ht="15.75" thickBot="1" x14ac:dyDescent="0.3">
      <c r="A996" t="str">
        <f t="shared" si="15"/>
        <v>RMSWL68431601</v>
      </c>
      <c r="B996" s="22" t="s">
        <v>4964</v>
      </c>
      <c r="C996" s="22" t="s">
        <v>4965</v>
      </c>
      <c r="D996" s="22" t="s">
        <v>4966</v>
      </c>
      <c r="E996" s="22" t="s">
        <v>2527</v>
      </c>
      <c r="F996" s="22" t="s">
        <v>3569</v>
      </c>
      <c r="G996" s="28" t="s">
        <v>2012</v>
      </c>
      <c r="H996" s="22" t="s">
        <v>3758</v>
      </c>
      <c r="I996" s="22" t="s">
        <v>3759</v>
      </c>
      <c r="J996" s="22" t="s">
        <v>1117</v>
      </c>
      <c r="K996" s="22" t="s">
        <v>924</v>
      </c>
      <c r="L996" s="22" t="s">
        <v>2531</v>
      </c>
      <c r="M996" s="22" t="s">
        <v>2532</v>
      </c>
      <c r="N996" s="28" t="s">
        <v>2494</v>
      </c>
      <c r="O996" s="28" t="s">
        <v>2016</v>
      </c>
      <c r="P996" s="29">
        <v>27879.513999999999</v>
      </c>
      <c r="Q996" s="28" t="s">
        <v>1164</v>
      </c>
      <c r="R996" s="38">
        <v>49.440661145947999</v>
      </c>
      <c r="S996" s="34">
        <v>36250.616999999998</v>
      </c>
      <c r="T996" s="32">
        <v>563.89848666666705</v>
      </c>
      <c r="U996" s="32">
        <v>0</v>
      </c>
      <c r="V996" s="38">
        <v>49.440661145947999</v>
      </c>
      <c r="W996" s="36">
        <v>46136</v>
      </c>
      <c r="X996" s="36">
        <v>46136</v>
      </c>
    </row>
    <row r="997" spans="1:24" ht="15.75" thickBot="1" x14ac:dyDescent="0.3">
      <c r="A997" t="str">
        <f t="shared" si="15"/>
        <v>85132153</v>
      </c>
      <c r="B997" s="22" t="s">
        <v>411</v>
      </c>
      <c r="C997" s="22" t="s">
        <v>2306</v>
      </c>
      <c r="D997" s="22" t="s">
        <v>4967</v>
      </c>
      <c r="E997" s="22" t="s">
        <v>3496</v>
      </c>
      <c r="F997" s="22" t="s">
        <v>4516</v>
      </c>
      <c r="G997" s="28" t="s">
        <v>2012</v>
      </c>
      <c r="H997" s="22" t="s">
        <v>2027</v>
      </c>
      <c r="I997" s="21"/>
      <c r="J997" s="22" t="s">
        <v>404</v>
      </c>
      <c r="K997" s="22" t="s">
        <v>262</v>
      </c>
      <c r="L997" s="21"/>
      <c r="M997" s="22" t="s">
        <v>2014</v>
      </c>
      <c r="N997" s="28" t="s">
        <v>2015</v>
      </c>
      <c r="O997" s="28" t="s">
        <v>2016</v>
      </c>
      <c r="P997" s="29">
        <v>1601</v>
      </c>
      <c r="Q997" s="28" t="s">
        <v>2017</v>
      </c>
      <c r="R997" s="38">
        <v>52.085743204163997</v>
      </c>
      <c r="S997" s="29">
        <v>1976</v>
      </c>
      <c r="T997" s="32">
        <v>30.737777777777001</v>
      </c>
      <c r="U997" s="32">
        <v>0</v>
      </c>
      <c r="V997" s="38">
        <v>52.085743204163997</v>
      </c>
      <c r="W997" s="39">
        <v>46139</v>
      </c>
      <c r="X997" s="39">
        <v>46139</v>
      </c>
    </row>
    <row r="998" spans="1:24" ht="15.75" thickBot="1" x14ac:dyDescent="0.3">
      <c r="A998" t="str">
        <f t="shared" si="15"/>
        <v>85686517</v>
      </c>
      <c r="B998" s="22" t="s">
        <v>798</v>
      </c>
      <c r="C998" s="22" t="s">
        <v>4968</v>
      </c>
      <c r="D998" s="22" t="s">
        <v>4969</v>
      </c>
      <c r="E998" s="22" t="s">
        <v>4970</v>
      </c>
      <c r="F998" s="22" t="s">
        <v>4971</v>
      </c>
      <c r="G998" s="28" t="s">
        <v>2012</v>
      </c>
      <c r="H998" s="22" t="s">
        <v>2027</v>
      </c>
      <c r="I998" s="21"/>
      <c r="J998" s="22" t="s">
        <v>404</v>
      </c>
      <c r="K998" s="22" t="s">
        <v>262</v>
      </c>
      <c r="L998" s="21"/>
      <c r="M998" s="22" t="s">
        <v>2014</v>
      </c>
      <c r="N998" s="28" t="s">
        <v>2015</v>
      </c>
      <c r="O998" s="28" t="s">
        <v>2016</v>
      </c>
      <c r="P998" s="29">
        <v>560</v>
      </c>
      <c r="Q998" s="28" t="s">
        <v>2017</v>
      </c>
      <c r="R998" s="38">
        <v>50</v>
      </c>
      <c r="S998" s="29">
        <v>720</v>
      </c>
      <c r="T998" s="32">
        <v>11.2</v>
      </c>
      <c r="U998" s="32">
        <v>0</v>
      </c>
      <c r="V998" s="38">
        <v>50</v>
      </c>
      <c r="W998" s="36">
        <v>46137</v>
      </c>
      <c r="X998" s="36">
        <v>46139</v>
      </c>
    </row>
    <row r="999" spans="1:24" ht="15.75" thickBot="1" x14ac:dyDescent="0.3">
      <c r="A999" t="str">
        <f t="shared" si="15"/>
        <v>85701332</v>
      </c>
      <c r="B999" s="22" t="s">
        <v>426</v>
      </c>
      <c r="C999" s="22" t="s">
        <v>4972</v>
      </c>
      <c r="D999" s="22" t="s">
        <v>427</v>
      </c>
      <c r="E999" s="22" t="s">
        <v>4973</v>
      </c>
      <c r="F999" s="22" t="s">
        <v>4270</v>
      </c>
      <c r="G999" s="28" t="s">
        <v>2012</v>
      </c>
      <c r="H999" s="22" t="s">
        <v>2027</v>
      </c>
      <c r="I999" s="21"/>
      <c r="J999" s="22" t="s">
        <v>404</v>
      </c>
      <c r="K999" s="22" t="s">
        <v>262</v>
      </c>
      <c r="L999" s="21"/>
      <c r="M999" s="22" t="s">
        <v>2014</v>
      </c>
      <c r="N999" s="28" t="s">
        <v>2015</v>
      </c>
      <c r="O999" s="28" t="s">
        <v>2016</v>
      </c>
      <c r="P999" s="29">
        <v>572</v>
      </c>
      <c r="Q999" s="28" t="s">
        <v>2017</v>
      </c>
      <c r="R999" s="38">
        <v>51.937046004842003</v>
      </c>
      <c r="S999" s="29">
        <v>708</v>
      </c>
      <c r="T999" s="32">
        <v>11.013333333333</v>
      </c>
      <c r="U999" s="32">
        <v>0</v>
      </c>
      <c r="V999" s="38">
        <v>51.937046004842003</v>
      </c>
      <c r="W999" s="39">
        <v>46138</v>
      </c>
      <c r="X999" s="39">
        <v>46139</v>
      </c>
    </row>
    <row r="1000" spans="1:24" ht="15.75" thickBot="1" x14ac:dyDescent="0.3">
      <c r="A1000" t="str">
        <f t="shared" si="15"/>
        <v>ASY85132701</v>
      </c>
      <c r="B1000" s="22" t="s">
        <v>462</v>
      </c>
      <c r="C1000" s="22" t="s">
        <v>4218</v>
      </c>
      <c r="D1000" s="22" t="s">
        <v>4219</v>
      </c>
      <c r="E1000" s="21"/>
      <c r="F1000" s="22" t="s">
        <v>4220</v>
      </c>
      <c r="G1000" s="28" t="s">
        <v>2012</v>
      </c>
      <c r="H1000" s="22" t="s">
        <v>2027</v>
      </c>
      <c r="I1000" s="21"/>
      <c r="J1000" s="22" t="s">
        <v>404</v>
      </c>
      <c r="K1000" s="22" t="s">
        <v>262</v>
      </c>
      <c r="L1000" s="21"/>
      <c r="M1000" s="22" t="s">
        <v>2034</v>
      </c>
      <c r="N1000" s="28" t="s">
        <v>2015</v>
      </c>
      <c r="O1000" s="28" t="s">
        <v>2016</v>
      </c>
      <c r="P1000" s="29">
        <v>1324</v>
      </c>
      <c r="Q1000" s="28" t="s">
        <v>2017</v>
      </c>
      <c r="R1000" s="38">
        <v>52.249408050512997</v>
      </c>
      <c r="S1000" s="29">
        <v>1629</v>
      </c>
      <c r="T1000" s="32">
        <v>25.34</v>
      </c>
      <c r="U1000" s="32">
        <v>0</v>
      </c>
      <c r="V1000" s="38">
        <v>52.249408050512997</v>
      </c>
      <c r="W1000" s="39">
        <v>46139</v>
      </c>
      <c r="X1000" s="39">
        <v>46139</v>
      </c>
    </row>
    <row r="1001" spans="1:24" ht="15.75" thickBot="1" x14ac:dyDescent="0.3">
      <c r="A1001" t="str">
        <f t="shared" si="15"/>
        <v>C0240901</v>
      </c>
      <c r="B1001" s="22" t="s">
        <v>1348</v>
      </c>
      <c r="C1001" s="22" t="s">
        <v>4974</v>
      </c>
      <c r="D1001" s="22" t="s">
        <v>4975</v>
      </c>
      <c r="E1001" s="22" t="s">
        <v>4976</v>
      </c>
      <c r="F1001" s="22" t="s">
        <v>2139</v>
      </c>
      <c r="G1001" s="28" t="s">
        <v>2012</v>
      </c>
      <c r="H1001" s="22" t="s">
        <v>2140</v>
      </c>
      <c r="I1001" s="21"/>
      <c r="J1001" s="22" t="s">
        <v>404</v>
      </c>
      <c r="K1001" s="22" t="s">
        <v>924</v>
      </c>
      <c r="L1001" s="21"/>
      <c r="M1001" s="22" t="s">
        <v>2014</v>
      </c>
      <c r="N1001" s="28" t="s">
        <v>2015</v>
      </c>
      <c r="O1001" s="28" t="s">
        <v>2016</v>
      </c>
      <c r="P1001" s="29">
        <v>5468</v>
      </c>
      <c r="Q1001" s="28" t="s">
        <v>2017</v>
      </c>
      <c r="R1001" s="38">
        <v>50.216326530612001</v>
      </c>
      <c r="S1001" s="29">
        <v>7000</v>
      </c>
      <c r="T1001" s="32">
        <v>108.888888888889</v>
      </c>
      <c r="U1001" s="32">
        <v>0</v>
      </c>
      <c r="V1001" s="38">
        <v>50.216326530612001</v>
      </c>
      <c r="W1001" s="39">
        <v>46137</v>
      </c>
      <c r="X1001" s="39">
        <v>46139</v>
      </c>
    </row>
    <row r="1002" spans="1:24" ht="15.75" thickBot="1" x14ac:dyDescent="0.3">
      <c r="A1002" t="str">
        <f t="shared" si="15"/>
        <v>KB3B 21291A34 AD</v>
      </c>
      <c r="B1002" s="22" t="s">
        <v>593</v>
      </c>
      <c r="C1002" s="22" t="s">
        <v>4977</v>
      </c>
      <c r="D1002" s="22" t="s">
        <v>2639</v>
      </c>
      <c r="E1002" s="21"/>
      <c r="F1002" s="22" t="s">
        <v>4978</v>
      </c>
      <c r="G1002" s="28" t="s">
        <v>2012</v>
      </c>
      <c r="H1002" s="22" t="s">
        <v>2080</v>
      </c>
      <c r="I1002" s="21"/>
      <c r="J1002" s="22" t="s">
        <v>494</v>
      </c>
      <c r="K1002" s="22" t="s">
        <v>262</v>
      </c>
      <c r="L1002" s="22" t="s">
        <v>2641</v>
      </c>
      <c r="M1002" s="22" t="s">
        <v>2014</v>
      </c>
      <c r="N1002" s="28" t="s">
        <v>2015</v>
      </c>
      <c r="O1002" s="28" t="s">
        <v>2016</v>
      </c>
      <c r="P1002" s="29">
        <v>84</v>
      </c>
      <c r="Q1002" s="28" t="s">
        <v>2017</v>
      </c>
      <c r="R1002" s="38">
        <v>52.941176470587997</v>
      </c>
      <c r="S1002" s="29">
        <v>102</v>
      </c>
      <c r="T1002" s="32">
        <v>1.5866666666660001</v>
      </c>
      <c r="U1002" s="32">
        <v>0</v>
      </c>
      <c r="V1002" s="38">
        <v>52.941176470587997</v>
      </c>
      <c r="W1002" s="39">
        <v>46139</v>
      </c>
      <c r="X1002" s="39">
        <v>46139</v>
      </c>
    </row>
    <row r="1003" spans="1:24" ht="15.75" thickBot="1" x14ac:dyDescent="0.3">
      <c r="A1003" t="str">
        <f t="shared" si="15"/>
        <v>PCP14E072EF</v>
      </c>
      <c r="B1003" s="22" t="s">
        <v>4979</v>
      </c>
      <c r="C1003" s="22" t="s">
        <v>4980</v>
      </c>
      <c r="D1003" s="22" t="s">
        <v>4981</v>
      </c>
      <c r="E1003" s="21"/>
      <c r="F1003" s="22" t="s">
        <v>2030</v>
      </c>
      <c r="G1003" s="28" t="s">
        <v>2012</v>
      </c>
      <c r="H1003" s="22" t="s">
        <v>4788</v>
      </c>
      <c r="I1003" s="22" t="s">
        <v>4789</v>
      </c>
      <c r="J1003" s="22" t="s">
        <v>261</v>
      </c>
      <c r="K1003" s="22" t="s">
        <v>262</v>
      </c>
      <c r="L1003" s="22" t="s">
        <v>4790</v>
      </c>
      <c r="M1003" s="22" t="s">
        <v>2130</v>
      </c>
      <c r="N1003" s="28" t="s">
        <v>2494</v>
      </c>
      <c r="O1003" s="28" t="s">
        <v>2016</v>
      </c>
      <c r="P1003" s="29">
        <v>2050</v>
      </c>
      <c r="Q1003" s="28" t="s">
        <v>2017</v>
      </c>
      <c r="R1003" s="38">
        <v>51.079734219269</v>
      </c>
      <c r="S1003" s="29">
        <v>2580</v>
      </c>
      <c r="T1003" s="32">
        <v>40.133333333332999</v>
      </c>
      <c r="U1003" s="32">
        <v>0</v>
      </c>
      <c r="V1003" s="38">
        <v>51.079734219269</v>
      </c>
      <c r="W1003" s="39">
        <v>46138</v>
      </c>
      <c r="X1003" s="39">
        <v>46139</v>
      </c>
    </row>
    <row r="1004" spans="1:24" ht="15.75" thickBot="1" x14ac:dyDescent="0.3">
      <c r="A1004" t="str">
        <f t="shared" si="15"/>
        <v>PCPGM85664837</v>
      </c>
      <c r="B1004" s="22" t="s">
        <v>4982</v>
      </c>
      <c r="C1004" s="22" t="s">
        <v>4983</v>
      </c>
      <c r="D1004" s="22" t="s">
        <v>4984</v>
      </c>
      <c r="E1004" s="21"/>
      <c r="F1004" s="22" t="s">
        <v>2030</v>
      </c>
      <c r="G1004" s="28" t="s">
        <v>2012</v>
      </c>
      <c r="H1004" s="22" t="s">
        <v>4853</v>
      </c>
      <c r="I1004" s="22" t="s">
        <v>4854</v>
      </c>
      <c r="J1004" s="22" t="s">
        <v>404</v>
      </c>
      <c r="K1004" s="22" t="s">
        <v>262</v>
      </c>
      <c r="L1004" s="22" t="s">
        <v>3894</v>
      </c>
      <c r="M1004" s="22" t="s">
        <v>4055</v>
      </c>
      <c r="N1004" s="28" t="s">
        <v>2494</v>
      </c>
      <c r="O1004" s="28" t="s">
        <v>2016</v>
      </c>
      <c r="P1004" s="29">
        <v>1463</v>
      </c>
      <c r="Q1004" s="28" t="s">
        <v>2017</v>
      </c>
      <c r="R1004" s="38">
        <v>50.026595744680002</v>
      </c>
      <c r="S1004" s="29">
        <v>1880</v>
      </c>
      <c r="T1004" s="32">
        <v>29.244444444443999</v>
      </c>
      <c r="U1004" s="32">
        <v>0</v>
      </c>
      <c r="V1004" s="38">
        <v>50.026595744680002</v>
      </c>
      <c r="W1004" s="39">
        <v>46137</v>
      </c>
      <c r="X1004" s="39">
        <v>46139</v>
      </c>
    </row>
    <row r="1005" spans="1:24" ht="15.75" thickBot="1" x14ac:dyDescent="0.3">
      <c r="A1005" t="str">
        <f t="shared" si="15"/>
        <v>PCPGMBEJ09293</v>
      </c>
      <c r="B1005" s="22" t="s">
        <v>4985</v>
      </c>
      <c r="C1005" s="21"/>
      <c r="D1005" s="22" t="s">
        <v>4986</v>
      </c>
      <c r="E1005" s="21"/>
      <c r="F1005" s="22" t="s">
        <v>2030</v>
      </c>
      <c r="G1005" s="28" t="s">
        <v>2012</v>
      </c>
      <c r="H1005" s="22" t="s">
        <v>3897</v>
      </c>
      <c r="I1005" s="22" t="s">
        <v>3898</v>
      </c>
      <c r="J1005" s="22" t="s">
        <v>404</v>
      </c>
      <c r="K1005" s="22" t="s">
        <v>262</v>
      </c>
      <c r="L1005" s="22" t="s">
        <v>4987</v>
      </c>
      <c r="M1005" s="22" t="s">
        <v>2130</v>
      </c>
      <c r="N1005" s="28" t="s">
        <v>2494</v>
      </c>
      <c r="O1005" s="28" t="s">
        <v>2016</v>
      </c>
      <c r="P1005" s="29">
        <v>377</v>
      </c>
      <c r="Q1005" s="28" t="s">
        <v>2017</v>
      </c>
      <c r="R1005" s="38">
        <v>50.702331141660999</v>
      </c>
      <c r="S1005" s="29">
        <v>478</v>
      </c>
      <c r="T1005" s="32">
        <v>7.4355555555550001</v>
      </c>
      <c r="U1005" s="32">
        <v>0</v>
      </c>
      <c r="V1005" s="38">
        <v>50.702331141660999</v>
      </c>
      <c r="W1005" s="39">
        <v>46137</v>
      </c>
      <c r="X1005" s="39">
        <v>46139</v>
      </c>
    </row>
    <row r="1006" spans="1:24" ht="15.75" thickBot="1" x14ac:dyDescent="0.3">
      <c r="A1006" t="str">
        <f t="shared" si="15"/>
        <v>PCSW720534S300</v>
      </c>
      <c r="B1006" s="22" t="s">
        <v>4988</v>
      </c>
      <c r="C1006" s="21"/>
      <c r="D1006" s="22" t="s">
        <v>4989</v>
      </c>
      <c r="E1006" s="22" t="s">
        <v>3357</v>
      </c>
      <c r="F1006" s="22" t="s">
        <v>2030</v>
      </c>
      <c r="G1006" s="28" t="s">
        <v>2012</v>
      </c>
      <c r="H1006" s="22" t="s">
        <v>3927</v>
      </c>
      <c r="I1006" s="22" t="s">
        <v>3928</v>
      </c>
      <c r="J1006" s="22" t="s">
        <v>364</v>
      </c>
      <c r="K1006" s="22" t="s">
        <v>924</v>
      </c>
      <c r="L1006" s="22" t="s">
        <v>2964</v>
      </c>
      <c r="M1006" s="22" t="s">
        <v>2830</v>
      </c>
      <c r="N1006" s="28" t="s">
        <v>2494</v>
      </c>
      <c r="O1006" s="28" t="s">
        <v>2016</v>
      </c>
      <c r="P1006" s="29">
        <v>13944</v>
      </c>
      <c r="Q1006" s="28" t="s">
        <v>2017</v>
      </c>
      <c r="R1006" s="38">
        <v>51.875</v>
      </c>
      <c r="S1006" s="29">
        <v>17280</v>
      </c>
      <c r="T1006" s="32">
        <v>268.8</v>
      </c>
      <c r="U1006" s="32">
        <v>0</v>
      </c>
      <c r="V1006" s="38">
        <v>51.875</v>
      </c>
      <c r="W1006" s="39">
        <v>46138</v>
      </c>
      <c r="X1006" s="39">
        <v>46139</v>
      </c>
    </row>
    <row r="1007" spans="1:24" ht="15.75" thickBot="1" x14ac:dyDescent="0.3">
      <c r="A1007" t="str">
        <f t="shared" si="15"/>
        <v>RMPADX1056</v>
      </c>
      <c r="B1007" s="22" t="s">
        <v>4990</v>
      </c>
      <c r="C1007" s="22" t="s">
        <v>4991</v>
      </c>
      <c r="D1007" s="22" t="s">
        <v>4992</v>
      </c>
      <c r="E1007" s="22" t="s">
        <v>4993</v>
      </c>
      <c r="F1007" s="22" t="s">
        <v>2030</v>
      </c>
      <c r="G1007" s="28" t="s">
        <v>2012</v>
      </c>
      <c r="H1007" s="22" t="s">
        <v>3745</v>
      </c>
      <c r="I1007" s="22" t="s">
        <v>3746</v>
      </c>
      <c r="J1007" s="22" t="s">
        <v>404</v>
      </c>
      <c r="K1007" s="22" t="s">
        <v>262</v>
      </c>
      <c r="L1007" s="22" t="s">
        <v>2711</v>
      </c>
      <c r="M1007" s="22" t="s">
        <v>2523</v>
      </c>
      <c r="N1007" s="28" t="s">
        <v>2494</v>
      </c>
      <c r="O1007" s="28" t="s">
        <v>2016</v>
      </c>
      <c r="P1007" s="29">
        <v>2517.27</v>
      </c>
      <c r="Q1007" s="28" t="s">
        <v>1164</v>
      </c>
      <c r="R1007" s="38">
        <v>52.402610019104998</v>
      </c>
      <c r="S1007" s="34">
        <v>3088.1</v>
      </c>
      <c r="T1007" s="32">
        <v>48.037111111111003</v>
      </c>
      <c r="U1007" s="32">
        <v>0</v>
      </c>
      <c r="V1007" s="38">
        <v>52.402610019104998</v>
      </c>
      <c r="W1007" s="39">
        <v>46139</v>
      </c>
      <c r="X1007" s="39">
        <v>46139</v>
      </c>
    </row>
    <row r="1008" spans="1:24" ht="15.75" thickBot="1" x14ac:dyDescent="0.3">
      <c r="A1008" t="str">
        <f t="shared" si="15"/>
        <v>RMS26605A40RLA</v>
      </c>
      <c r="B1008" s="22" t="s">
        <v>4994</v>
      </c>
      <c r="C1008" s="22" t="s">
        <v>4995</v>
      </c>
      <c r="D1008" s="22" t="s">
        <v>4996</v>
      </c>
      <c r="E1008" s="22" t="s">
        <v>2527</v>
      </c>
      <c r="F1008" s="22" t="s">
        <v>3965</v>
      </c>
      <c r="G1008" s="28" t="s">
        <v>2012</v>
      </c>
      <c r="H1008" s="22" t="s">
        <v>2529</v>
      </c>
      <c r="I1008" s="22" t="s">
        <v>2530</v>
      </c>
      <c r="J1008" s="22" t="s">
        <v>261</v>
      </c>
      <c r="K1008" s="22" t="s">
        <v>924</v>
      </c>
      <c r="L1008" s="22" t="s">
        <v>2531</v>
      </c>
      <c r="M1008" s="22" t="s">
        <v>2532</v>
      </c>
      <c r="N1008" s="28" t="s">
        <v>2494</v>
      </c>
      <c r="O1008" s="28" t="s">
        <v>2016</v>
      </c>
      <c r="P1008" s="29">
        <v>20290.036</v>
      </c>
      <c r="Q1008" s="28" t="s">
        <v>1164</v>
      </c>
      <c r="R1008" s="38">
        <v>51.855858858262998</v>
      </c>
      <c r="S1008" s="34">
        <v>25153.56</v>
      </c>
      <c r="T1008" s="32">
        <v>391.27760000000001</v>
      </c>
      <c r="U1008" s="32">
        <v>0</v>
      </c>
      <c r="V1008" s="38">
        <v>51.855858858262998</v>
      </c>
      <c r="W1008" s="39">
        <v>46138</v>
      </c>
      <c r="X1008" s="39">
        <v>46139</v>
      </c>
    </row>
    <row r="1009" spans="1:24" ht="15.75" thickBot="1" x14ac:dyDescent="0.3">
      <c r="A1009" t="str">
        <f t="shared" si="15"/>
        <v>RMSBRS200B38PIA01</v>
      </c>
      <c r="B1009" s="22" t="s">
        <v>4997</v>
      </c>
      <c r="C1009" s="22" t="s">
        <v>4998</v>
      </c>
      <c r="D1009" s="22" t="s">
        <v>4999</v>
      </c>
      <c r="E1009" s="22" t="s">
        <v>3132</v>
      </c>
      <c r="F1009" s="22" t="s">
        <v>4209</v>
      </c>
      <c r="G1009" s="28" t="s">
        <v>2012</v>
      </c>
      <c r="H1009" s="22" t="s">
        <v>3652</v>
      </c>
      <c r="I1009" s="22" t="s">
        <v>3653</v>
      </c>
      <c r="J1009" s="22" t="s">
        <v>364</v>
      </c>
      <c r="K1009" s="22" t="s">
        <v>924</v>
      </c>
      <c r="L1009" s="22" t="s">
        <v>3136</v>
      </c>
      <c r="M1009" s="22" t="s">
        <v>2532</v>
      </c>
      <c r="N1009" s="28" t="s">
        <v>2494</v>
      </c>
      <c r="O1009" s="28" t="s">
        <v>2016</v>
      </c>
      <c r="P1009" s="29">
        <v>44253.453699999998</v>
      </c>
      <c r="Q1009" s="28" t="s">
        <v>1164</v>
      </c>
      <c r="R1009" s="38">
        <v>52.423245672759997</v>
      </c>
      <c r="S1009" s="34">
        <v>54267.2405</v>
      </c>
      <c r="T1009" s="32">
        <v>844.15707444444399</v>
      </c>
      <c r="U1009" s="32">
        <v>0</v>
      </c>
      <c r="V1009" s="38">
        <v>52.423245672759997</v>
      </c>
      <c r="W1009" s="39">
        <v>46139</v>
      </c>
      <c r="X1009" s="39">
        <v>46139</v>
      </c>
    </row>
    <row r="1010" spans="1:24" ht="15.75" thickBot="1" x14ac:dyDescent="0.3">
      <c r="A1010" t="str">
        <f t="shared" si="15"/>
        <v>RMSWL68430462/3</v>
      </c>
      <c r="B1010" s="22" t="s">
        <v>5000</v>
      </c>
      <c r="C1010" s="22" t="s">
        <v>5001</v>
      </c>
      <c r="D1010" s="22" t="s">
        <v>5002</v>
      </c>
      <c r="E1010" s="22" t="s">
        <v>2527</v>
      </c>
      <c r="F1010" s="22" t="s">
        <v>4861</v>
      </c>
      <c r="G1010" s="28" t="s">
        <v>2012</v>
      </c>
      <c r="H1010" s="22" t="s">
        <v>3758</v>
      </c>
      <c r="I1010" s="22" t="s">
        <v>3759</v>
      </c>
      <c r="J1010" s="22" t="s">
        <v>1117</v>
      </c>
      <c r="K1010" s="22" t="s">
        <v>924</v>
      </c>
      <c r="L1010" s="22" t="s">
        <v>2531</v>
      </c>
      <c r="M1010" s="22" t="s">
        <v>2532</v>
      </c>
      <c r="N1010" s="28" t="s">
        <v>2494</v>
      </c>
      <c r="O1010" s="28" t="s">
        <v>2016</v>
      </c>
      <c r="P1010" s="29">
        <v>44846.55</v>
      </c>
      <c r="Q1010" s="28" t="s">
        <v>1164</v>
      </c>
      <c r="R1010" s="38">
        <v>52.186602616179002</v>
      </c>
      <c r="S1010" s="34">
        <v>55243.92</v>
      </c>
      <c r="T1010" s="32">
        <v>859.34986666666703</v>
      </c>
      <c r="U1010" s="32">
        <v>0</v>
      </c>
      <c r="V1010" s="38">
        <v>52.186602616179002</v>
      </c>
      <c r="W1010" s="39">
        <v>46139</v>
      </c>
      <c r="X1010" s="39">
        <v>46139</v>
      </c>
    </row>
    <row r="1011" spans="1:24" ht="15.75" thickBot="1" x14ac:dyDescent="0.3">
      <c r="A1011" t="str">
        <f t="shared" si="15"/>
        <v>DET6X37PIA1AB</v>
      </c>
      <c r="B1011" s="22" t="s">
        <v>1464</v>
      </c>
      <c r="C1011" s="22" t="s">
        <v>5003</v>
      </c>
      <c r="D1011" s="22" t="s">
        <v>5004</v>
      </c>
      <c r="E1011" s="21"/>
      <c r="F1011" s="22" t="s">
        <v>5005</v>
      </c>
      <c r="G1011" s="28" t="s">
        <v>2012</v>
      </c>
      <c r="H1011" s="22" t="s">
        <v>5006</v>
      </c>
      <c r="I1011" s="21"/>
      <c r="J1011" s="22" t="s">
        <v>1164</v>
      </c>
      <c r="K1011" s="22" t="s">
        <v>924</v>
      </c>
      <c r="L1011" s="21"/>
      <c r="M1011" s="22" t="s">
        <v>2034</v>
      </c>
      <c r="N1011" s="28" t="s">
        <v>2015</v>
      </c>
      <c r="O1011" s="28" t="s">
        <v>2016</v>
      </c>
      <c r="P1011" s="29">
        <v>9429</v>
      </c>
      <c r="Q1011" s="28" t="s">
        <v>2017</v>
      </c>
      <c r="R1011" s="38">
        <v>53.129108598473998</v>
      </c>
      <c r="S1011" s="29">
        <v>11409</v>
      </c>
      <c r="T1011" s="32">
        <v>177.47333333333299</v>
      </c>
      <c r="U1011" s="32">
        <v>0</v>
      </c>
      <c r="V1011" s="38">
        <v>53.129108598473998</v>
      </c>
      <c r="W1011" s="39">
        <v>46140</v>
      </c>
      <c r="X1011" s="39">
        <v>46140</v>
      </c>
    </row>
    <row r="1012" spans="1:24" ht="15.75" thickBot="1" x14ac:dyDescent="0.3">
      <c r="A1012" t="str">
        <f t="shared" si="15"/>
        <v>DET16152B</v>
      </c>
      <c r="B1012" s="22" t="s">
        <v>1391</v>
      </c>
      <c r="C1012" s="22" t="s">
        <v>2929</v>
      </c>
      <c r="D1012" s="22" t="s">
        <v>4169</v>
      </c>
      <c r="E1012" s="21"/>
      <c r="F1012" s="22" t="s">
        <v>5007</v>
      </c>
      <c r="G1012" s="28" t="s">
        <v>2012</v>
      </c>
      <c r="H1012" s="22" t="s">
        <v>2013</v>
      </c>
      <c r="I1012" s="21"/>
      <c r="J1012" s="22" t="s">
        <v>261</v>
      </c>
      <c r="K1012" s="22" t="s">
        <v>924</v>
      </c>
      <c r="L1012" s="21"/>
      <c r="M1012" s="22" t="s">
        <v>2034</v>
      </c>
      <c r="N1012" s="28" t="s">
        <v>2015</v>
      </c>
      <c r="O1012" s="28" t="s">
        <v>2016</v>
      </c>
      <c r="P1012" s="29">
        <v>13866</v>
      </c>
      <c r="Q1012" s="28" t="s">
        <v>2017</v>
      </c>
      <c r="R1012" s="38">
        <v>54.194170372428999</v>
      </c>
      <c r="S1012" s="29">
        <v>16448</v>
      </c>
      <c r="T1012" s="32">
        <v>255.85777777777801</v>
      </c>
      <c r="U1012" s="32">
        <v>0</v>
      </c>
      <c r="V1012" s="38">
        <v>54.194170372428999</v>
      </c>
      <c r="W1012" s="39">
        <v>46141</v>
      </c>
      <c r="X1012" s="39">
        <v>46141</v>
      </c>
    </row>
    <row r="1013" spans="1:24" ht="15.75" thickBot="1" x14ac:dyDescent="0.3">
      <c r="A1013" t="str">
        <f t="shared" si="15"/>
        <v>DET26106A58A</v>
      </c>
      <c r="B1013" s="22" t="s">
        <v>1424</v>
      </c>
      <c r="C1013" s="22" t="s">
        <v>2161</v>
      </c>
      <c r="D1013" s="22" t="s">
        <v>5008</v>
      </c>
      <c r="E1013" s="22" t="s">
        <v>5009</v>
      </c>
      <c r="F1013" s="22" t="s">
        <v>5010</v>
      </c>
      <c r="G1013" s="28" t="s">
        <v>2012</v>
      </c>
      <c r="H1013" s="22" t="s">
        <v>2080</v>
      </c>
      <c r="I1013" s="21"/>
      <c r="J1013" s="22" t="s">
        <v>494</v>
      </c>
      <c r="K1013" s="22" t="s">
        <v>924</v>
      </c>
      <c r="L1013" s="21"/>
      <c r="M1013" s="22" t="s">
        <v>2034</v>
      </c>
      <c r="N1013" s="28" t="s">
        <v>2015</v>
      </c>
      <c r="O1013" s="28" t="s">
        <v>2016</v>
      </c>
      <c r="P1013" s="29">
        <v>14861</v>
      </c>
      <c r="Q1013" s="28" t="s">
        <v>2017</v>
      </c>
      <c r="R1013" s="38">
        <v>54.485570890840002</v>
      </c>
      <c r="S1013" s="29">
        <v>17534</v>
      </c>
      <c r="T1013" s="32">
        <v>272.75111111111102</v>
      </c>
      <c r="U1013" s="32">
        <v>0</v>
      </c>
      <c r="V1013" s="38">
        <v>54.485570890840002</v>
      </c>
      <c r="W1013" s="39">
        <v>46141</v>
      </c>
      <c r="X1013" s="39">
        <v>46141</v>
      </c>
    </row>
    <row r="1014" spans="1:24" ht="15.75" thickBot="1" x14ac:dyDescent="0.3">
      <c r="A1014" t="str">
        <f t="shared" si="15"/>
        <v>REPACK21016C02AA</v>
      </c>
      <c r="B1014" s="22" t="s">
        <v>1566</v>
      </c>
      <c r="C1014" s="22" t="s">
        <v>5011</v>
      </c>
      <c r="D1014" s="22" t="s">
        <v>5012</v>
      </c>
      <c r="E1014" s="22" t="s">
        <v>5013</v>
      </c>
      <c r="F1014" s="22" t="s">
        <v>5014</v>
      </c>
      <c r="G1014" s="28" t="s">
        <v>2012</v>
      </c>
      <c r="H1014" s="22" t="s">
        <v>2080</v>
      </c>
      <c r="I1014" s="21"/>
      <c r="J1014" s="22" t="s">
        <v>494</v>
      </c>
      <c r="K1014" s="22" t="s">
        <v>924</v>
      </c>
      <c r="L1014" s="21"/>
      <c r="M1014" s="22" t="s">
        <v>2034</v>
      </c>
      <c r="N1014" s="28" t="s">
        <v>2015</v>
      </c>
      <c r="O1014" s="28" t="s">
        <v>2016</v>
      </c>
      <c r="P1014" s="29">
        <v>26914</v>
      </c>
      <c r="Q1014" s="28" t="s">
        <v>2017</v>
      </c>
      <c r="R1014" s="38">
        <v>54.614448051948003</v>
      </c>
      <c r="S1014" s="29">
        <v>31680</v>
      </c>
      <c r="T1014" s="32">
        <v>492.8</v>
      </c>
      <c r="U1014" s="32">
        <v>0</v>
      </c>
      <c r="V1014" s="38">
        <v>54.614448051948003</v>
      </c>
      <c r="W1014" s="39">
        <v>46141</v>
      </c>
      <c r="X1014" s="39">
        <v>46141</v>
      </c>
    </row>
    <row r="1015" spans="1:24" ht="15.75" thickBot="1" x14ac:dyDescent="0.3">
      <c r="A1015" t="str">
        <f t="shared" si="15"/>
        <v>RMSE16386A</v>
      </c>
      <c r="B1015" s="22" t="s">
        <v>5015</v>
      </c>
      <c r="C1015" s="22" t="s">
        <v>5016</v>
      </c>
      <c r="D1015" s="22" t="s">
        <v>5017</v>
      </c>
      <c r="E1015" s="22" t="s">
        <v>2720</v>
      </c>
      <c r="F1015" s="22" t="s">
        <v>5018</v>
      </c>
      <c r="G1015" s="28" t="s">
        <v>2012</v>
      </c>
      <c r="H1015" s="22" t="s">
        <v>4549</v>
      </c>
      <c r="I1015" s="22" t="s">
        <v>4550</v>
      </c>
      <c r="J1015" s="22" t="s">
        <v>261</v>
      </c>
      <c r="K1015" s="22" t="s">
        <v>924</v>
      </c>
      <c r="L1015" s="22" t="s">
        <v>2531</v>
      </c>
      <c r="M1015" s="22" t="s">
        <v>2532</v>
      </c>
      <c r="N1015" s="28" t="s">
        <v>2494</v>
      </c>
      <c r="O1015" s="28" t="s">
        <v>2016</v>
      </c>
      <c r="P1015" s="29">
        <v>4890.74755</v>
      </c>
      <c r="Q1015" s="28" t="s">
        <v>1164</v>
      </c>
      <c r="R1015" s="38">
        <v>54.450538235337</v>
      </c>
      <c r="S1015" s="34">
        <v>5774.1431000000002</v>
      </c>
      <c r="T1015" s="32">
        <v>89.820003777777004</v>
      </c>
      <c r="U1015" s="32">
        <v>0</v>
      </c>
      <c r="V1015" s="38">
        <v>54.450538235337</v>
      </c>
      <c r="W1015" s="39">
        <v>46141</v>
      </c>
      <c r="X1015" s="39">
        <v>46141</v>
      </c>
    </row>
    <row r="1016" spans="1:24" ht="15.75" thickBot="1" x14ac:dyDescent="0.3">
      <c r="A1016" t="str">
        <f t="shared" si="15"/>
        <v>DET21403C62A</v>
      </c>
      <c r="B1016" s="22" t="s">
        <v>1521</v>
      </c>
      <c r="C1016" s="22" t="s">
        <v>2123</v>
      </c>
      <c r="D1016" s="22" t="s">
        <v>5019</v>
      </c>
      <c r="E1016" s="22" t="s">
        <v>5020</v>
      </c>
      <c r="F1016" s="22" t="s">
        <v>5021</v>
      </c>
      <c r="G1016" s="28" t="s">
        <v>2012</v>
      </c>
      <c r="H1016" s="22" t="s">
        <v>2080</v>
      </c>
      <c r="I1016" s="21"/>
      <c r="J1016" s="22" t="s">
        <v>494</v>
      </c>
      <c r="K1016" s="22" t="s">
        <v>924</v>
      </c>
      <c r="L1016" s="21"/>
      <c r="M1016" s="22" t="s">
        <v>2034</v>
      </c>
      <c r="N1016" s="28" t="s">
        <v>2015</v>
      </c>
      <c r="O1016" s="28" t="s">
        <v>2016</v>
      </c>
      <c r="P1016" s="29">
        <v>14502</v>
      </c>
      <c r="Q1016" s="28" t="s">
        <v>2017</v>
      </c>
      <c r="R1016" s="38">
        <v>55.07925254469</v>
      </c>
      <c r="S1016" s="29">
        <v>16926</v>
      </c>
      <c r="T1016" s="32">
        <v>263.29333333333301</v>
      </c>
      <c r="U1016" s="32">
        <v>0</v>
      </c>
      <c r="V1016" s="38">
        <v>55.07925254469</v>
      </c>
      <c r="W1016" s="39">
        <v>46142</v>
      </c>
      <c r="X1016" s="39">
        <v>46142</v>
      </c>
    </row>
    <row r="1017" spans="1:24" ht="15.75" thickBot="1" x14ac:dyDescent="0.3">
      <c r="A1017" t="str">
        <f t="shared" si="15"/>
        <v>RMSLB68648250AA</v>
      </c>
      <c r="B1017" s="22" t="s">
        <v>5022</v>
      </c>
      <c r="C1017" s="22" t="s">
        <v>5023</v>
      </c>
      <c r="D1017" s="22" t="s">
        <v>5024</v>
      </c>
      <c r="E1017" s="22" t="s">
        <v>3123</v>
      </c>
      <c r="F1017" s="22" t="s">
        <v>5025</v>
      </c>
      <c r="G1017" s="28" t="s">
        <v>2012</v>
      </c>
      <c r="H1017" s="22" t="s">
        <v>4090</v>
      </c>
      <c r="I1017" s="22" t="s">
        <v>4091</v>
      </c>
      <c r="J1017" s="22" t="s">
        <v>1117</v>
      </c>
      <c r="K1017" s="22" t="s">
        <v>924</v>
      </c>
      <c r="L1017" s="22" t="s">
        <v>2558</v>
      </c>
      <c r="M1017" s="22" t="s">
        <v>2532</v>
      </c>
      <c r="N1017" s="28" t="s">
        <v>2494</v>
      </c>
      <c r="O1017" s="28" t="s">
        <v>2016</v>
      </c>
      <c r="P1017" s="29">
        <v>41959.196000000004</v>
      </c>
      <c r="Q1017" s="28" t="s">
        <v>1164</v>
      </c>
      <c r="R1017" s="38">
        <v>55.351104452461001</v>
      </c>
      <c r="S1017" s="34">
        <v>48732.124000000003</v>
      </c>
      <c r="T1017" s="32">
        <v>758.05526222222204</v>
      </c>
      <c r="U1017" s="32">
        <v>0</v>
      </c>
      <c r="V1017" s="38">
        <v>55.351104452461001</v>
      </c>
      <c r="W1017" s="39">
        <v>46142</v>
      </c>
      <c r="X1017" s="39">
        <v>46142</v>
      </c>
    </row>
    <row r="1018" spans="1:24" ht="15.75" thickBot="1" x14ac:dyDescent="0.3">
      <c r="A1018" t="str">
        <f t="shared" si="15"/>
        <v>N1WB 16L560 DC</v>
      </c>
      <c r="B1018" s="22" t="s">
        <v>503</v>
      </c>
      <c r="C1018" s="22" t="s">
        <v>5026</v>
      </c>
      <c r="D1018" s="22" t="s">
        <v>4699</v>
      </c>
      <c r="E1018" s="21"/>
      <c r="F1018" s="22" t="s">
        <v>2030</v>
      </c>
      <c r="G1018" s="28" t="s">
        <v>2012</v>
      </c>
      <c r="H1018" s="22" t="s">
        <v>2080</v>
      </c>
      <c r="I1018" s="21"/>
      <c r="J1018" s="22" t="s">
        <v>261</v>
      </c>
      <c r="K1018" s="22" t="s">
        <v>262</v>
      </c>
      <c r="L1018" s="21"/>
      <c r="M1018" s="22" t="s">
        <v>2014</v>
      </c>
      <c r="N1018" s="28" t="s">
        <v>2015</v>
      </c>
      <c r="O1018" s="28" t="s">
        <v>2016</v>
      </c>
      <c r="P1018" s="29">
        <v>18</v>
      </c>
      <c r="Q1018" s="28" t="s">
        <v>2017</v>
      </c>
      <c r="R1018" s="38">
        <v>57.857142857142001</v>
      </c>
      <c r="S1018" s="29">
        <v>20</v>
      </c>
      <c r="T1018" s="32">
        <v>0.31111111111099998</v>
      </c>
      <c r="U1018" s="32">
        <v>0</v>
      </c>
      <c r="V1018" s="38">
        <v>57.857142857142001</v>
      </c>
      <c r="W1018" s="39">
        <v>46144</v>
      </c>
      <c r="X1018" s="39">
        <v>46146</v>
      </c>
    </row>
    <row r="1019" spans="1:24" ht="15.75" thickBot="1" x14ac:dyDescent="0.3">
      <c r="A1019" t="str">
        <f t="shared" si="15"/>
        <v>PCP14017E</v>
      </c>
      <c r="B1019" s="22" t="s">
        <v>5027</v>
      </c>
      <c r="C1019" s="21"/>
      <c r="D1019" s="22" t="s">
        <v>5028</v>
      </c>
      <c r="E1019" s="21"/>
      <c r="F1019" s="22" t="s">
        <v>2030</v>
      </c>
      <c r="G1019" s="28" t="s">
        <v>2012</v>
      </c>
      <c r="H1019" s="22" t="s">
        <v>5029</v>
      </c>
      <c r="I1019" s="22" t="s">
        <v>5030</v>
      </c>
      <c r="J1019" s="22" t="s">
        <v>261</v>
      </c>
      <c r="K1019" s="22" t="s">
        <v>262</v>
      </c>
      <c r="L1019" s="22" t="s">
        <v>3312</v>
      </c>
      <c r="M1019" s="22" t="s">
        <v>2130</v>
      </c>
      <c r="N1019" s="28" t="s">
        <v>2494</v>
      </c>
      <c r="O1019" s="28" t="s">
        <v>2016</v>
      </c>
      <c r="P1019" s="29">
        <v>15859</v>
      </c>
      <c r="Q1019" s="28" t="s">
        <v>2017</v>
      </c>
      <c r="R1019" s="38">
        <v>57.054515801507002</v>
      </c>
      <c r="S1019" s="29">
        <v>17869</v>
      </c>
      <c r="T1019" s="32">
        <v>277.96222222222201</v>
      </c>
      <c r="U1019" s="32">
        <v>0</v>
      </c>
      <c r="V1019" s="38">
        <v>57.054515801507002</v>
      </c>
      <c r="W1019" s="39">
        <v>46144</v>
      </c>
      <c r="X1019" s="39">
        <v>46146</v>
      </c>
    </row>
    <row r="1020" spans="1:24" ht="15.75" thickBot="1" x14ac:dyDescent="0.3">
      <c r="A1020" t="str">
        <f t="shared" si="15"/>
        <v>PCS06510817AAWL</v>
      </c>
      <c r="B1020" s="22" t="s">
        <v>5031</v>
      </c>
      <c r="C1020" s="22" t="s">
        <v>5032</v>
      </c>
      <c r="D1020" s="22" t="s">
        <v>2959</v>
      </c>
      <c r="E1020" s="22" t="s">
        <v>4645</v>
      </c>
      <c r="F1020" s="22" t="s">
        <v>2961</v>
      </c>
      <c r="G1020" s="28" t="s">
        <v>2012</v>
      </c>
      <c r="H1020" s="22" t="s">
        <v>2962</v>
      </c>
      <c r="I1020" s="22" t="s">
        <v>2963</v>
      </c>
      <c r="J1020" s="22" t="s">
        <v>1117</v>
      </c>
      <c r="K1020" s="22" t="s">
        <v>924</v>
      </c>
      <c r="L1020" s="22" t="s">
        <v>2964</v>
      </c>
      <c r="M1020" s="22" t="s">
        <v>2130</v>
      </c>
      <c r="N1020" s="28" t="s">
        <v>2494</v>
      </c>
      <c r="O1020" s="28" t="s">
        <v>2016</v>
      </c>
      <c r="P1020" s="29">
        <v>50138</v>
      </c>
      <c r="Q1020" s="28" t="s">
        <v>2017</v>
      </c>
      <c r="R1020" s="38">
        <v>59.904416742999999</v>
      </c>
      <c r="S1020" s="29">
        <v>53805</v>
      </c>
      <c r="T1020" s="32">
        <v>836.96666666666704</v>
      </c>
      <c r="U1020" s="32">
        <v>0</v>
      </c>
      <c r="V1020" s="38">
        <v>59.904416742999999</v>
      </c>
      <c r="W1020" s="39">
        <v>46146</v>
      </c>
      <c r="X1020" s="39">
        <v>46146</v>
      </c>
    </row>
    <row r="1021" spans="1:24" ht="15.75" thickBot="1" x14ac:dyDescent="0.3">
      <c r="A1021" t="str">
        <f t="shared" si="15"/>
        <v>PCSW520752S300</v>
      </c>
      <c r="B1021" s="22" t="s">
        <v>5033</v>
      </c>
      <c r="C1021" s="21"/>
      <c r="D1021" s="22" t="s">
        <v>2959</v>
      </c>
      <c r="E1021" s="22" t="s">
        <v>3357</v>
      </c>
      <c r="F1021" s="22" t="s">
        <v>2030</v>
      </c>
      <c r="G1021" s="28" t="s">
        <v>2012</v>
      </c>
      <c r="H1021" s="22" t="s">
        <v>3927</v>
      </c>
      <c r="I1021" s="22" t="s">
        <v>3928</v>
      </c>
      <c r="J1021" s="22" t="s">
        <v>261</v>
      </c>
      <c r="K1021" s="22" t="s">
        <v>924</v>
      </c>
      <c r="L1021" s="22" t="s">
        <v>2964</v>
      </c>
      <c r="M1021" s="22" t="s">
        <v>2130</v>
      </c>
      <c r="N1021" s="28" t="s">
        <v>2494</v>
      </c>
      <c r="O1021" s="28" t="s">
        <v>2016</v>
      </c>
      <c r="P1021" s="29">
        <v>23782</v>
      </c>
      <c r="Q1021" s="28" t="s">
        <v>2017</v>
      </c>
      <c r="R1021" s="38">
        <v>59.381762492924999</v>
      </c>
      <c r="S1021" s="29">
        <v>25746</v>
      </c>
      <c r="T1021" s="32">
        <v>400.493333333333</v>
      </c>
      <c r="U1021" s="32">
        <v>0</v>
      </c>
      <c r="V1021" s="38">
        <v>59.381762492924999</v>
      </c>
      <c r="W1021" s="39">
        <v>46146</v>
      </c>
      <c r="X1021" s="39">
        <v>46146</v>
      </c>
    </row>
    <row r="1022" spans="1:24" ht="15.75" thickBot="1" x14ac:dyDescent="0.3">
      <c r="A1022" t="str">
        <f t="shared" si="15"/>
        <v>PCSW702912S300</v>
      </c>
      <c r="B1022" s="22" t="s">
        <v>5034</v>
      </c>
      <c r="C1022" s="22" t="s">
        <v>5035</v>
      </c>
      <c r="D1022" s="22" t="s">
        <v>5036</v>
      </c>
      <c r="E1022" s="22" t="s">
        <v>3357</v>
      </c>
      <c r="F1022" s="22" t="s">
        <v>2030</v>
      </c>
      <c r="G1022" s="28" t="s">
        <v>2012</v>
      </c>
      <c r="H1022" s="22" t="s">
        <v>3351</v>
      </c>
      <c r="I1022" s="22" t="s">
        <v>3352</v>
      </c>
      <c r="J1022" s="22" t="s">
        <v>261</v>
      </c>
      <c r="K1022" s="22" t="s">
        <v>924</v>
      </c>
      <c r="L1022" s="22" t="s">
        <v>3353</v>
      </c>
      <c r="M1022" s="22" t="s">
        <v>2130</v>
      </c>
      <c r="N1022" s="28" t="s">
        <v>2494</v>
      </c>
      <c r="O1022" s="28" t="s">
        <v>2016</v>
      </c>
      <c r="P1022" s="29">
        <v>15613</v>
      </c>
      <c r="Q1022" s="28" t="s">
        <v>2017</v>
      </c>
      <c r="R1022" s="38">
        <v>57.242663233880002</v>
      </c>
      <c r="S1022" s="29">
        <v>17534</v>
      </c>
      <c r="T1022" s="32">
        <v>272.75111111111102</v>
      </c>
      <c r="U1022" s="32">
        <v>0</v>
      </c>
      <c r="V1022" s="38">
        <v>57.242663233880002</v>
      </c>
      <c r="W1022" s="39">
        <v>46144</v>
      </c>
      <c r="X1022" s="39">
        <v>46146</v>
      </c>
    </row>
    <row r="1023" spans="1:24" ht="15.75" thickBot="1" x14ac:dyDescent="0.3">
      <c r="A1023" t="str">
        <f t="shared" si="15"/>
        <v>PUR61103B44 A</v>
      </c>
      <c r="B1023" s="22" t="s">
        <v>1379</v>
      </c>
      <c r="C1023" s="22" t="s">
        <v>5037</v>
      </c>
      <c r="D1023" s="22" t="s">
        <v>5038</v>
      </c>
      <c r="E1023" s="22" t="s">
        <v>5039</v>
      </c>
      <c r="F1023" s="22" t="s">
        <v>2255</v>
      </c>
      <c r="G1023" s="28" t="s">
        <v>2012</v>
      </c>
      <c r="H1023" s="22" t="s">
        <v>3367</v>
      </c>
      <c r="I1023" s="21"/>
      <c r="J1023" s="22" t="s">
        <v>364</v>
      </c>
      <c r="K1023" s="22" t="s">
        <v>924</v>
      </c>
      <c r="L1023" s="21"/>
      <c r="M1023" s="22" t="s">
        <v>2014</v>
      </c>
      <c r="N1023" s="28" t="s">
        <v>2015</v>
      </c>
      <c r="O1023" s="28" t="s">
        <v>2016</v>
      </c>
      <c r="P1023" s="29">
        <v>1181</v>
      </c>
      <c r="Q1023" s="28" t="s">
        <v>2017</v>
      </c>
      <c r="R1023" s="38">
        <v>57.516233766233</v>
      </c>
      <c r="S1023" s="29">
        <v>1320</v>
      </c>
      <c r="T1023" s="32">
        <v>20.533333333333001</v>
      </c>
      <c r="U1023" s="32">
        <v>0</v>
      </c>
      <c r="V1023" s="38">
        <v>57.516233766233</v>
      </c>
      <c r="W1023" s="39">
        <v>46144</v>
      </c>
      <c r="X1023" s="39">
        <v>46146</v>
      </c>
    </row>
    <row r="1024" spans="1:24" ht="15.75" thickBot="1" x14ac:dyDescent="0.3">
      <c r="A1024" t="str">
        <f t="shared" si="15"/>
        <v>RMS2640342A</v>
      </c>
      <c r="B1024" s="22" t="s">
        <v>5040</v>
      </c>
      <c r="C1024" s="21"/>
      <c r="D1024" s="22" t="s">
        <v>5041</v>
      </c>
      <c r="E1024" s="22" t="s">
        <v>2527</v>
      </c>
      <c r="F1024" s="22" t="s">
        <v>5042</v>
      </c>
      <c r="G1024" s="28" t="s">
        <v>2012</v>
      </c>
      <c r="H1024" s="22" t="s">
        <v>2536</v>
      </c>
      <c r="I1024" s="22" t="s">
        <v>2537</v>
      </c>
      <c r="J1024" s="22" t="s">
        <v>261</v>
      </c>
      <c r="K1024" s="22" t="s">
        <v>924</v>
      </c>
      <c r="L1024" s="22" t="s">
        <v>2531</v>
      </c>
      <c r="M1024" s="22" t="s">
        <v>2532</v>
      </c>
      <c r="N1024" s="28" t="s">
        <v>2494</v>
      </c>
      <c r="O1024" s="28" t="s">
        <v>2016</v>
      </c>
      <c r="P1024" s="29">
        <v>4240</v>
      </c>
      <c r="Q1024" s="28" t="s">
        <v>1164</v>
      </c>
      <c r="R1024" s="38">
        <v>58.839596198777002</v>
      </c>
      <c r="S1024" s="34">
        <v>4632.4489999999996</v>
      </c>
      <c r="T1024" s="32">
        <v>72.060317777777001</v>
      </c>
      <c r="U1024" s="32">
        <v>0</v>
      </c>
      <c r="V1024" s="38">
        <v>58.839596198777002</v>
      </c>
      <c r="W1024" s="39">
        <v>46145</v>
      </c>
      <c r="X1024" s="39">
        <v>46146</v>
      </c>
    </row>
    <row r="1025" spans="1:24" ht="15.75" thickBot="1" x14ac:dyDescent="0.3">
      <c r="A1025" t="str">
        <f t="shared" si="15"/>
        <v>DET2540338A</v>
      </c>
      <c r="B1025" s="22" t="s">
        <v>1523</v>
      </c>
      <c r="C1025" s="22" t="s">
        <v>2123</v>
      </c>
      <c r="D1025" s="22" t="s">
        <v>5043</v>
      </c>
      <c r="E1025" s="22" t="s">
        <v>5044</v>
      </c>
      <c r="F1025" s="22" t="s">
        <v>5045</v>
      </c>
      <c r="G1025" s="28" t="s">
        <v>2012</v>
      </c>
      <c r="H1025" s="22" t="s">
        <v>2080</v>
      </c>
      <c r="I1025" s="21"/>
      <c r="J1025" s="22" t="s">
        <v>494</v>
      </c>
      <c r="K1025" s="22" t="s">
        <v>924</v>
      </c>
      <c r="L1025" s="21"/>
      <c r="M1025" s="22" t="s">
        <v>2034</v>
      </c>
      <c r="N1025" s="28" t="s">
        <v>2015</v>
      </c>
      <c r="O1025" s="28" t="s">
        <v>2016</v>
      </c>
      <c r="P1025" s="29">
        <v>16326</v>
      </c>
      <c r="Q1025" s="28" t="s">
        <v>2017</v>
      </c>
      <c r="R1025" s="38">
        <v>62.349466608956</v>
      </c>
      <c r="S1025" s="29">
        <v>16833</v>
      </c>
      <c r="T1025" s="32">
        <v>261.84666666666698</v>
      </c>
      <c r="U1025" s="32">
        <v>0</v>
      </c>
      <c r="V1025" s="38">
        <v>62.349466608956</v>
      </c>
      <c r="W1025" s="39">
        <v>46149</v>
      </c>
      <c r="X1025" s="39">
        <v>46149</v>
      </c>
    </row>
    <row r="1026" spans="1:24" ht="15.75" thickBot="1" x14ac:dyDescent="0.3">
      <c r="A1026" t="str">
        <f t="shared" si="15"/>
        <v>PCP26403A86APIA03</v>
      </c>
      <c r="B1026" s="22" t="s">
        <v>5046</v>
      </c>
      <c r="C1026" s="22" t="s">
        <v>5047</v>
      </c>
      <c r="D1026" s="22" t="s">
        <v>5048</v>
      </c>
      <c r="E1026" s="21"/>
      <c r="F1026" s="22" t="s">
        <v>2030</v>
      </c>
      <c r="G1026" s="28" t="s">
        <v>2012</v>
      </c>
      <c r="H1026" s="22" t="s">
        <v>3856</v>
      </c>
      <c r="I1026" s="22" t="s">
        <v>3857</v>
      </c>
      <c r="J1026" s="22" t="s">
        <v>494</v>
      </c>
      <c r="K1026" s="22" t="s">
        <v>262</v>
      </c>
      <c r="L1026" s="22" t="s">
        <v>3858</v>
      </c>
      <c r="M1026" s="22" t="s">
        <v>2130</v>
      </c>
      <c r="N1026" s="28" t="s">
        <v>2494</v>
      </c>
      <c r="O1026" s="28" t="s">
        <v>2016</v>
      </c>
      <c r="P1026" s="29">
        <v>60769</v>
      </c>
      <c r="Q1026" s="28" t="s">
        <v>2017</v>
      </c>
      <c r="R1026" s="38">
        <v>62.968706825089001</v>
      </c>
      <c r="S1026" s="29">
        <v>62040</v>
      </c>
      <c r="T1026" s="32">
        <v>965.06666666666695</v>
      </c>
      <c r="U1026" s="32">
        <v>0</v>
      </c>
      <c r="V1026" s="38">
        <v>62.968706825089001</v>
      </c>
      <c r="W1026" s="39">
        <v>46149</v>
      </c>
      <c r="X1026" s="39">
        <v>46149</v>
      </c>
    </row>
    <row r="1027" spans="1:24" ht="15.75" thickBot="1" x14ac:dyDescent="0.3">
      <c r="A1027" t="str">
        <f t="shared" si="15"/>
        <v>PCPGMBEI19005</v>
      </c>
      <c r="B1027" s="22" t="s">
        <v>5049</v>
      </c>
      <c r="C1027" s="21"/>
      <c r="D1027" s="22" t="s">
        <v>5050</v>
      </c>
      <c r="E1027" s="21"/>
      <c r="F1027" s="22" t="s">
        <v>2030</v>
      </c>
      <c r="G1027" s="28" t="s">
        <v>2012</v>
      </c>
      <c r="H1027" s="22" t="s">
        <v>3897</v>
      </c>
      <c r="I1027" s="22" t="s">
        <v>3898</v>
      </c>
      <c r="J1027" s="22" t="s">
        <v>404</v>
      </c>
      <c r="K1027" s="22" t="s">
        <v>262</v>
      </c>
      <c r="L1027" s="22" t="s">
        <v>3858</v>
      </c>
      <c r="M1027" s="22" t="s">
        <v>4055</v>
      </c>
      <c r="N1027" s="28" t="s">
        <v>2494</v>
      </c>
      <c r="O1027" s="28" t="s">
        <v>2016</v>
      </c>
      <c r="P1027" s="29">
        <v>2870</v>
      </c>
      <c r="Q1027" s="28" t="s">
        <v>2017</v>
      </c>
      <c r="R1027" s="38">
        <v>62.712440516655001</v>
      </c>
      <c r="S1027" s="29">
        <v>2942</v>
      </c>
      <c r="T1027" s="32">
        <v>45.764444444444003</v>
      </c>
      <c r="U1027" s="32">
        <v>0</v>
      </c>
      <c r="V1027" s="38">
        <v>62.712440516655001</v>
      </c>
      <c r="W1027" s="39">
        <v>46149</v>
      </c>
      <c r="X1027" s="39">
        <v>46149</v>
      </c>
    </row>
    <row r="1028" spans="1:24" ht="15.75" thickBot="1" x14ac:dyDescent="0.3">
      <c r="A1028" t="str">
        <f t="shared" si="15"/>
        <v>PCSW520750-S300</v>
      </c>
      <c r="B1028" s="22" t="s">
        <v>5051</v>
      </c>
      <c r="C1028" s="21"/>
      <c r="D1028" s="22" t="s">
        <v>4322</v>
      </c>
      <c r="E1028" s="22" t="s">
        <v>3357</v>
      </c>
      <c r="F1028" s="22" t="s">
        <v>2030</v>
      </c>
      <c r="G1028" s="28" t="s">
        <v>2012</v>
      </c>
      <c r="H1028" s="22" t="s">
        <v>3927</v>
      </c>
      <c r="I1028" s="22" t="s">
        <v>3928</v>
      </c>
      <c r="J1028" s="22" t="s">
        <v>494</v>
      </c>
      <c r="K1028" s="22" t="s">
        <v>924</v>
      </c>
      <c r="L1028" s="22" t="s">
        <v>2964</v>
      </c>
      <c r="M1028" s="22" t="s">
        <v>2130</v>
      </c>
      <c r="N1028" s="28" t="s">
        <v>2494</v>
      </c>
      <c r="O1028" s="28" t="s">
        <v>2016</v>
      </c>
      <c r="P1028" s="29">
        <v>33314</v>
      </c>
      <c r="Q1028" s="28" t="s">
        <v>2017</v>
      </c>
      <c r="R1028" s="38">
        <v>62.962729632336</v>
      </c>
      <c r="S1028" s="29">
        <v>34014</v>
      </c>
      <c r="T1028" s="32">
        <v>529.10666666666702</v>
      </c>
      <c r="U1028" s="32">
        <v>0</v>
      </c>
      <c r="V1028" s="38">
        <v>62.962729632336</v>
      </c>
      <c r="W1028" s="39">
        <v>46149</v>
      </c>
      <c r="X1028" s="39">
        <v>46149</v>
      </c>
    </row>
    <row r="1029" spans="1:24" ht="15.75" thickBot="1" x14ac:dyDescent="0.3">
      <c r="A1029" t="str">
        <f t="shared" ref="A1029:A1092" si="16">TRIM(B1029)</f>
        <v>RMPB3WG6 BK00564</v>
      </c>
      <c r="B1029" s="22" t="s">
        <v>5052</v>
      </c>
      <c r="C1029" s="21"/>
      <c r="D1029" s="22" t="s">
        <v>5053</v>
      </c>
      <c r="E1029" s="22" t="s">
        <v>4656</v>
      </c>
      <c r="F1029" s="22" t="s">
        <v>2030</v>
      </c>
      <c r="G1029" s="28" t="s">
        <v>2012</v>
      </c>
      <c r="H1029" s="22" t="s">
        <v>5054</v>
      </c>
      <c r="I1029" s="22" t="s">
        <v>5055</v>
      </c>
      <c r="J1029" s="22" t="s">
        <v>364</v>
      </c>
      <c r="K1029" s="22" t="s">
        <v>262</v>
      </c>
      <c r="L1029" s="22" t="s">
        <v>5056</v>
      </c>
      <c r="M1029" s="22" t="s">
        <v>4657</v>
      </c>
      <c r="N1029" s="28" t="s">
        <v>2494</v>
      </c>
      <c r="O1029" s="28" t="s">
        <v>2016</v>
      </c>
      <c r="P1029" s="29">
        <v>4859.5</v>
      </c>
      <c r="Q1029" s="28" t="s">
        <v>1164</v>
      </c>
      <c r="R1029" s="38">
        <v>62.822800788999999</v>
      </c>
      <c r="S1029" s="34">
        <v>4972.66</v>
      </c>
      <c r="T1029" s="32">
        <v>77.352488888888004</v>
      </c>
      <c r="U1029" s="32">
        <v>0</v>
      </c>
      <c r="V1029" s="38">
        <v>62.822800788999999</v>
      </c>
      <c r="W1029" s="39">
        <v>46149</v>
      </c>
      <c r="X1029" s="39">
        <v>46149</v>
      </c>
    </row>
    <row r="1030" spans="1:24" ht="15.75" thickBot="1" x14ac:dyDescent="0.3">
      <c r="A1030" t="str">
        <f t="shared" si="16"/>
        <v>RMSE27726B</v>
      </c>
      <c r="B1030" s="22" t="s">
        <v>5057</v>
      </c>
      <c r="C1030" s="22" t="s">
        <v>5058</v>
      </c>
      <c r="D1030" s="22" t="s">
        <v>5059</v>
      </c>
      <c r="E1030" s="22" t="s">
        <v>2720</v>
      </c>
      <c r="F1030" s="22" t="s">
        <v>5060</v>
      </c>
      <c r="G1030" s="28" t="s">
        <v>2012</v>
      </c>
      <c r="H1030" s="22" t="s">
        <v>2549</v>
      </c>
      <c r="I1030" s="22" t="s">
        <v>2550</v>
      </c>
      <c r="J1030" s="22" t="s">
        <v>261</v>
      </c>
      <c r="K1030" s="22" t="s">
        <v>924</v>
      </c>
      <c r="L1030" s="22" t="s">
        <v>2531</v>
      </c>
      <c r="M1030" s="22" t="s">
        <v>2532</v>
      </c>
      <c r="N1030" s="28" t="s">
        <v>2494</v>
      </c>
      <c r="O1030" s="28" t="s">
        <v>2016</v>
      </c>
      <c r="P1030" s="29">
        <v>6723</v>
      </c>
      <c r="Q1030" s="28" t="s">
        <v>1164</v>
      </c>
      <c r="R1030" s="38">
        <v>62.273384552841001</v>
      </c>
      <c r="S1030" s="34">
        <v>6940.25</v>
      </c>
      <c r="T1030" s="32">
        <v>107.959444444444</v>
      </c>
      <c r="U1030" s="32">
        <v>0</v>
      </c>
      <c r="V1030" s="38">
        <v>62.273384552841001</v>
      </c>
      <c r="W1030" s="39">
        <v>46149</v>
      </c>
      <c r="X1030" s="39">
        <v>46149</v>
      </c>
    </row>
    <row r="1031" spans="1:24" ht="15.75" thickBot="1" x14ac:dyDescent="0.3">
      <c r="A1031" t="str">
        <f t="shared" si="16"/>
        <v>KB3B 8C291 AD</v>
      </c>
      <c r="B1031" s="22" t="s">
        <v>495</v>
      </c>
      <c r="C1031" s="22" t="s">
        <v>5061</v>
      </c>
      <c r="D1031" s="22" t="s">
        <v>5062</v>
      </c>
      <c r="E1031" s="21"/>
      <c r="F1031" s="22" t="s">
        <v>5063</v>
      </c>
      <c r="G1031" s="28" t="s">
        <v>2012</v>
      </c>
      <c r="H1031" s="22" t="s">
        <v>2080</v>
      </c>
      <c r="I1031" s="21"/>
      <c r="J1031" s="22" t="s">
        <v>494</v>
      </c>
      <c r="K1031" s="22" t="s">
        <v>262</v>
      </c>
      <c r="L1031" s="21"/>
      <c r="M1031" s="22" t="s">
        <v>2014</v>
      </c>
      <c r="N1031" s="28" t="s">
        <v>2015</v>
      </c>
      <c r="O1031" s="28" t="s">
        <v>2016</v>
      </c>
      <c r="P1031" s="29">
        <v>125</v>
      </c>
      <c r="Q1031" s="28" t="s">
        <v>2017</v>
      </c>
      <c r="R1031" s="38">
        <v>63.775510204081002</v>
      </c>
      <c r="S1031" s="29">
        <v>126</v>
      </c>
      <c r="T1031" s="32">
        <v>1.96</v>
      </c>
      <c r="U1031" s="32">
        <v>0</v>
      </c>
      <c r="V1031" s="38">
        <v>63.775510204081002</v>
      </c>
      <c r="W1031" s="39">
        <v>46150</v>
      </c>
      <c r="X1031" s="39">
        <v>46150</v>
      </c>
    </row>
    <row r="1032" spans="1:24" ht="15.75" thickBot="1" x14ac:dyDescent="0.3">
      <c r="A1032" t="str">
        <f t="shared" si="16"/>
        <v>PCP14776C</v>
      </c>
      <c r="B1032" s="22" t="s">
        <v>5064</v>
      </c>
      <c r="C1032" s="21"/>
      <c r="D1032" s="22" t="s">
        <v>5065</v>
      </c>
      <c r="E1032" s="21"/>
      <c r="F1032" s="22" t="s">
        <v>2030</v>
      </c>
      <c r="G1032" s="28" t="s">
        <v>2012</v>
      </c>
      <c r="H1032" s="22" t="s">
        <v>5029</v>
      </c>
      <c r="I1032" s="22" t="s">
        <v>5030</v>
      </c>
      <c r="J1032" s="22" t="s">
        <v>261</v>
      </c>
      <c r="K1032" s="22" t="s">
        <v>262</v>
      </c>
      <c r="L1032" s="22" t="s">
        <v>3312</v>
      </c>
      <c r="M1032" s="22" t="s">
        <v>2130</v>
      </c>
      <c r="N1032" s="28" t="s">
        <v>2494</v>
      </c>
      <c r="O1032" s="28" t="s">
        <v>2016</v>
      </c>
      <c r="P1032" s="29">
        <v>5349</v>
      </c>
      <c r="Q1032" s="28" t="s">
        <v>2017</v>
      </c>
      <c r="R1032" s="38">
        <v>63.855949064862003</v>
      </c>
      <c r="S1032" s="29">
        <v>5385</v>
      </c>
      <c r="T1032" s="32">
        <v>83.766666666665998</v>
      </c>
      <c r="U1032" s="32">
        <v>0</v>
      </c>
      <c r="V1032" s="38">
        <v>63.855949064862003</v>
      </c>
      <c r="W1032" s="39">
        <v>46150</v>
      </c>
      <c r="X1032" s="39">
        <v>46150</v>
      </c>
    </row>
    <row r="1033" spans="1:24" ht="15.75" thickBot="1" x14ac:dyDescent="0.3">
      <c r="A1033" t="str">
        <f t="shared" si="16"/>
        <v>RMPGMPP1340</v>
      </c>
      <c r="B1033" s="22" t="s">
        <v>5066</v>
      </c>
      <c r="C1033" s="21"/>
      <c r="D1033" s="22" t="s">
        <v>5067</v>
      </c>
      <c r="E1033" s="22" t="s">
        <v>4928</v>
      </c>
      <c r="F1033" s="22" t="s">
        <v>2030</v>
      </c>
      <c r="G1033" s="28" t="s">
        <v>2012</v>
      </c>
      <c r="H1033" s="22" t="s">
        <v>3745</v>
      </c>
      <c r="I1033" s="22" t="s">
        <v>3746</v>
      </c>
      <c r="J1033" s="22" t="s">
        <v>404</v>
      </c>
      <c r="K1033" s="22" t="s">
        <v>262</v>
      </c>
      <c r="L1033" s="22" t="s">
        <v>2711</v>
      </c>
      <c r="M1033" s="22" t="s">
        <v>2523</v>
      </c>
      <c r="N1033" s="28" t="s">
        <v>2494</v>
      </c>
      <c r="O1033" s="28" t="s">
        <v>2016</v>
      </c>
      <c r="P1033" s="29">
        <v>4412</v>
      </c>
      <c r="Q1033" s="28" t="s">
        <v>1164</v>
      </c>
      <c r="R1033" s="38">
        <v>63.564205802803002</v>
      </c>
      <c r="S1033" s="34">
        <v>4462.08</v>
      </c>
      <c r="T1033" s="32">
        <v>69.410133333332993</v>
      </c>
      <c r="U1033" s="32">
        <v>0</v>
      </c>
      <c r="V1033" s="38">
        <v>63.564205802803002</v>
      </c>
      <c r="W1033" s="39">
        <v>46150</v>
      </c>
      <c r="X1033" s="39">
        <v>46150</v>
      </c>
    </row>
    <row r="1034" spans="1:24" ht="15.75" thickBot="1" x14ac:dyDescent="0.3">
      <c r="A1034" t="str">
        <f t="shared" si="16"/>
        <v>RMS10718</v>
      </c>
      <c r="B1034" s="22" t="s">
        <v>5068</v>
      </c>
      <c r="C1034" s="22" t="s">
        <v>5069</v>
      </c>
      <c r="D1034" s="22" t="s">
        <v>5070</v>
      </c>
      <c r="E1034" s="22" t="s">
        <v>2527</v>
      </c>
      <c r="F1034" s="22" t="s">
        <v>5071</v>
      </c>
      <c r="G1034" s="28" t="s">
        <v>2012</v>
      </c>
      <c r="H1034" s="22" t="s">
        <v>2549</v>
      </c>
      <c r="I1034" s="22" t="s">
        <v>2550</v>
      </c>
      <c r="J1034" s="22" t="s">
        <v>261</v>
      </c>
      <c r="K1034" s="22" t="s">
        <v>924</v>
      </c>
      <c r="L1034" s="22" t="s">
        <v>2531</v>
      </c>
      <c r="M1034" s="22" t="s">
        <v>2532</v>
      </c>
      <c r="N1034" s="28" t="s">
        <v>2494</v>
      </c>
      <c r="O1034" s="28" t="s">
        <v>2016</v>
      </c>
      <c r="P1034" s="29">
        <v>22480</v>
      </c>
      <c r="Q1034" s="28" t="s">
        <v>1164</v>
      </c>
      <c r="R1034" s="38">
        <v>63.728655530741001</v>
      </c>
      <c r="S1034" s="34">
        <v>22676.5</v>
      </c>
      <c r="T1034" s="32">
        <v>352.745555555556</v>
      </c>
      <c r="U1034" s="32">
        <v>0</v>
      </c>
      <c r="V1034" s="38">
        <v>63.728655530741001</v>
      </c>
      <c r="W1034" s="39">
        <v>46150</v>
      </c>
      <c r="X1034" s="39">
        <v>46150</v>
      </c>
    </row>
    <row r="1035" spans="1:24" ht="15.75" thickBot="1" x14ac:dyDescent="0.3">
      <c r="A1035" t="str">
        <f t="shared" si="16"/>
        <v>DET16153B</v>
      </c>
      <c r="B1035" s="22" t="s">
        <v>1393</v>
      </c>
      <c r="C1035" s="22" t="s">
        <v>2932</v>
      </c>
      <c r="D1035" s="22" t="s">
        <v>5072</v>
      </c>
      <c r="E1035" s="21"/>
      <c r="F1035" s="22" t="s">
        <v>5073</v>
      </c>
      <c r="G1035" s="28" t="s">
        <v>2012</v>
      </c>
      <c r="H1035" s="22" t="s">
        <v>2013</v>
      </c>
      <c r="I1035" s="21"/>
      <c r="J1035" s="22" t="s">
        <v>261</v>
      </c>
      <c r="K1035" s="22" t="s">
        <v>924</v>
      </c>
      <c r="L1035" s="21"/>
      <c r="M1035" s="22" t="s">
        <v>2034</v>
      </c>
      <c r="N1035" s="28" t="s">
        <v>2015</v>
      </c>
      <c r="O1035" s="28" t="s">
        <v>2016</v>
      </c>
      <c r="P1035" s="29">
        <v>16136</v>
      </c>
      <c r="Q1035" s="28" t="s">
        <v>2017</v>
      </c>
      <c r="R1035" s="38">
        <v>65.831965838312001</v>
      </c>
      <c r="S1035" s="29">
        <v>15757</v>
      </c>
      <c r="T1035" s="32">
        <v>245.108888888889</v>
      </c>
      <c r="U1035" s="32">
        <v>0</v>
      </c>
      <c r="V1035" s="38">
        <v>65.831965838312001</v>
      </c>
      <c r="W1035" s="39">
        <v>46152</v>
      </c>
      <c r="X1035" s="39">
        <v>46153</v>
      </c>
    </row>
    <row r="1036" spans="1:24" ht="15.75" thickBot="1" x14ac:dyDescent="0.3">
      <c r="A1036" t="str">
        <f t="shared" si="16"/>
        <v>DET2102544A</v>
      </c>
      <c r="B1036" s="22" t="s">
        <v>1411</v>
      </c>
      <c r="C1036" s="22" t="s">
        <v>5074</v>
      </c>
      <c r="D1036" s="22" t="s">
        <v>5075</v>
      </c>
      <c r="E1036" s="21"/>
      <c r="F1036" s="22" t="s">
        <v>5076</v>
      </c>
      <c r="G1036" s="28" t="s">
        <v>2012</v>
      </c>
      <c r="H1036" s="22" t="s">
        <v>2013</v>
      </c>
      <c r="I1036" s="21"/>
      <c r="J1036" s="22" t="s">
        <v>261</v>
      </c>
      <c r="K1036" s="22" t="s">
        <v>924</v>
      </c>
      <c r="L1036" s="21"/>
      <c r="M1036" s="22" t="s">
        <v>2034</v>
      </c>
      <c r="N1036" s="28" t="s">
        <v>2015</v>
      </c>
      <c r="O1036" s="28" t="s">
        <v>2016</v>
      </c>
      <c r="P1036" s="29">
        <v>11577</v>
      </c>
      <c r="Q1036" s="28" t="s">
        <v>2017</v>
      </c>
      <c r="R1036" s="38">
        <v>65.329679975923</v>
      </c>
      <c r="S1036" s="29">
        <v>11392</v>
      </c>
      <c r="T1036" s="32">
        <v>177.20888888888899</v>
      </c>
      <c r="U1036" s="32">
        <v>0</v>
      </c>
      <c r="V1036" s="38">
        <v>65.329679975923</v>
      </c>
      <c r="W1036" s="39">
        <v>46152</v>
      </c>
      <c r="X1036" s="39">
        <v>46153</v>
      </c>
    </row>
    <row r="1037" spans="1:24" ht="15.75" thickBot="1" x14ac:dyDescent="0.3">
      <c r="A1037" t="str">
        <f t="shared" si="16"/>
        <v>KB3B 16B145 AC</v>
      </c>
      <c r="B1037" s="22" t="s">
        <v>1879</v>
      </c>
      <c r="C1037" s="22" t="s">
        <v>5077</v>
      </c>
      <c r="D1037" s="22" t="s">
        <v>5078</v>
      </c>
      <c r="E1037" s="22" t="s">
        <v>5079</v>
      </c>
      <c r="F1037" s="22" t="s">
        <v>2030</v>
      </c>
      <c r="G1037" s="28" t="s">
        <v>2012</v>
      </c>
      <c r="H1037" s="22" t="s">
        <v>5080</v>
      </c>
      <c r="I1037" s="21"/>
      <c r="J1037" s="22" t="s">
        <v>494</v>
      </c>
      <c r="K1037" s="22" t="s">
        <v>924</v>
      </c>
      <c r="L1037" s="21"/>
      <c r="M1037" s="22" t="s">
        <v>2014</v>
      </c>
      <c r="N1037" s="28" t="s">
        <v>2015</v>
      </c>
      <c r="O1037" s="28" t="s">
        <v>2016</v>
      </c>
      <c r="P1037" s="29">
        <v>5</v>
      </c>
      <c r="Q1037" s="28" t="s">
        <v>2017</v>
      </c>
      <c r="R1037" s="38">
        <v>64.285714285713993</v>
      </c>
      <c r="S1037" s="29">
        <v>5</v>
      </c>
      <c r="T1037" s="32">
        <v>7.7777777776999998E-2</v>
      </c>
      <c r="U1037" s="32">
        <v>0</v>
      </c>
      <c r="V1037" s="38">
        <v>64.285714285713993</v>
      </c>
      <c r="W1037" s="39">
        <v>46151</v>
      </c>
      <c r="X1037" s="39">
        <v>46153</v>
      </c>
    </row>
    <row r="1038" spans="1:24" ht="15.75" thickBot="1" x14ac:dyDescent="0.3">
      <c r="A1038" t="str">
        <f t="shared" si="16"/>
        <v>PCP14529C</v>
      </c>
      <c r="B1038" s="22" t="s">
        <v>5081</v>
      </c>
      <c r="C1038" s="21"/>
      <c r="D1038" s="22" t="s">
        <v>5082</v>
      </c>
      <c r="E1038" s="21"/>
      <c r="F1038" s="22" t="s">
        <v>2030</v>
      </c>
      <c r="G1038" s="28" t="s">
        <v>2012</v>
      </c>
      <c r="H1038" s="22" t="s">
        <v>3310</v>
      </c>
      <c r="I1038" s="22" t="s">
        <v>3311</v>
      </c>
      <c r="J1038" s="22" t="s">
        <v>261</v>
      </c>
      <c r="K1038" s="22" t="s">
        <v>262</v>
      </c>
      <c r="L1038" s="22" t="s">
        <v>3312</v>
      </c>
      <c r="M1038" s="22" t="s">
        <v>2130</v>
      </c>
      <c r="N1038" s="28" t="s">
        <v>2494</v>
      </c>
      <c r="O1038" s="28" t="s">
        <v>2016</v>
      </c>
      <c r="P1038" s="29">
        <v>16464</v>
      </c>
      <c r="Q1038" s="28" t="s">
        <v>2017</v>
      </c>
      <c r="R1038" s="38">
        <v>64.536585365853</v>
      </c>
      <c r="S1038" s="29">
        <v>16400</v>
      </c>
      <c r="T1038" s="32">
        <v>255.111111111111</v>
      </c>
      <c r="U1038" s="32">
        <v>0</v>
      </c>
      <c r="V1038" s="38">
        <v>64.536585365853</v>
      </c>
      <c r="W1038" s="39">
        <v>46151</v>
      </c>
      <c r="X1038" s="39">
        <v>46153</v>
      </c>
    </row>
    <row r="1039" spans="1:24" ht="15.75" thickBot="1" x14ac:dyDescent="0.3">
      <c r="A1039" t="str">
        <f t="shared" si="16"/>
        <v>PCPW506923</v>
      </c>
      <c r="B1039" s="22" t="s">
        <v>5083</v>
      </c>
      <c r="C1039" s="22" t="s">
        <v>5084</v>
      </c>
      <c r="D1039" s="22" t="s">
        <v>5085</v>
      </c>
      <c r="E1039" s="22" t="s">
        <v>5086</v>
      </c>
      <c r="F1039" s="22" t="s">
        <v>2030</v>
      </c>
      <c r="G1039" s="28" t="s">
        <v>2012</v>
      </c>
      <c r="H1039" s="22" t="s">
        <v>3351</v>
      </c>
      <c r="I1039" s="22" t="s">
        <v>3352</v>
      </c>
      <c r="J1039" s="22" t="s">
        <v>261</v>
      </c>
      <c r="K1039" s="22" t="s">
        <v>262</v>
      </c>
      <c r="L1039" s="22" t="s">
        <v>4242</v>
      </c>
      <c r="M1039" s="22" t="s">
        <v>2130</v>
      </c>
      <c r="N1039" s="28" t="s">
        <v>2494</v>
      </c>
      <c r="O1039" s="28" t="s">
        <v>2016</v>
      </c>
      <c r="P1039" s="29">
        <v>44828</v>
      </c>
      <c r="Q1039" s="28" t="s">
        <v>2017</v>
      </c>
      <c r="R1039" s="38">
        <v>64.586835204733006</v>
      </c>
      <c r="S1039" s="29">
        <v>44619</v>
      </c>
      <c r="T1039" s="32">
        <v>694.07333333333304</v>
      </c>
      <c r="U1039" s="32">
        <v>0</v>
      </c>
      <c r="V1039" s="38">
        <v>64.586835204733006</v>
      </c>
      <c r="W1039" s="39">
        <v>46151</v>
      </c>
      <c r="X1039" s="39">
        <v>46153</v>
      </c>
    </row>
    <row r="1040" spans="1:24" ht="15.75" thickBot="1" x14ac:dyDescent="0.3">
      <c r="A1040" t="str">
        <f t="shared" si="16"/>
        <v>PCSW706493S300</v>
      </c>
      <c r="B1040" s="22" t="s">
        <v>5087</v>
      </c>
      <c r="C1040" s="22" t="s">
        <v>5088</v>
      </c>
      <c r="D1040" s="22" t="s">
        <v>3349</v>
      </c>
      <c r="E1040" s="22" t="s">
        <v>3357</v>
      </c>
      <c r="F1040" s="22" t="s">
        <v>2030</v>
      </c>
      <c r="G1040" s="28" t="s">
        <v>2012</v>
      </c>
      <c r="H1040" s="22" t="s">
        <v>3351</v>
      </c>
      <c r="I1040" s="22" t="s">
        <v>3352</v>
      </c>
      <c r="J1040" s="22" t="s">
        <v>261</v>
      </c>
      <c r="K1040" s="22" t="s">
        <v>924</v>
      </c>
      <c r="L1040" s="22" t="s">
        <v>3353</v>
      </c>
      <c r="M1040" s="22" t="s">
        <v>2130</v>
      </c>
      <c r="N1040" s="28" t="s">
        <v>2494</v>
      </c>
      <c r="O1040" s="28" t="s">
        <v>2016</v>
      </c>
      <c r="P1040" s="29">
        <v>155633</v>
      </c>
      <c r="Q1040" s="28" t="s">
        <v>2017</v>
      </c>
      <c r="R1040" s="38">
        <v>65.972401462728001</v>
      </c>
      <c r="S1040" s="29">
        <v>151654</v>
      </c>
      <c r="T1040" s="32">
        <v>2359.06222222222</v>
      </c>
      <c r="U1040" s="32">
        <v>0</v>
      </c>
      <c r="V1040" s="38">
        <v>65.972401462728001</v>
      </c>
      <c r="W1040" s="39">
        <v>46152</v>
      </c>
      <c r="X1040" s="39">
        <v>46153</v>
      </c>
    </row>
    <row r="1041" spans="1:24" ht="15.75" thickBot="1" x14ac:dyDescent="0.3">
      <c r="A1041" t="str">
        <f t="shared" si="16"/>
        <v>RMPGMADX5023</v>
      </c>
      <c r="B1041" s="22" t="s">
        <v>5089</v>
      </c>
      <c r="C1041" s="21"/>
      <c r="D1041" s="22" t="s">
        <v>4472</v>
      </c>
      <c r="E1041" s="22" t="s">
        <v>4928</v>
      </c>
      <c r="F1041" s="22" t="s">
        <v>2030</v>
      </c>
      <c r="G1041" s="28" t="s">
        <v>2012</v>
      </c>
      <c r="H1041" s="22" t="s">
        <v>3745</v>
      </c>
      <c r="I1041" s="22" t="s">
        <v>3746</v>
      </c>
      <c r="J1041" s="22" t="s">
        <v>404</v>
      </c>
      <c r="K1041" s="22" t="s">
        <v>262</v>
      </c>
      <c r="L1041" s="22" t="s">
        <v>3380</v>
      </c>
      <c r="M1041" s="22" t="s">
        <v>2523</v>
      </c>
      <c r="N1041" s="28" t="s">
        <v>2494</v>
      </c>
      <c r="O1041" s="28" t="s">
        <v>2016</v>
      </c>
      <c r="P1041" s="29">
        <v>17531.312999999998</v>
      </c>
      <c r="Q1041" s="28" t="s">
        <v>1164</v>
      </c>
      <c r="R1041" s="38">
        <v>64.506790796722001</v>
      </c>
      <c r="S1041" s="34">
        <v>17471.23</v>
      </c>
      <c r="T1041" s="32">
        <v>271.77468888888899</v>
      </c>
      <c r="U1041" s="32">
        <v>0</v>
      </c>
      <c r="V1041" s="38">
        <v>64.506790796722001</v>
      </c>
      <c r="W1041" s="39">
        <v>46151</v>
      </c>
      <c r="X1041" s="39">
        <v>46153</v>
      </c>
    </row>
    <row r="1042" spans="1:24" ht="15.75" thickBot="1" x14ac:dyDescent="0.3">
      <c r="A1042" t="str">
        <f t="shared" si="16"/>
        <v>RMSBRX200B38ABRL</v>
      </c>
      <c r="B1042" s="22" t="s">
        <v>5090</v>
      </c>
      <c r="C1042" s="22" t="s">
        <v>5091</v>
      </c>
      <c r="D1042" s="22" t="s">
        <v>5092</v>
      </c>
      <c r="E1042" s="22" t="s">
        <v>3132</v>
      </c>
      <c r="F1042" s="22" t="s">
        <v>4209</v>
      </c>
      <c r="G1042" s="28" t="s">
        <v>2012</v>
      </c>
      <c r="H1042" s="22" t="s">
        <v>3652</v>
      </c>
      <c r="I1042" s="22" t="s">
        <v>3653</v>
      </c>
      <c r="J1042" s="22" t="s">
        <v>364</v>
      </c>
      <c r="K1042" s="22" t="s">
        <v>924</v>
      </c>
      <c r="L1042" s="22" t="s">
        <v>3136</v>
      </c>
      <c r="M1042" s="22" t="s">
        <v>2532</v>
      </c>
      <c r="N1042" s="28" t="s">
        <v>2494</v>
      </c>
      <c r="O1042" s="28" t="s">
        <v>2016</v>
      </c>
      <c r="P1042" s="29">
        <v>55733.16</v>
      </c>
      <c r="Q1042" s="28" t="s">
        <v>1164</v>
      </c>
      <c r="R1042" s="38">
        <v>65.913967812436994</v>
      </c>
      <c r="S1042" s="34">
        <v>54356.4</v>
      </c>
      <c r="T1042" s="32">
        <v>845.54399999999998</v>
      </c>
      <c r="U1042" s="32">
        <v>0</v>
      </c>
      <c r="V1042" s="38">
        <v>65.913967812436994</v>
      </c>
      <c r="W1042" s="39">
        <v>46152</v>
      </c>
      <c r="X1042" s="39">
        <v>46153</v>
      </c>
    </row>
    <row r="1043" spans="1:24" ht="15.75" thickBot="1" x14ac:dyDescent="0.3">
      <c r="A1043" t="str">
        <f t="shared" si="16"/>
        <v>RMSE106B52</v>
      </c>
      <c r="B1043" s="22" t="s">
        <v>5093</v>
      </c>
      <c r="C1043" s="22" t="s">
        <v>5094</v>
      </c>
      <c r="D1043" s="22" t="s">
        <v>5095</v>
      </c>
      <c r="E1043" s="22" t="s">
        <v>2527</v>
      </c>
      <c r="F1043" s="22" t="s">
        <v>3558</v>
      </c>
      <c r="G1043" s="28" t="s">
        <v>2012</v>
      </c>
      <c r="H1043" s="22" t="s">
        <v>2549</v>
      </c>
      <c r="I1043" s="22" t="s">
        <v>2550</v>
      </c>
      <c r="J1043" s="22" t="s">
        <v>261</v>
      </c>
      <c r="K1043" s="22" t="s">
        <v>924</v>
      </c>
      <c r="L1043" s="22" t="s">
        <v>2531</v>
      </c>
      <c r="M1043" s="22" t="s">
        <v>2532</v>
      </c>
      <c r="N1043" s="28" t="s">
        <v>2494</v>
      </c>
      <c r="O1043" s="28" t="s">
        <v>2016</v>
      </c>
      <c r="P1043" s="29">
        <v>58752.576999999997</v>
      </c>
      <c r="Q1043" s="28" t="s">
        <v>1164</v>
      </c>
      <c r="R1043" s="38">
        <v>64.386915117748003</v>
      </c>
      <c r="S1043" s="34">
        <v>58660.232000000004</v>
      </c>
      <c r="T1043" s="32">
        <v>912.492497777778</v>
      </c>
      <c r="U1043" s="32">
        <v>0</v>
      </c>
      <c r="V1043" s="38">
        <v>64.386915117748003</v>
      </c>
      <c r="W1043" s="39">
        <v>46151</v>
      </c>
      <c r="X1043" s="39">
        <v>46153</v>
      </c>
    </row>
    <row r="1044" spans="1:24" ht="15.75" thickBot="1" x14ac:dyDescent="0.3">
      <c r="A1044" t="str">
        <f t="shared" si="16"/>
        <v>RMSWL68425102/3</v>
      </c>
      <c r="B1044" s="22" t="s">
        <v>5096</v>
      </c>
      <c r="C1044" s="22" t="s">
        <v>5097</v>
      </c>
      <c r="D1044" s="22" t="s">
        <v>5098</v>
      </c>
      <c r="E1044" s="22" t="s">
        <v>2527</v>
      </c>
      <c r="F1044" s="22" t="s">
        <v>3569</v>
      </c>
      <c r="G1044" s="28" t="s">
        <v>2012</v>
      </c>
      <c r="H1044" s="22" t="s">
        <v>3570</v>
      </c>
      <c r="I1044" s="22" t="s">
        <v>3571</v>
      </c>
      <c r="J1044" s="22" t="s">
        <v>1117</v>
      </c>
      <c r="K1044" s="22" t="s">
        <v>924</v>
      </c>
      <c r="L1044" s="22" t="s">
        <v>2531</v>
      </c>
      <c r="M1044" s="22" t="s">
        <v>2532</v>
      </c>
      <c r="N1044" s="28" t="s">
        <v>2494</v>
      </c>
      <c r="O1044" s="28" t="s">
        <v>2016</v>
      </c>
      <c r="P1044" s="29">
        <v>28522.240000000002</v>
      </c>
      <c r="Q1044" s="28" t="s">
        <v>1164</v>
      </c>
      <c r="R1044" s="38">
        <v>66.782217782217003</v>
      </c>
      <c r="S1044" s="29">
        <v>27456</v>
      </c>
      <c r="T1044" s="32">
        <v>427.09333333333302</v>
      </c>
      <c r="U1044" s="32">
        <v>0</v>
      </c>
      <c r="V1044" s="38">
        <v>66.782217782217003</v>
      </c>
      <c r="W1044" s="39">
        <v>46153</v>
      </c>
      <c r="X1044" s="39">
        <v>46153</v>
      </c>
    </row>
    <row r="1045" spans="1:24" ht="15.75" thickBot="1" x14ac:dyDescent="0.3">
      <c r="A1045" t="str">
        <f t="shared" si="16"/>
        <v>PC17626 BA</v>
      </c>
      <c r="B1045" s="22" t="s">
        <v>890</v>
      </c>
      <c r="C1045" s="22" t="s">
        <v>5099</v>
      </c>
      <c r="D1045" s="22" t="s">
        <v>5100</v>
      </c>
      <c r="E1045" s="22" t="s">
        <v>5101</v>
      </c>
      <c r="F1045" s="22" t="s">
        <v>5102</v>
      </c>
      <c r="G1045" s="28" t="s">
        <v>2012</v>
      </c>
      <c r="H1045" s="22" t="s">
        <v>2751</v>
      </c>
      <c r="I1045" s="21"/>
      <c r="J1045" s="22" t="s">
        <v>892</v>
      </c>
      <c r="K1045" s="22" t="s">
        <v>262</v>
      </c>
      <c r="L1045" s="21"/>
      <c r="M1045" s="22" t="s">
        <v>2014</v>
      </c>
      <c r="N1045" s="28" t="s">
        <v>2015</v>
      </c>
      <c r="O1045" s="28" t="s">
        <v>2016</v>
      </c>
      <c r="P1045" s="29">
        <v>260</v>
      </c>
      <c r="Q1045" s="28" t="s">
        <v>2017</v>
      </c>
      <c r="R1045" s="38">
        <v>67.66917293233</v>
      </c>
      <c r="S1045" s="29">
        <v>247</v>
      </c>
      <c r="T1045" s="32">
        <v>3.8422222222219999</v>
      </c>
      <c r="U1045" s="32">
        <v>0</v>
      </c>
      <c r="V1045" s="38">
        <v>67.66917293233</v>
      </c>
      <c r="W1045" s="39">
        <v>46154</v>
      </c>
      <c r="X1045" s="39">
        <v>46154</v>
      </c>
    </row>
    <row r="1046" spans="1:24" ht="15.75" thickBot="1" x14ac:dyDescent="0.3">
      <c r="A1046" t="str">
        <f t="shared" si="16"/>
        <v>RMPVAL4031-7001</v>
      </c>
      <c r="B1046" s="22" t="s">
        <v>5103</v>
      </c>
      <c r="C1046" s="21"/>
      <c r="D1046" s="22" t="s">
        <v>5104</v>
      </c>
      <c r="E1046" s="22" t="s">
        <v>4656</v>
      </c>
      <c r="F1046" s="22" t="s">
        <v>2030</v>
      </c>
      <c r="G1046" s="28" t="s">
        <v>2012</v>
      </c>
      <c r="H1046" s="22" t="s">
        <v>5105</v>
      </c>
      <c r="I1046" s="22" t="s">
        <v>5106</v>
      </c>
      <c r="J1046" s="22" t="s">
        <v>494</v>
      </c>
      <c r="K1046" s="22" t="s">
        <v>262</v>
      </c>
      <c r="L1046" s="22" t="s">
        <v>5107</v>
      </c>
      <c r="M1046" s="22" t="s">
        <v>2523</v>
      </c>
      <c r="N1046" s="28" t="s">
        <v>2494</v>
      </c>
      <c r="O1046" s="28" t="s">
        <v>2016</v>
      </c>
      <c r="P1046" s="29">
        <v>1737.6092000000001</v>
      </c>
      <c r="Q1046" s="28" t="s">
        <v>5108</v>
      </c>
      <c r="R1046" s="38">
        <v>67.296917830908001</v>
      </c>
      <c r="S1046" s="34">
        <v>1659.8598</v>
      </c>
      <c r="T1046" s="32">
        <v>25.820041333332998</v>
      </c>
      <c r="U1046" s="32">
        <v>0</v>
      </c>
      <c r="V1046" s="38">
        <v>67.296917830908001</v>
      </c>
      <c r="W1046" s="39">
        <v>46154</v>
      </c>
      <c r="X1046" s="39">
        <v>46154</v>
      </c>
    </row>
    <row r="1047" spans="1:24" ht="15.75" thickBot="1" x14ac:dyDescent="0.3">
      <c r="A1047" t="str">
        <f t="shared" si="16"/>
        <v>RMS19D521 F150</v>
      </c>
      <c r="B1047" s="22" t="s">
        <v>5109</v>
      </c>
      <c r="C1047" s="22" t="s">
        <v>5110</v>
      </c>
      <c r="D1047" s="22" t="s">
        <v>5111</v>
      </c>
      <c r="E1047" s="22" t="s">
        <v>3123</v>
      </c>
      <c r="F1047" s="22" t="s">
        <v>5112</v>
      </c>
      <c r="G1047" s="28" t="s">
        <v>2012</v>
      </c>
      <c r="H1047" s="22" t="s">
        <v>5113</v>
      </c>
      <c r="I1047" s="22" t="s">
        <v>5114</v>
      </c>
      <c r="J1047" s="22" t="s">
        <v>892</v>
      </c>
      <c r="K1047" s="22" t="s">
        <v>924</v>
      </c>
      <c r="L1047" s="22" t="s">
        <v>2558</v>
      </c>
      <c r="M1047" s="22" t="s">
        <v>2532</v>
      </c>
      <c r="N1047" s="28" t="s">
        <v>2494</v>
      </c>
      <c r="O1047" s="28" t="s">
        <v>2016</v>
      </c>
      <c r="P1047" s="29">
        <v>142866.09</v>
      </c>
      <c r="Q1047" s="28" t="s">
        <v>1164</v>
      </c>
      <c r="R1047" s="38">
        <v>68.062690524293998</v>
      </c>
      <c r="S1047" s="34">
        <v>134938.07800000001</v>
      </c>
      <c r="T1047" s="32">
        <v>2099.03676888889</v>
      </c>
      <c r="U1047" s="32">
        <v>0</v>
      </c>
      <c r="V1047" s="38">
        <v>68.062690524293998</v>
      </c>
      <c r="W1047" s="39">
        <v>46155</v>
      </c>
      <c r="X1047" s="39">
        <v>46155</v>
      </c>
    </row>
    <row r="1048" spans="1:24" ht="15.75" thickBot="1" x14ac:dyDescent="0.3">
      <c r="A1048" t="str">
        <f t="shared" si="16"/>
        <v>RMSWL68426590/1</v>
      </c>
      <c r="B1048" s="22" t="s">
        <v>5115</v>
      </c>
      <c r="C1048" s="22" t="s">
        <v>5116</v>
      </c>
      <c r="D1048" s="22" t="s">
        <v>5117</v>
      </c>
      <c r="E1048" s="22" t="s">
        <v>2527</v>
      </c>
      <c r="F1048" s="22" t="s">
        <v>4861</v>
      </c>
      <c r="G1048" s="28" t="s">
        <v>2012</v>
      </c>
      <c r="H1048" s="22" t="s">
        <v>3570</v>
      </c>
      <c r="I1048" s="22" t="s">
        <v>3571</v>
      </c>
      <c r="J1048" s="22" t="s">
        <v>1117</v>
      </c>
      <c r="K1048" s="22" t="s">
        <v>924</v>
      </c>
      <c r="L1048" s="22" t="s">
        <v>2531</v>
      </c>
      <c r="M1048" s="22" t="s">
        <v>2532</v>
      </c>
      <c r="N1048" s="28" t="s">
        <v>2494</v>
      </c>
      <c r="O1048" s="28" t="s">
        <v>2016</v>
      </c>
      <c r="P1048" s="29">
        <v>28250.62</v>
      </c>
      <c r="Q1048" s="28" t="s">
        <v>1164</v>
      </c>
      <c r="R1048" s="38">
        <v>69.069891165083007</v>
      </c>
      <c r="S1048" s="34">
        <v>26293.82</v>
      </c>
      <c r="T1048" s="32">
        <v>409.01497777777797</v>
      </c>
      <c r="U1048" s="32">
        <v>0</v>
      </c>
      <c r="V1048" s="38">
        <v>69.069891165083007</v>
      </c>
      <c r="W1048" s="39">
        <v>46156</v>
      </c>
      <c r="X1048" s="39">
        <v>46156</v>
      </c>
    </row>
    <row r="1049" spans="1:24" ht="15.75" thickBot="1" x14ac:dyDescent="0.3">
      <c r="A1049" t="str">
        <f t="shared" si="16"/>
        <v>DET5801612B</v>
      </c>
      <c r="B1049" s="22" t="s">
        <v>1540</v>
      </c>
      <c r="C1049" s="22" t="s">
        <v>5118</v>
      </c>
      <c r="D1049" s="22" t="s">
        <v>5119</v>
      </c>
      <c r="E1049" s="21"/>
      <c r="F1049" s="22" t="s">
        <v>5120</v>
      </c>
      <c r="G1049" s="28" t="s">
        <v>2012</v>
      </c>
      <c r="H1049" s="22" t="s">
        <v>2013</v>
      </c>
      <c r="I1049" s="21"/>
      <c r="J1049" s="22" t="s">
        <v>261</v>
      </c>
      <c r="K1049" s="22" t="s">
        <v>924</v>
      </c>
      <c r="L1049" s="21"/>
      <c r="M1049" s="22" t="s">
        <v>2034</v>
      </c>
      <c r="N1049" s="28" t="s">
        <v>2015</v>
      </c>
      <c r="O1049" s="28" t="s">
        <v>2016</v>
      </c>
      <c r="P1049" s="29">
        <v>15841</v>
      </c>
      <c r="Q1049" s="28" t="s">
        <v>2017</v>
      </c>
      <c r="R1049" s="38">
        <v>70.905862693217998</v>
      </c>
      <c r="S1049" s="29">
        <v>14362</v>
      </c>
      <c r="T1049" s="32">
        <v>223.40888888888901</v>
      </c>
      <c r="U1049" s="32">
        <v>0</v>
      </c>
      <c r="V1049" s="38">
        <v>70.905862693217998</v>
      </c>
      <c r="W1049" s="39">
        <v>46157</v>
      </c>
      <c r="X1049" s="39">
        <v>46157</v>
      </c>
    </row>
    <row r="1050" spans="1:24" ht="15.75" thickBot="1" x14ac:dyDescent="0.3">
      <c r="A1050" t="str">
        <f t="shared" si="16"/>
        <v>PCS068648270AALB</v>
      </c>
      <c r="B1050" s="22" t="s">
        <v>5121</v>
      </c>
      <c r="C1050" s="21"/>
      <c r="D1050" s="22" t="s">
        <v>5122</v>
      </c>
      <c r="E1050" s="21"/>
      <c r="F1050" s="22" t="s">
        <v>2030</v>
      </c>
      <c r="G1050" s="28" t="s">
        <v>2012</v>
      </c>
      <c r="H1050" s="22" t="s">
        <v>2013</v>
      </c>
      <c r="I1050" s="21"/>
      <c r="J1050" s="22" t="s">
        <v>3324</v>
      </c>
      <c r="K1050" s="22" t="s">
        <v>3324</v>
      </c>
      <c r="L1050" s="22" t="s">
        <v>3336</v>
      </c>
      <c r="M1050" s="22" t="s">
        <v>2130</v>
      </c>
      <c r="N1050" s="28" t="s">
        <v>2494</v>
      </c>
      <c r="O1050" s="28" t="s">
        <v>2016</v>
      </c>
      <c r="P1050" s="29">
        <v>21792</v>
      </c>
      <c r="Q1050" s="28" t="s">
        <v>2017</v>
      </c>
      <c r="R1050" s="38">
        <v>70.270580142168996</v>
      </c>
      <c r="S1050" s="29">
        <v>19936</v>
      </c>
      <c r="T1050" s="32">
        <v>310.115555555556</v>
      </c>
      <c r="U1050" s="32">
        <v>0</v>
      </c>
      <c r="V1050" s="38">
        <v>70.270580142168996</v>
      </c>
      <c r="W1050" s="39">
        <v>46157</v>
      </c>
      <c r="X1050" s="39">
        <v>46157</v>
      </c>
    </row>
    <row r="1051" spans="1:24" ht="15.75" thickBot="1" x14ac:dyDescent="0.3">
      <c r="A1051" t="str">
        <f t="shared" si="16"/>
        <v>RMS2610706RLA</v>
      </c>
      <c r="B1051" s="22" t="s">
        <v>5123</v>
      </c>
      <c r="C1051" s="22" t="s">
        <v>5124</v>
      </c>
      <c r="D1051" s="22" t="s">
        <v>5125</v>
      </c>
      <c r="E1051" s="22" t="s">
        <v>2527</v>
      </c>
      <c r="F1051" s="22" t="s">
        <v>2535</v>
      </c>
      <c r="G1051" s="28" t="s">
        <v>2012</v>
      </c>
      <c r="H1051" s="22" t="s">
        <v>2716</v>
      </c>
      <c r="I1051" s="22" t="s">
        <v>2717</v>
      </c>
      <c r="J1051" s="22" t="s">
        <v>261</v>
      </c>
      <c r="K1051" s="22" t="s">
        <v>924</v>
      </c>
      <c r="L1051" s="22" t="s">
        <v>2531</v>
      </c>
      <c r="M1051" s="22" t="s">
        <v>2532</v>
      </c>
      <c r="N1051" s="28" t="s">
        <v>2494</v>
      </c>
      <c r="O1051" s="28" t="s">
        <v>2016</v>
      </c>
      <c r="P1051" s="29">
        <v>29270.799999999999</v>
      </c>
      <c r="Q1051" s="28" t="s">
        <v>1164</v>
      </c>
      <c r="R1051" s="38">
        <v>70.054589124296996</v>
      </c>
      <c r="S1051" s="34">
        <v>26860.400000000001</v>
      </c>
      <c r="T1051" s="32">
        <v>417.82844444444402</v>
      </c>
      <c r="U1051" s="32">
        <v>0</v>
      </c>
      <c r="V1051" s="38">
        <v>70.054589124296996</v>
      </c>
      <c r="W1051" s="39">
        <v>46157</v>
      </c>
      <c r="X1051" s="39">
        <v>46157</v>
      </c>
    </row>
    <row r="1052" spans="1:24" ht="15.75" thickBot="1" x14ac:dyDescent="0.3">
      <c r="A1052" t="str">
        <f t="shared" si="16"/>
        <v>RMSWL68466241</v>
      </c>
      <c r="B1052" s="22" t="s">
        <v>5126</v>
      </c>
      <c r="C1052" s="21"/>
      <c r="D1052" s="22" t="s">
        <v>5127</v>
      </c>
      <c r="E1052" s="22" t="s">
        <v>2527</v>
      </c>
      <c r="F1052" s="22" t="s">
        <v>3569</v>
      </c>
      <c r="G1052" s="28" t="s">
        <v>2012</v>
      </c>
      <c r="H1052" s="22" t="s">
        <v>2536</v>
      </c>
      <c r="I1052" s="22" t="s">
        <v>2537</v>
      </c>
      <c r="J1052" s="22" t="s">
        <v>1117</v>
      </c>
      <c r="K1052" s="22" t="s">
        <v>924</v>
      </c>
      <c r="L1052" s="22" t="s">
        <v>2531</v>
      </c>
      <c r="M1052" s="22" t="s">
        <v>2532</v>
      </c>
      <c r="N1052" s="28" t="s">
        <v>2494</v>
      </c>
      <c r="O1052" s="28" t="s">
        <v>2016</v>
      </c>
      <c r="P1052" s="29">
        <v>4481</v>
      </c>
      <c r="Q1052" s="28" t="s">
        <v>1164</v>
      </c>
      <c r="R1052" s="38">
        <v>70.227962169785002</v>
      </c>
      <c r="S1052" s="34">
        <v>4101.8459999999995</v>
      </c>
      <c r="T1052" s="32">
        <v>63.806493333333002</v>
      </c>
      <c r="U1052" s="32">
        <v>0</v>
      </c>
      <c r="V1052" s="38">
        <v>70.227962169785002</v>
      </c>
      <c r="W1052" s="39">
        <v>46157</v>
      </c>
      <c r="X1052" s="39">
        <v>46157</v>
      </c>
    </row>
    <row r="1053" spans="1:24" ht="15.75" thickBot="1" x14ac:dyDescent="0.3">
      <c r="A1053" t="str">
        <f t="shared" si="16"/>
        <v>MLD2623943GH00</v>
      </c>
      <c r="B1053" s="22" t="s">
        <v>758</v>
      </c>
      <c r="C1053" s="22" t="s">
        <v>5128</v>
      </c>
      <c r="D1053" s="22" t="s">
        <v>5129</v>
      </c>
      <c r="E1053" s="21"/>
      <c r="F1053" s="22" t="s">
        <v>5130</v>
      </c>
      <c r="G1053" s="28" t="s">
        <v>2012</v>
      </c>
      <c r="H1053" s="22" t="s">
        <v>2013</v>
      </c>
      <c r="I1053" s="21"/>
      <c r="J1053" s="22" t="s">
        <v>494</v>
      </c>
      <c r="K1053" s="22" t="s">
        <v>262</v>
      </c>
      <c r="L1053" s="21"/>
      <c r="M1053" s="22" t="s">
        <v>2034</v>
      </c>
      <c r="N1053" s="28" t="s">
        <v>2015</v>
      </c>
      <c r="O1053" s="28" t="s">
        <v>2016</v>
      </c>
      <c r="P1053" s="29">
        <v>31</v>
      </c>
      <c r="Q1053" s="28" t="s">
        <v>2017</v>
      </c>
      <c r="R1053" s="38">
        <v>71.173469387755006</v>
      </c>
      <c r="S1053" s="29">
        <v>28</v>
      </c>
      <c r="T1053" s="32">
        <v>0.43555555555499997</v>
      </c>
      <c r="U1053" s="32">
        <v>0</v>
      </c>
      <c r="V1053" s="38">
        <v>71.173469387755006</v>
      </c>
      <c r="W1053" s="39">
        <v>46158</v>
      </c>
      <c r="X1053" s="39">
        <v>46160</v>
      </c>
    </row>
    <row r="1054" spans="1:24" ht="15.75" thickBot="1" x14ac:dyDescent="0.3">
      <c r="A1054" t="str">
        <f t="shared" si="16"/>
        <v>PCP14017F</v>
      </c>
      <c r="B1054" s="22" t="s">
        <v>5131</v>
      </c>
      <c r="C1054" s="21"/>
      <c r="D1054" s="22" t="s">
        <v>5132</v>
      </c>
      <c r="E1054" s="21"/>
      <c r="F1054" s="22" t="s">
        <v>2030</v>
      </c>
      <c r="G1054" s="28" t="s">
        <v>2012</v>
      </c>
      <c r="H1054" s="22" t="s">
        <v>5029</v>
      </c>
      <c r="I1054" s="22" t="s">
        <v>5030</v>
      </c>
      <c r="J1054" s="22" t="s">
        <v>261</v>
      </c>
      <c r="K1054" s="22" t="s">
        <v>262</v>
      </c>
      <c r="L1054" s="22" t="s">
        <v>3312</v>
      </c>
      <c r="M1054" s="22" t="s">
        <v>2130</v>
      </c>
      <c r="N1054" s="28" t="s">
        <v>2494</v>
      </c>
      <c r="O1054" s="28" t="s">
        <v>2016</v>
      </c>
      <c r="P1054" s="29">
        <v>14099</v>
      </c>
      <c r="Q1054" s="28" t="s">
        <v>2017</v>
      </c>
      <c r="R1054" s="38">
        <v>72.480150796824006</v>
      </c>
      <c r="S1054" s="29">
        <v>12505</v>
      </c>
      <c r="T1054" s="32">
        <v>194.52222222222201</v>
      </c>
      <c r="U1054" s="32">
        <v>0</v>
      </c>
      <c r="V1054" s="38">
        <v>72.480150796824006</v>
      </c>
      <c r="W1054" s="39">
        <v>46159</v>
      </c>
      <c r="X1054" s="39">
        <v>46160</v>
      </c>
    </row>
    <row r="1055" spans="1:24" ht="15.75" thickBot="1" x14ac:dyDescent="0.3">
      <c r="A1055" t="str">
        <f t="shared" si="16"/>
        <v>PCP14540V</v>
      </c>
      <c r="B1055" s="22" t="s">
        <v>5133</v>
      </c>
      <c r="C1055" s="21"/>
      <c r="D1055" s="22" t="s">
        <v>5134</v>
      </c>
      <c r="E1055" s="21"/>
      <c r="F1055" s="22" t="s">
        <v>2030</v>
      </c>
      <c r="G1055" s="28" t="s">
        <v>2012</v>
      </c>
      <c r="H1055" s="22" t="s">
        <v>3310</v>
      </c>
      <c r="I1055" s="22" t="s">
        <v>3311</v>
      </c>
      <c r="J1055" s="22" t="s">
        <v>261</v>
      </c>
      <c r="K1055" s="22" t="s">
        <v>262</v>
      </c>
      <c r="L1055" s="22" t="s">
        <v>3312</v>
      </c>
      <c r="M1055" s="22" t="s">
        <v>2130</v>
      </c>
      <c r="N1055" s="28" t="s">
        <v>2494</v>
      </c>
      <c r="O1055" s="28" t="s">
        <v>2016</v>
      </c>
      <c r="P1055" s="29">
        <v>4927</v>
      </c>
      <c r="Q1055" s="28" t="s">
        <v>2017</v>
      </c>
      <c r="R1055" s="38">
        <v>71.160573867829996</v>
      </c>
      <c r="S1055" s="29">
        <v>4451</v>
      </c>
      <c r="T1055" s="32">
        <v>69.237777777776998</v>
      </c>
      <c r="U1055" s="32">
        <v>0</v>
      </c>
      <c r="V1055" s="38">
        <v>71.160573867829996</v>
      </c>
      <c r="W1055" s="39">
        <v>46158</v>
      </c>
      <c r="X1055" s="39">
        <v>46160</v>
      </c>
    </row>
    <row r="1056" spans="1:24" ht="15.75" thickBot="1" x14ac:dyDescent="0.3">
      <c r="A1056" t="str">
        <f t="shared" si="16"/>
        <v>PCSA61216AB</v>
      </c>
      <c r="B1056" s="22" t="s">
        <v>5135</v>
      </c>
      <c r="C1056" s="21"/>
      <c r="D1056" s="22" t="s">
        <v>5136</v>
      </c>
      <c r="E1056" s="22" t="s">
        <v>3623</v>
      </c>
      <c r="F1056" s="22" t="s">
        <v>2030</v>
      </c>
      <c r="G1056" s="28" t="s">
        <v>2012</v>
      </c>
      <c r="H1056" s="22" t="s">
        <v>5137</v>
      </c>
      <c r="I1056" s="22" t="s">
        <v>4917</v>
      </c>
      <c r="J1056" s="22" t="s">
        <v>494</v>
      </c>
      <c r="K1056" s="22" t="s">
        <v>924</v>
      </c>
      <c r="L1056" s="22" t="s">
        <v>3628</v>
      </c>
      <c r="M1056" s="22" t="s">
        <v>2130</v>
      </c>
      <c r="N1056" s="28" t="s">
        <v>2494</v>
      </c>
      <c r="O1056" s="28" t="s">
        <v>2016</v>
      </c>
      <c r="P1056" s="29">
        <v>38930</v>
      </c>
      <c r="Q1056" s="28" t="s">
        <v>2017</v>
      </c>
      <c r="R1056" s="38">
        <v>71.365428799556</v>
      </c>
      <c r="S1056" s="29">
        <v>35068</v>
      </c>
      <c r="T1056" s="32">
        <v>545.50222222222203</v>
      </c>
      <c r="U1056" s="32">
        <v>0</v>
      </c>
      <c r="V1056" s="38">
        <v>71.365428799556</v>
      </c>
      <c r="W1056" s="39">
        <v>46158</v>
      </c>
      <c r="X1056" s="39">
        <v>46160</v>
      </c>
    </row>
    <row r="1057" spans="1:24" ht="15.75" thickBot="1" x14ac:dyDescent="0.3">
      <c r="A1057" t="str">
        <f t="shared" si="16"/>
        <v>RMPADX2353</v>
      </c>
      <c r="B1057" s="22" t="s">
        <v>5138</v>
      </c>
      <c r="C1057" s="22" t="s">
        <v>5139</v>
      </c>
      <c r="D1057" s="22" t="s">
        <v>5140</v>
      </c>
      <c r="E1057" s="22" t="s">
        <v>5141</v>
      </c>
      <c r="F1057" s="22" t="s">
        <v>2030</v>
      </c>
      <c r="G1057" s="28" t="s">
        <v>2012</v>
      </c>
      <c r="H1057" s="22" t="s">
        <v>3745</v>
      </c>
      <c r="I1057" s="22" t="s">
        <v>3746</v>
      </c>
      <c r="J1057" s="22" t="s">
        <v>698</v>
      </c>
      <c r="K1057" s="22" t="s">
        <v>262</v>
      </c>
      <c r="L1057" s="22" t="s">
        <v>3380</v>
      </c>
      <c r="M1057" s="22" t="s">
        <v>2523</v>
      </c>
      <c r="N1057" s="28" t="s">
        <v>2494</v>
      </c>
      <c r="O1057" s="28" t="s">
        <v>2016</v>
      </c>
      <c r="P1057" s="29">
        <v>3254.87</v>
      </c>
      <c r="Q1057" s="28" t="s">
        <v>1164</v>
      </c>
      <c r="R1057" s="38">
        <v>73.872553143456997</v>
      </c>
      <c r="S1057" s="34">
        <v>2832.4679999999998</v>
      </c>
      <c r="T1057" s="32">
        <v>44.060613333333002</v>
      </c>
      <c r="U1057" s="32">
        <v>0</v>
      </c>
      <c r="V1057" s="38">
        <v>73.872553143456997</v>
      </c>
      <c r="W1057" s="39">
        <v>46160</v>
      </c>
      <c r="X1057" s="39">
        <v>46160</v>
      </c>
    </row>
    <row r="1058" spans="1:24" ht="15.75" thickBot="1" x14ac:dyDescent="0.3">
      <c r="A1058" t="str">
        <f t="shared" si="16"/>
        <v>RMSE410A42RL</v>
      </c>
      <c r="B1058" s="22" t="s">
        <v>5142</v>
      </c>
      <c r="C1058" s="22" t="s">
        <v>5143</v>
      </c>
      <c r="D1058" s="22" t="s">
        <v>5144</v>
      </c>
      <c r="E1058" s="22" t="s">
        <v>2527</v>
      </c>
      <c r="F1058" s="22" t="s">
        <v>2570</v>
      </c>
      <c r="G1058" s="28" t="s">
        <v>2012</v>
      </c>
      <c r="H1058" s="22" t="s">
        <v>2716</v>
      </c>
      <c r="I1058" s="22" t="s">
        <v>2717</v>
      </c>
      <c r="J1058" s="22" t="s">
        <v>261</v>
      </c>
      <c r="K1058" s="22" t="s">
        <v>924</v>
      </c>
      <c r="L1058" s="22" t="s">
        <v>2531</v>
      </c>
      <c r="M1058" s="22" t="s">
        <v>2532</v>
      </c>
      <c r="N1058" s="28" t="s">
        <v>2494</v>
      </c>
      <c r="O1058" s="28" t="s">
        <v>2016</v>
      </c>
      <c r="P1058" s="29">
        <v>5330.8339999999998</v>
      </c>
      <c r="Q1058" s="28" t="s">
        <v>1164</v>
      </c>
      <c r="R1058" s="38">
        <v>72.733624191993997</v>
      </c>
      <c r="S1058" s="34">
        <v>4711.665</v>
      </c>
      <c r="T1058" s="32">
        <v>73.292566666666005</v>
      </c>
      <c r="U1058" s="32">
        <v>0</v>
      </c>
      <c r="V1058" s="38">
        <v>72.733624191993997</v>
      </c>
      <c r="W1058" s="39">
        <v>46159</v>
      </c>
      <c r="X1058" s="39">
        <v>46160</v>
      </c>
    </row>
    <row r="1059" spans="1:24" ht="15.75" thickBot="1" x14ac:dyDescent="0.3">
      <c r="A1059" t="str">
        <f t="shared" si="16"/>
        <v>RMSWL68426189</v>
      </c>
      <c r="B1059" s="22" t="s">
        <v>5145</v>
      </c>
      <c r="C1059" s="22" t="s">
        <v>5146</v>
      </c>
      <c r="D1059" s="22" t="s">
        <v>5147</v>
      </c>
      <c r="E1059" s="22" t="s">
        <v>2527</v>
      </c>
      <c r="F1059" s="22" t="s">
        <v>3569</v>
      </c>
      <c r="G1059" s="28" t="s">
        <v>2012</v>
      </c>
      <c r="H1059" s="22" t="s">
        <v>5148</v>
      </c>
      <c r="I1059" s="22" t="s">
        <v>5149</v>
      </c>
      <c r="J1059" s="22" t="s">
        <v>1117</v>
      </c>
      <c r="K1059" s="22" t="s">
        <v>924</v>
      </c>
      <c r="L1059" s="22" t="s">
        <v>2531</v>
      </c>
      <c r="M1059" s="22" t="s">
        <v>2532</v>
      </c>
      <c r="N1059" s="28" t="s">
        <v>2494</v>
      </c>
      <c r="O1059" s="28" t="s">
        <v>2016</v>
      </c>
      <c r="P1059" s="29">
        <v>20645.288</v>
      </c>
      <c r="Q1059" s="28" t="s">
        <v>1164</v>
      </c>
      <c r="R1059" s="38">
        <v>73.668408711934006</v>
      </c>
      <c r="S1059" s="34">
        <v>18015.824000000001</v>
      </c>
      <c r="T1059" s="32">
        <v>280.24615111111098</v>
      </c>
      <c r="U1059" s="32">
        <v>0</v>
      </c>
      <c r="V1059" s="38">
        <v>73.668408711934006</v>
      </c>
      <c r="W1059" s="39">
        <v>46160</v>
      </c>
      <c r="X1059" s="39">
        <v>46160</v>
      </c>
    </row>
    <row r="1060" spans="1:24" ht="15.75" thickBot="1" x14ac:dyDescent="0.3">
      <c r="A1060" t="str">
        <f t="shared" si="16"/>
        <v>PCPGMBEE95594</v>
      </c>
      <c r="B1060" s="22" t="s">
        <v>5150</v>
      </c>
      <c r="C1060" s="21"/>
      <c r="D1060" s="22" t="s">
        <v>5151</v>
      </c>
      <c r="E1060" s="22" t="s">
        <v>4802</v>
      </c>
      <c r="F1060" s="22" t="s">
        <v>2030</v>
      </c>
      <c r="G1060" s="28" t="s">
        <v>2012</v>
      </c>
      <c r="H1060" s="22" t="s">
        <v>3897</v>
      </c>
      <c r="I1060" s="22" t="s">
        <v>3898</v>
      </c>
      <c r="J1060" s="22" t="s">
        <v>404</v>
      </c>
      <c r="K1060" s="22" t="s">
        <v>262</v>
      </c>
      <c r="L1060" s="22" t="s">
        <v>3858</v>
      </c>
      <c r="M1060" s="22" t="s">
        <v>4055</v>
      </c>
      <c r="N1060" s="28" t="s">
        <v>2494</v>
      </c>
      <c r="O1060" s="28" t="s">
        <v>2016</v>
      </c>
      <c r="P1060" s="29">
        <v>635</v>
      </c>
      <c r="Q1060" s="28" t="s">
        <v>2017</v>
      </c>
      <c r="R1060" s="38">
        <v>74.08607726212</v>
      </c>
      <c r="S1060" s="29">
        <v>551</v>
      </c>
      <c r="T1060" s="32">
        <v>8.5711111111109997</v>
      </c>
      <c r="U1060" s="32">
        <v>0</v>
      </c>
      <c r="V1060" s="38">
        <v>74.08607726212</v>
      </c>
      <c r="W1060" s="39">
        <v>46161</v>
      </c>
      <c r="X1060" s="39">
        <v>46161</v>
      </c>
    </row>
    <row r="1061" spans="1:24" ht="15.75" thickBot="1" x14ac:dyDescent="0.3">
      <c r="A1061" t="str">
        <f t="shared" si="16"/>
        <v>PCPW710488</v>
      </c>
      <c r="B1061" s="22" t="s">
        <v>5152</v>
      </c>
      <c r="C1061" s="22" t="s">
        <v>5153</v>
      </c>
      <c r="D1061" s="22" t="s">
        <v>3618</v>
      </c>
      <c r="E1061" s="22" t="s">
        <v>3619</v>
      </c>
      <c r="F1061" s="22" t="s">
        <v>2030</v>
      </c>
      <c r="G1061" s="28" t="s">
        <v>2012</v>
      </c>
      <c r="H1061" s="22" t="s">
        <v>5154</v>
      </c>
      <c r="I1061" s="22" t="s">
        <v>4703</v>
      </c>
      <c r="J1061" s="22" t="s">
        <v>261</v>
      </c>
      <c r="K1061" s="22" t="s">
        <v>262</v>
      </c>
      <c r="L1061" s="22" t="s">
        <v>3620</v>
      </c>
      <c r="M1061" s="22" t="s">
        <v>2130</v>
      </c>
      <c r="N1061" s="28" t="s">
        <v>2494</v>
      </c>
      <c r="O1061" s="28" t="s">
        <v>2016</v>
      </c>
      <c r="P1061" s="29">
        <v>39260</v>
      </c>
      <c r="Q1061" s="28" t="s">
        <v>2017</v>
      </c>
      <c r="R1061" s="38">
        <v>74.918580588254997</v>
      </c>
      <c r="S1061" s="29">
        <v>33688</v>
      </c>
      <c r="T1061" s="32">
        <v>524.03555555555602</v>
      </c>
      <c r="U1061" s="32">
        <v>0</v>
      </c>
      <c r="V1061" s="38">
        <v>74.918580588254997</v>
      </c>
      <c r="W1061" s="39">
        <v>46161</v>
      </c>
      <c r="X1061" s="39">
        <v>46161</v>
      </c>
    </row>
    <row r="1062" spans="1:24" ht="15.75" thickBot="1" x14ac:dyDescent="0.3">
      <c r="A1062" t="str">
        <f t="shared" si="16"/>
        <v>RMS2650291AA</v>
      </c>
      <c r="B1062" s="22" t="s">
        <v>5155</v>
      </c>
      <c r="C1062" s="22" t="s">
        <v>5156</v>
      </c>
      <c r="D1062" s="22" t="s">
        <v>5157</v>
      </c>
      <c r="E1062" s="22" t="s">
        <v>2527</v>
      </c>
      <c r="F1062" s="22" t="s">
        <v>5158</v>
      </c>
      <c r="G1062" s="28" t="s">
        <v>2012</v>
      </c>
      <c r="H1062" s="22" t="s">
        <v>2529</v>
      </c>
      <c r="I1062" s="22" t="s">
        <v>2530</v>
      </c>
      <c r="J1062" s="22" t="s">
        <v>261</v>
      </c>
      <c r="K1062" s="22" t="s">
        <v>924</v>
      </c>
      <c r="L1062" s="22" t="s">
        <v>2531</v>
      </c>
      <c r="M1062" s="22" t="s">
        <v>2532</v>
      </c>
      <c r="N1062" s="28" t="s">
        <v>2494</v>
      </c>
      <c r="O1062" s="28" t="s">
        <v>2016</v>
      </c>
      <c r="P1062" s="29">
        <v>43676.2</v>
      </c>
      <c r="Q1062" s="28" t="s">
        <v>1164</v>
      </c>
      <c r="R1062" s="38">
        <v>74.354156628838993</v>
      </c>
      <c r="S1062" s="34">
        <v>37761.919999999998</v>
      </c>
      <c r="T1062" s="32">
        <v>587.40764444444403</v>
      </c>
      <c r="U1062" s="32">
        <v>0</v>
      </c>
      <c r="V1062" s="38">
        <v>74.354156628838993</v>
      </c>
      <c r="W1062" s="39">
        <v>46161</v>
      </c>
      <c r="X1062" s="39">
        <v>46161</v>
      </c>
    </row>
    <row r="1063" spans="1:24" ht="15.75" thickBot="1" x14ac:dyDescent="0.3">
      <c r="A1063" t="str">
        <f t="shared" si="16"/>
        <v>86808195</v>
      </c>
      <c r="B1063" s="22" t="s">
        <v>454</v>
      </c>
      <c r="C1063" s="22" t="s">
        <v>5159</v>
      </c>
      <c r="D1063" s="22" t="s">
        <v>2317</v>
      </c>
      <c r="E1063" s="22" t="s">
        <v>3496</v>
      </c>
      <c r="F1063" s="22" t="s">
        <v>4559</v>
      </c>
      <c r="G1063" s="28" t="s">
        <v>2012</v>
      </c>
      <c r="H1063" s="22" t="s">
        <v>2027</v>
      </c>
      <c r="I1063" s="21"/>
      <c r="J1063" s="22" t="s">
        <v>404</v>
      </c>
      <c r="K1063" s="22" t="s">
        <v>262</v>
      </c>
      <c r="L1063" s="21"/>
      <c r="M1063" s="22" t="s">
        <v>2014</v>
      </c>
      <c r="N1063" s="28" t="s">
        <v>2015</v>
      </c>
      <c r="O1063" s="28" t="s">
        <v>2016</v>
      </c>
      <c r="P1063" s="29">
        <v>854</v>
      </c>
      <c r="Q1063" s="28" t="s">
        <v>2017</v>
      </c>
      <c r="R1063" s="38">
        <v>75.412087912087003</v>
      </c>
      <c r="S1063" s="29">
        <v>728</v>
      </c>
      <c r="T1063" s="32">
        <v>11.324444444444</v>
      </c>
      <c r="U1063" s="32">
        <v>0</v>
      </c>
      <c r="V1063" s="38">
        <v>75.412087912087003</v>
      </c>
      <c r="W1063" s="39">
        <v>46162</v>
      </c>
      <c r="X1063" s="39">
        <v>46162</v>
      </c>
    </row>
    <row r="1064" spans="1:24" ht="15.75" thickBot="1" x14ac:dyDescent="0.3">
      <c r="A1064" t="str">
        <f t="shared" si="16"/>
        <v>RMS2101530AA</v>
      </c>
      <c r="B1064" s="22" t="s">
        <v>5160</v>
      </c>
      <c r="C1064" s="22" t="s">
        <v>5161</v>
      </c>
      <c r="D1064" s="22" t="s">
        <v>5162</v>
      </c>
      <c r="E1064" s="22" t="s">
        <v>2527</v>
      </c>
      <c r="F1064" s="22" t="s">
        <v>4256</v>
      </c>
      <c r="G1064" s="28" t="s">
        <v>2012</v>
      </c>
      <c r="H1064" s="22" t="s">
        <v>2549</v>
      </c>
      <c r="I1064" s="22" t="s">
        <v>2550</v>
      </c>
      <c r="J1064" s="22" t="s">
        <v>261</v>
      </c>
      <c r="K1064" s="22" t="s">
        <v>924</v>
      </c>
      <c r="L1064" s="22" t="s">
        <v>2531</v>
      </c>
      <c r="M1064" s="22" t="s">
        <v>2532</v>
      </c>
      <c r="N1064" s="28" t="s">
        <v>2494</v>
      </c>
      <c r="O1064" s="28" t="s">
        <v>2016</v>
      </c>
      <c r="P1064" s="29">
        <v>21960</v>
      </c>
      <c r="Q1064" s="28" t="s">
        <v>1164</v>
      </c>
      <c r="R1064" s="38">
        <v>75.664302252930995</v>
      </c>
      <c r="S1064" s="34">
        <v>18657.599999999999</v>
      </c>
      <c r="T1064" s="32">
        <v>290.22933333333299</v>
      </c>
      <c r="U1064" s="32">
        <v>0</v>
      </c>
      <c r="V1064" s="38">
        <v>75.664302252930995</v>
      </c>
      <c r="W1064" s="39">
        <v>46162</v>
      </c>
      <c r="X1064" s="39">
        <v>46162</v>
      </c>
    </row>
    <row r="1065" spans="1:24" ht="15.75" thickBot="1" x14ac:dyDescent="0.3">
      <c r="A1065" t="str">
        <f t="shared" si="16"/>
        <v>KB3B 26291A35 AD</v>
      </c>
      <c r="B1065" s="22" t="s">
        <v>600</v>
      </c>
      <c r="C1065" s="22" t="s">
        <v>5163</v>
      </c>
      <c r="D1065" s="22" t="s">
        <v>5164</v>
      </c>
      <c r="E1065" s="21"/>
      <c r="F1065" s="22" t="s">
        <v>2640</v>
      </c>
      <c r="G1065" s="28" t="s">
        <v>2012</v>
      </c>
      <c r="H1065" s="22" t="s">
        <v>2080</v>
      </c>
      <c r="I1065" s="21"/>
      <c r="J1065" s="22" t="s">
        <v>494</v>
      </c>
      <c r="K1065" s="22" t="s">
        <v>262</v>
      </c>
      <c r="L1065" s="22" t="s">
        <v>2641</v>
      </c>
      <c r="M1065" s="22" t="s">
        <v>2014</v>
      </c>
      <c r="N1065" s="28" t="s">
        <v>2015</v>
      </c>
      <c r="O1065" s="28" t="s">
        <v>2016</v>
      </c>
      <c r="P1065" s="29">
        <v>459</v>
      </c>
      <c r="Q1065" s="28" t="s">
        <v>2017</v>
      </c>
      <c r="R1065" s="38">
        <v>77.042148452069995</v>
      </c>
      <c r="S1065" s="29">
        <v>383</v>
      </c>
      <c r="T1065" s="32">
        <v>5.9577777777770002</v>
      </c>
      <c r="U1065" s="32">
        <v>0</v>
      </c>
      <c r="V1065" s="38">
        <v>77.042148452069995</v>
      </c>
      <c r="W1065" s="39">
        <v>46164</v>
      </c>
      <c r="X1065" s="39">
        <v>46164</v>
      </c>
    </row>
    <row r="1066" spans="1:24" ht="15.75" thickBot="1" x14ac:dyDescent="0.3">
      <c r="A1066" t="str">
        <f t="shared" si="16"/>
        <v>RMS21023A41A</v>
      </c>
      <c r="B1066" s="22" t="s">
        <v>5165</v>
      </c>
      <c r="C1066" s="21"/>
      <c r="D1066" s="22" t="s">
        <v>5166</v>
      </c>
      <c r="E1066" s="22" t="s">
        <v>2527</v>
      </c>
      <c r="F1066" s="22" t="s">
        <v>5167</v>
      </c>
      <c r="G1066" s="28" t="s">
        <v>2012</v>
      </c>
      <c r="H1066" s="22" t="s">
        <v>2536</v>
      </c>
      <c r="I1066" s="22" t="s">
        <v>2537</v>
      </c>
      <c r="J1066" s="22" t="s">
        <v>261</v>
      </c>
      <c r="K1066" s="22" t="s">
        <v>924</v>
      </c>
      <c r="L1066" s="22" t="s">
        <v>2531</v>
      </c>
      <c r="M1066" s="22" t="s">
        <v>2532</v>
      </c>
      <c r="N1066" s="28" t="s">
        <v>2494</v>
      </c>
      <c r="O1066" s="28" t="s">
        <v>2016</v>
      </c>
      <c r="P1066" s="29">
        <v>2700</v>
      </c>
      <c r="Q1066" s="28" t="s">
        <v>1164</v>
      </c>
      <c r="R1066" s="38">
        <v>77.840795008860994</v>
      </c>
      <c r="S1066" s="34">
        <v>2229.826</v>
      </c>
      <c r="T1066" s="32">
        <v>34.686182222222001</v>
      </c>
      <c r="U1066" s="32">
        <v>0</v>
      </c>
      <c r="V1066" s="38">
        <v>77.840795008860994</v>
      </c>
      <c r="W1066" s="39">
        <v>46164</v>
      </c>
      <c r="X1066" s="39">
        <v>46164</v>
      </c>
    </row>
    <row r="1067" spans="1:24" ht="15.75" thickBot="1" x14ac:dyDescent="0.3">
      <c r="A1067" t="str">
        <f t="shared" si="16"/>
        <v>DETX67110</v>
      </c>
      <c r="B1067" s="22" t="s">
        <v>1306</v>
      </c>
      <c r="C1067" s="22" t="s">
        <v>4105</v>
      </c>
      <c r="D1067" s="22" t="s">
        <v>3041</v>
      </c>
      <c r="E1067" s="21"/>
      <c r="F1067" s="22" t="s">
        <v>5168</v>
      </c>
      <c r="G1067" s="28" t="s">
        <v>2012</v>
      </c>
      <c r="H1067" s="22" t="s">
        <v>2055</v>
      </c>
      <c r="I1067" s="21"/>
      <c r="J1067" s="22" t="s">
        <v>364</v>
      </c>
      <c r="K1067" s="22" t="s">
        <v>924</v>
      </c>
      <c r="L1067" s="21"/>
      <c r="M1067" s="22" t="s">
        <v>2034</v>
      </c>
      <c r="N1067" s="28" t="s">
        <v>2015</v>
      </c>
      <c r="O1067" s="28" t="s">
        <v>2016</v>
      </c>
      <c r="P1067" s="29">
        <v>1552</v>
      </c>
      <c r="Q1067" s="28" t="s">
        <v>2017</v>
      </c>
      <c r="R1067" s="38">
        <v>79.183673469387003</v>
      </c>
      <c r="S1067" s="29">
        <v>1260</v>
      </c>
      <c r="T1067" s="32">
        <v>19.600000000000001</v>
      </c>
      <c r="U1067" s="32">
        <v>0</v>
      </c>
      <c r="V1067" s="38">
        <v>79.183673469387003</v>
      </c>
      <c r="W1067" s="39">
        <v>46166</v>
      </c>
      <c r="X1067" s="39">
        <v>46167</v>
      </c>
    </row>
    <row r="1068" spans="1:24" ht="15.75" thickBot="1" x14ac:dyDescent="0.3">
      <c r="A1068" t="str">
        <f t="shared" si="16"/>
        <v>M2DB X502A74 AD</v>
      </c>
      <c r="B1068" s="22" t="s">
        <v>1612</v>
      </c>
      <c r="C1068" s="22" t="s">
        <v>5169</v>
      </c>
      <c r="D1068" s="22" t="s">
        <v>1611</v>
      </c>
      <c r="E1068" s="21"/>
      <c r="F1068" s="22" t="s">
        <v>2139</v>
      </c>
      <c r="G1068" s="28" t="s">
        <v>2012</v>
      </c>
      <c r="H1068" s="22" t="s">
        <v>2080</v>
      </c>
      <c r="I1068" s="21"/>
      <c r="J1068" s="22" t="s">
        <v>364</v>
      </c>
      <c r="K1068" s="22" t="s">
        <v>924</v>
      </c>
      <c r="L1068" s="21"/>
      <c r="M1068" s="22" t="s">
        <v>2014</v>
      </c>
      <c r="N1068" s="28" t="s">
        <v>2015</v>
      </c>
      <c r="O1068" s="28" t="s">
        <v>2016</v>
      </c>
      <c r="P1068" s="29">
        <v>500</v>
      </c>
      <c r="Q1068" s="28" t="s">
        <v>2017</v>
      </c>
      <c r="R1068" s="38">
        <v>79.957356076758998</v>
      </c>
      <c r="S1068" s="29">
        <v>402</v>
      </c>
      <c r="T1068" s="32">
        <v>6.2533333333329999</v>
      </c>
      <c r="U1068" s="32">
        <v>0</v>
      </c>
      <c r="V1068" s="38">
        <v>79.957356076758998</v>
      </c>
      <c r="W1068" s="39">
        <v>46166</v>
      </c>
      <c r="X1068" s="39">
        <v>46167</v>
      </c>
    </row>
    <row r="1069" spans="1:24" ht="15.75" thickBot="1" x14ac:dyDescent="0.3">
      <c r="A1069" t="str">
        <f t="shared" si="16"/>
        <v>DET68426191</v>
      </c>
      <c r="B1069" s="22" t="s">
        <v>1452</v>
      </c>
      <c r="C1069" s="22" t="s">
        <v>3069</v>
      </c>
      <c r="D1069" s="22" t="s">
        <v>5170</v>
      </c>
      <c r="E1069" s="21"/>
      <c r="F1069" s="22" t="s">
        <v>5171</v>
      </c>
      <c r="G1069" s="28" t="s">
        <v>2012</v>
      </c>
      <c r="H1069" s="22" t="s">
        <v>2022</v>
      </c>
      <c r="I1069" s="21"/>
      <c r="J1069" s="22" t="s">
        <v>1117</v>
      </c>
      <c r="K1069" s="22" t="s">
        <v>924</v>
      </c>
      <c r="L1069" s="21"/>
      <c r="M1069" s="22" t="s">
        <v>2034</v>
      </c>
      <c r="N1069" s="28" t="s">
        <v>2015</v>
      </c>
      <c r="O1069" s="28" t="s">
        <v>2016</v>
      </c>
      <c r="P1069" s="29">
        <v>37572</v>
      </c>
      <c r="Q1069" s="28" t="s">
        <v>2017</v>
      </c>
      <c r="R1069" s="38">
        <v>81.084425176004999</v>
      </c>
      <c r="S1069" s="29">
        <v>29788</v>
      </c>
      <c r="T1069" s="32">
        <v>463.36888888888899</v>
      </c>
      <c r="U1069" s="32">
        <v>0</v>
      </c>
      <c r="V1069" s="38">
        <v>81.084425176004999</v>
      </c>
      <c r="W1069" s="39">
        <v>46168</v>
      </c>
      <c r="X1069" s="39">
        <v>46168</v>
      </c>
    </row>
    <row r="1070" spans="1:24" ht="15.75" thickBot="1" x14ac:dyDescent="0.3">
      <c r="A1070" t="str">
        <f t="shared" si="16"/>
        <v>MLD17E810GC</v>
      </c>
      <c r="B1070" s="22" t="s">
        <v>857</v>
      </c>
      <c r="C1070" s="22" t="s">
        <v>5172</v>
      </c>
      <c r="D1070" s="22" t="s">
        <v>5173</v>
      </c>
      <c r="E1070" s="22" t="s">
        <v>4950</v>
      </c>
      <c r="F1070" s="22" t="s">
        <v>5174</v>
      </c>
      <c r="G1070" s="28" t="s">
        <v>2012</v>
      </c>
      <c r="H1070" s="22" t="s">
        <v>2013</v>
      </c>
      <c r="I1070" s="21"/>
      <c r="J1070" s="22" t="s">
        <v>364</v>
      </c>
      <c r="K1070" s="22" t="s">
        <v>262</v>
      </c>
      <c r="L1070" s="21"/>
      <c r="M1070" s="22" t="s">
        <v>2034</v>
      </c>
      <c r="N1070" s="28" t="s">
        <v>2015</v>
      </c>
      <c r="O1070" s="28" t="s">
        <v>2016</v>
      </c>
      <c r="P1070" s="29">
        <v>2737</v>
      </c>
      <c r="Q1070" s="28" t="s">
        <v>2017</v>
      </c>
      <c r="R1070" s="38">
        <v>81.496062992125999</v>
      </c>
      <c r="S1070" s="29">
        <v>2159</v>
      </c>
      <c r="T1070" s="32">
        <v>33.584444444444003</v>
      </c>
      <c r="U1070" s="32">
        <v>0</v>
      </c>
      <c r="V1070" s="38">
        <v>81.496062992125999</v>
      </c>
      <c r="W1070" s="39">
        <v>46168</v>
      </c>
      <c r="X1070" s="39">
        <v>46168</v>
      </c>
    </row>
    <row r="1071" spans="1:24" ht="15.75" thickBot="1" x14ac:dyDescent="0.3">
      <c r="A1071" t="str">
        <f t="shared" si="16"/>
        <v>1-11195-0100-302</v>
      </c>
      <c r="B1071" s="22" t="s">
        <v>552</v>
      </c>
      <c r="C1071" s="22" t="s">
        <v>5175</v>
      </c>
      <c r="D1071" s="22" t="s">
        <v>5176</v>
      </c>
      <c r="E1071" s="22" t="s">
        <v>4670</v>
      </c>
      <c r="F1071" s="22" t="s">
        <v>2026</v>
      </c>
      <c r="G1071" s="28" t="s">
        <v>2012</v>
      </c>
      <c r="H1071" s="22" t="s">
        <v>4671</v>
      </c>
      <c r="I1071" s="21"/>
      <c r="J1071" s="22" t="s">
        <v>404</v>
      </c>
      <c r="K1071" s="22" t="s">
        <v>262</v>
      </c>
      <c r="L1071" s="21"/>
      <c r="M1071" s="22" t="s">
        <v>2014</v>
      </c>
      <c r="N1071" s="28" t="s">
        <v>2015</v>
      </c>
      <c r="O1071" s="28" t="s">
        <v>2016</v>
      </c>
      <c r="P1071" s="29">
        <v>997</v>
      </c>
      <c r="Q1071" s="28" t="s">
        <v>2017</v>
      </c>
      <c r="R1071" s="38">
        <v>82.170329670328996</v>
      </c>
      <c r="S1071" s="29">
        <v>780</v>
      </c>
      <c r="T1071" s="32">
        <v>12.133333333333001</v>
      </c>
      <c r="U1071" s="32">
        <v>0</v>
      </c>
      <c r="V1071" s="38">
        <v>82.170329670328996</v>
      </c>
      <c r="W1071" s="39">
        <v>46169</v>
      </c>
      <c r="X1071" s="39">
        <v>46169</v>
      </c>
    </row>
    <row r="1072" spans="1:24" ht="15.75" thickBot="1" x14ac:dyDescent="0.3">
      <c r="A1072" t="str">
        <f t="shared" si="16"/>
        <v>RMS17A040</v>
      </c>
      <c r="B1072" s="22" t="s">
        <v>5177</v>
      </c>
      <c r="C1072" s="21"/>
      <c r="D1072" s="22" t="s">
        <v>5178</v>
      </c>
      <c r="E1072" s="22" t="s">
        <v>2527</v>
      </c>
      <c r="F1072" s="22" t="s">
        <v>3384</v>
      </c>
      <c r="G1072" s="28" t="s">
        <v>2012</v>
      </c>
      <c r="H1072" s="22" t="s">
        <v>2536</v>
      </c>
      <c r="I1072" s="22" t="s">
        <v>2537</v>
      </c>
      <c r="J1072" s="22" t="s">
        <v>261</v>
      </c>
      <c r="K1072" s="22" t="s">
        <v>924</v>
      </c>
      <c r="L1072" s="22" t="s">
        <v>2531</v>
      </c>
      <c r="M1072" s="22" t="s">
        <v>2532</v>
      </c>
      <c r="N1072" s="28" t="s">
        <v>2494</v>
      </c>
      <c r="O1072" s="28" t="s">
        <v>2016</v>
      </c>
      <c r="P1072" s="29">
        <v>7078</v>
      </c>
      <c r="Q1072" s="28" t="s">
        <v>1164</v>
      </c>
      <c r="R1072" s="38">
        <v>82.705810257794994</v>
      </c>
      <c r="S1072" s="34">
        <v>5501.6</v>
      </c>
      <c r="T1072" s="32">
        <v>85.580444444443998</v>
      </c>
      <c r="U1072" s="32">
        <v>0</v>
      </c>
      <c r="V1072" s="38">
        <v>82.705810257794994</v>
      </c>
      <c r="W1072" s="39">
        <v>46169</v>
      </c>
      <c r="X1072" s="39">
        <v>46169</v>
      </c>
    </row>
    <row r="1073" spans="1:24" ht="15.75" thickBot="1" x14ac:dyDescent="0.3">
      <c r="A1073" t="str">
        <f t="shared" si="16"/>
        <v>DET26103B60B</v>
      </c>
      <c r="B1073" s="22" t="s">
        <v>1423</v>
      </c>
      <c r="C1073" s="22" t="s">
        <v>4590</v>
      </c>
      <c r="D1073" s="22" t="s">
        <v>4591</v>
      </c>
      <c r="E1073" s="22" t="s">
        <v>3187</v>
      </c>
      <c r="F1073" s="22" t="s">
        <v>4592</v>
      </c>
      <c r="G1073" s="28" t="s">
        <v>2012</v>
      </c>
      <c r="H1073" s="22" t="s">
        <v>2080</v>
      </c>
      <c r="I1073" s="21"/>
      <c r="J1073" s="22" t="s">
        <v>494</v>
      </c>
      <c r="K1073" s="22" t="s">
        <v>924</v>
      </c>
      <c r="L1073" s="21"/>
      <c r="M1073" s="22" t="s">
        <v>2034</v>
      </c>
      <c r="N1073" s="28" t="s">
        <v>2015</v>
      </c>
      <c r="O1073" s="28" t="s">
        <v>2016</v>
      </c>
      <c r="P1073" s="29">
        <v>300</v>
      </c>
      <c r="Q1073" s="28" t="s">
        <v>2017</v>
      </c>
      <c r="R1073" s="38">
        <v>87.662337662336995</v>
      </c>
      <c r="S1073" s="29">
        <v>220</v>
      </c>
      <c r="T1073" s="32">
        <v>3.422222222222</v>
      </c>
      <c r="U1073" s="32">
        <v>0</v>
      </c>
      <c r="V1073" s="38">
        <v>87.662337662336995</v>
      </c>
      <c r="W1073" s="39">
        <v>46174</v>
      </c>
      <c r="X1073" s="39">
        <v>46174</v>
      </c>
    </row>
    <row r="1074" spans="1:24" ht="15.75" thickBot="1" x14ac:dyDescent="0.3">
      <c r="A1074" t="str">
        <f t="shared" si="16"/>
        <v>DET2650844A</v>
      </c>
      <c r="B1074" s="22" t="s">
        <v>1536</v>
      </c>
      <c r="C1074" s="22" t="s">
        <v>4431</v>
      </c>
      <c r="D1074" s="22" t="s">
        <v>5179</v>
      </c>
      <c r="E1074" s="22" t="s">
        <v>5180</v>
      </c>
      <c r="F1074" s="22" t="s">
        <v>5181</v>
      </c>
      <c r="G1074" s="28" t="s">
        <v>2012</v>
      </c>
      <c r="H1074" s="22" t="s">
        <v>2080</v>
      </c>
      <c r="I1074" s="21"/>
      <c r="J1074" s="22" t="s">
        <v>494</v>
      </c>
      <c r="K1074" s="22" t="s">
        <v>924</v>
      </c>
      <c r="L1074" s="21"/>
      <c r="M1074" s="22" t="s">
        <v>2034</v>
      </c>
      <c r="N1074" s="28" t="s">
        <v>2015</v>
      </c>
      <c r="O1074" s="28" t="s">
        <v>2016</v>
      </c>
      <c r="P1074" s="29">
        <v>20986</v>
      </c>
      <c r="Q1074" s="28" t="s">
        <v>2017</v>
      </c>
      <c r="R1074" s="38">
        <v>87.275197308835999</v>
      </c>
      <c r="S1074" s="29">
        <v>15458</v>
      </c>
      <c r="T1074" s="32">
        <v>240.45777777777801</v>
      </c>
      <c r="U1074" s="32">
        <v>0</v>
      </c>
      <c r="V1074" s="38">
        <v>87.275197308835999</v>
      </c>
      <c r="W1074" s="39">
        <v>46174</v>
      </c>
      <c r="X1074" s="39">
        <v>46174</v>
      </c>
    </row>
    <row r="1075" spans="1:24" ht="15.75" thickBot="1" x14ac:dyDescent="0.3">
      <c r="A1075" t="str">
        <f t="shared" si="16"/>
        <v>PCPDT06512181AA</v>
      </c>
      <c r="B1075" s="22" t="s">
        <v>5182</v>
      </c>
      <c r="C1075" s="22" t="s">
        <v>5183</v>
      </c>
      <c r="D1075" s="22" t="s">
        <v>3618</v>
      </c>
      <c r="E1075" s="21"/>
      <c r="F1075" s="22" t="s">
        <v>2030</v>
      </c>
      <c r="G1075" s="28" t="s">
        <v>2012</v>
      </c>
      <c r="H1075" s="22" t="s">
        <v>5184</v>
      </c>
      <c r="I1075" s="22" t="s">
        <v>3923</v>
      </c>
      <c r="J1075" s="22" t="s">
        <v>698</v>
      </c>
      <c r="K1075" s="22" t="s">
        <v>262</v>
      </c>
      <c r="L1075" s="22" t="s">
        <v>2493</v>
      </c>
      <c r="M1075" s="22" t="s">
        <v>2130</v>
      </c>
      <c r="N1075" s="28" t="s">
        <v>2494</v>
      </c>
      <c r="O1075" s="28" t="s">
        <v>2016</v>
      </c>
      <c r="P1075" s="29">
        <v>12490</v>
      </c>
      <c r="Q1075" s="28" t="s">
        <v>2017</v>
      </c>
      <c r="R1075" s="38">
        <v>85.782967032966994</v>
      </c>
      <c r="S1075" s="29">
        <v>9360</v>
      </c>
      <c r="T1075" s="32">
        <v>145.6</v>
      </c>
      <c r="U1075" s="32">
        <v>0</v>
      </c>
      <c r="V1075" s="38">
        <v>85.782967032966994</v>
      </c>
      <c r="W1075" s="39">
        <v>46172</v>
      </c>
      <c r="X1075" s="39">
        <v>46174</v>
      </c>
    </row>
    <row r="1076" spans="1:24" ht="15.75" thickBot="1" x14ac:dyDescent="0.3">
      <c r="A1076" t="str">
        <f t="shared" si="16"/>
        <v>PCPGM11589015</v>
      </c>
      <c r="B1076" s="22" t="s">
        <v>5185</v>
      </c>
      <c r="C1076" s="22" t="s">
        <v>5186</v>
      </c>
      <c r="D1076" s="22" t="s">
        <v>4245</v>
      </c>
      <c r="E1076" s="22" t="s">
        <v>4241</v>
      </c>
      <c r="F1076" s="22" t="s">
        <v>2030</v>
      </c>
      <c r="G1076" s="28" t="s">
        <v>2012</v>
      </c>
      <c r="H1076" s="22" t="s">
        <v>5187</v>
      </c>
      <c r="I1076" s="22" t="s">
        <v>5188</v>
      </c>
      <c r="J1076" s="22" t="s">
        <v>404</v>
      </c>
      <c r="K1076" s="22" t="s">
        <v>262</v>
      </c>
      <c r="L1076" s="22" t="s">
        <v>3914</v>
      </c>
      <c r="M1076" s="22" t="s">
        <v>2130</v>
      </c>
      <c r="N1076" s="28" t="s">
        <v>2494</v>
      </c>
      <c r="O1076" s="28" t="s">
        <v>2016</v>
      </c>
      <c r="P1076" s="29">
        <v>5855</v>
      </c>
      <c r="Q1076" s="28" t="s">
        <v>2017</v>
      </c>
      <c r="R1076" s="38">
        <v>89.574692323383005</v>
      </c>
      <c r="S1076" s="29">
        <v>4202</v>
      </c>
      <c r="T1076" s="32">
        <v>65.364444444444004</v>
      </c>
      <c r="U1076" s="32">
        <v>0</v>
      </c>
      <c r="V1076" s="38">
        <v>89.574692323383005</v>
      </c>
      <c r="W1076" s="39">
        <v>46176</v>
      </c>
      <c r="X1076" s="39">
        <v>46176</v>
      </c>
    </row>
    <row r="1077" spans="1:24" ht="15.75" thickBot="1" x14ac:dyDescent="0.3">
      <c r="A1077" t="str">
        <f t="shared" si="16"/>
        <v>PCP14E073EF</v>
      </c>
      <c r="B1077" s="22" t="s">
        <v>5189</v>
      </c>
      <c r="C1077" s="22" t="s">
        <v>5190</v>
      </c>
      <c r="D1077" s="22" t="s">
        <v>5191</v>
      </c>
      <c r="E1077" s="21"/>
      <c r="F1077" s="22" t="s">
        <v>2030</v>
      </c>
      <c r="G1077" s="28" t="s">
        <v>2012</v>
      </c>
      <c r="H1077" s="22" t="s">
        <v>4788</v>
      </c>
      <c r="I1077" s="22" t="s">
        <v>4789</v>
      </c>
      <c r="J1077" s="22" t="s">
        <v>261</v>
      </c>
      <c r="K1077" s="22" t="s">
        <v>262</v>
      </c>
      <c r="L1077" s="22" t="s">
        <v>4790</v>
      </c>
      <c r="M1077" s="22" t="s">
        <v>2130</v>
      </c>
      <c r="N1077" s="28" t="s">
        <v>2494</v>
      </c>
      <c r="O1077" s="28" t="s">
        <v>2016</v>
      </c>
      <c r="P1077" s="29">
        <v>3642</v>
      </c>
      <c r="Q1077" s="28" t="s">
        <v>2017</v>
      </c>
      <c r="R1077" s="40">
        <v>90.642110502736998</v>
      </c>
      <c r="S1077" s="29">
        <v>2583</v>
      </c>
      <c r="T1077" s="32">
        <v>40.18</v>
      </c>
      <c r="U1077" s="32">
        <v>0</v>
      </c>
      <c r="V1077" s="40">
        <v>90.642110502736998</v>
      </c>
      <c r="W1077" s="39">
        <v>46177</v>
      </c>
      <c r="X1077" s="39">
        <v>46177</v>
      </c>
    </row>
    <row r="1078" spans="1:24" ht="15.75" thickBot="1" x14ac:dyDescent="0.3">
      <c r="A1078" t="str">
        <f t="shared" si="16"/>
        <v>KB3B 21291A35 AD</v>
      </c>
      <c r="B1078" s="22" t="s">
        <v>595</v>
      </c>
      <c r="C1078" s="22" t="s">
        <v>5192</v>
      </c>
      <c r="D1078" s="22" t="s">
        <v>5164</v>
      </c>
      <c r="E1078" s="21"/>
      <c r="F1078" s="22" t="s">
        <v>4978</v>
      </c>
      <c r="G1078" s="28" t="s">
        <v>2012</v>
      </c>
      <c r="H1078" s="22" t="s">
        <v>2080</v>
      </c>
      <c r="I1078" s="21"/>
      <c r="J1078" s="22" t="s">
        <v>494</v>
      </c>
      <c r="K1078" s="22" t="s">
        <v>262</v>
      </c>
      <c r="L1078" s="22" t="s">
        <v>2641</v>
      </c>
      <c r="M1078" s="22" t="s">
        <v>2014</v>
      </c>
      <c r="N1078" s="28" t="s">
        <v>2015</v>
      </c>
      <c r="O1078" s="28" t="s">
        <v>2016</v>
      </c>
      <c r="P1078" s="29">
        <v>223</v>
      </c>
      <c r="Q1078" s="28" t="s">
        <v>2017</v>
      </c>
      <c r="R1078" s="40">
        <v>93.697478991596</v>
      </c>
      <c r="S1078" s="29">
        <v>153</v>
      </c>
      <c r="T1078" s="32">
        <v>2.38</v>
      </c>
      <c r="U1078" s="32">
        <v>0</v>
      </c>
      <c r="V1078" s="40">
        <v>93.697478991596</v>
      </c>
      <c r="W1078" s="39">
        <v>46180</v>
      </c>
      <c r="X1078" s="39">
        <v>46181</v>
      </c>
    </row>
    <row r="1079" spans="1:24" ht="15.75" thickBot="1" x14ac:dyDescent="0.3">
      <c r="A1079" t="str">
        <f t="shared" si="16"/>
        <v>RMSBR61103B44A</v>
      </c>
      <c r="B1079" s="22" t="s">
        <v>5193</v>
      </c>
      <c r="C1079" s="22" t="s">
        <v>5194</v>
      </c>
      <c r="D1079" s="22" t="s">
        <v>5195</v>
      </c>
      <c r="E1079" s="22" t="s">
        <v>3132</v>
      </c>
      <c r="F1079" s="22" t="s">
        <v>3133</v>
      </c>
      <c r="G1079" s="28" t="s">
        <v>2012</v>
      </c>
      <c r="H1079" s="22" t="s">
        <v>3134</v>
      </c>
      <c r="I1079" s="22" t="s">
        <v>3135</v>
      </c>
      <c r="J1079" s="22" t="s">
        <v>364</v>
      </c>
      <c r="K1079" s="22" t="s">
        <v>924</v>
      </c>
      <c r="L1079" s="22" t="s">
        <v>3136</v>
      </c>
      <c r="M1079" s="22" t="s">
        <v>2532</v>
      </c>
      <c r="N1079" s="28" t="s">
        <v>2494</v>
      </c>
      <c r="O1079" s="28" t="s">
        <v>2016</v>
      </c>
      <c r="P1079" s="29">
        <v>22002.2</v>
      </c>
      <c r="Q1079" s="28" t="s">
        <v>1164</v>
      </c>
      <c r="R1079" s="40">
        <v>93.762527942581997</v>
      </c>
      <c r="S1079" s="34">
        <v>15085.207</v>
      </c>
      <c r="T1079" s="32">
        <v>234.65877555555599</v>
      </c>
      <c r="U1079" s="32">
        <v>0</v>
      </c>
      <c r="V1079" s="40">
        <v>93.762527942581997</v>
      </c>
      <c r="W1079" s="39">
        <v>46180</v>
      </c>
      <c r="X1079" s="39">
        <v>46181</v>
      </c>
    </row>
    <row r="1080" spans="1:24" ht="15.75" thickBot="1" x14ac:dyDescent="0.3">
      <c r="A1080" t="str">
        <f t="shared" si="16"/>
        <v>MB3B 10723APIA04OS</v>
      </c>
      <c r="B1080" s="22" t="s">
        <v>1501</v>
      </c>
      <c r="C1080" s="22" t="s">
        <v>5196</v>
      </c>
      <c r="D1080" s="22" t="s">
        <v>5197</v>
      </c>
      <c r="E1080" s="21"/>
      <c r="F1080" s="22" t="s">
        <v>5198</v>
      </c>
      <c r="G1080" s="28" t="s">
        <v>2012</v>
      </c>
      <c r="H1080" s="22" t="s">
        <v>2055</v>
      </c>
      <c r="I1080" s="21"/>
      <c r="J1080" s="22" t="s">
        <v>261</v>
      </c>
      <c r="K1080" s="22" t="s">
        <v>924</v>
      </c>
      <c r="L1080" s="21"/>
      <c r="M1080" s="22" t="s">
        <v>2014</v>
      </c>
      <c r="N1080" s="28" t="s">
        <v>2015</v>
      </c>
      <c r="O1080" s="28" t="s">
        <v>2016</v>
      </c>
      <c r="P1080" s="29">
        <v>14873</v>
      </c>
      <c r="Q1080" s="28" t="s">
        <v>2017</v>
      </c>
      <c r="R1080" s="40">
        <v>95.612142857142004</v>
      </c>
      <c r="S1080" s="29">
        <v>10000</v>
      </c>
      <c r="T1080" s="32">
        <v>155.555555555556</v>
      </c>
      <c r="U1080" s="32">
        <v>0</v>
      </c>
      <c r="V1080" s="40">
        <v>95.612142857142004</v>
      </c>
      <c r="W1080" s="39">
        <v>46182</v>
      </c>
      <c r="X1080" s="39">
        <v>46182</v>
      </c>
    </row>
    <row r="1081" spans="1:24" ht="15.75" thickBot="1" x14ac:dyDescent="0.3">
      <c r="A1081" t="str">
        <f t="shared" si="16"/>
        <v>85636194</v>
      </c>
      <c r="B1081" s="22" t="s">
        <v>5199</v>
      </c>
      <c r="C1081" s="22" t="s">
        <v>5200</v>
      </c>
      <c r="D1081" s="22" t="s">
        <v>5201</v>
      </c>
      <c r="E1081" s="22" t="s">
        <v>3496</v>
      </c>
      <c r="F1081" s="22" t="s">
        <v>5202</v>
      </c>
      <c r="G1081" s="28" t="s">
        <v>2012</v>
      </c>
      <c r="H1081" s="22" t="s">
        <v>4266</v>
      </c>
      <c r="I1081" s="21"/>
      <c r="J1081" s="22" t="s">
        <v>404</v>
      </c>
      <c r="K1081" s="22" t="s">
        <v>262</v>
      </c>
      <c r="L1081" s="21"/>
      <c r="M1081" s="22" t="s">
        <v>2014</v>
      </c>
      <c r="N1081" s="28" t="s">
        <v>2015</v>
      </c>
      <c r="O1081" s="28" t="s">
        <v>2016</v>
      </c>
      <c r="P1081" s="29">
        <v>1682</v>
      </c>
      <c r="Q1081" s="28" t="s">
        <v>2017</v>
      </c>
      <c r="R1081" s="40">
        <v>96.716074623051</v>
      </c>
      <c r="S1081" s="29">
        <v>1118</v>
      </c>
      <c r="T1081" s="32">
        <v>17.391111111111002</v>
      </c>
      <c r="U1081" s="32">
        <v>0</v>
      </c>
      <c r="V1081" s="40">
        <v>96.716074623051</v>
      </c>
      <c r="W1081" s="39">
        <v>46183</v>
      </c>
      <c r="X1081" s="39">
        <v>46183</v>
      </c>
    </row>
    <row r="1082" spans="1:24" ht="15.75" thickBot="1" x14ac:dyDescent="0.3">
      <c r="A1082" t="str">
        <f t="shared" si="16"/>
        <v>PCP14E073AF</v>
      </c>
      <c r="B1082" s="22" t="s">
        <v>5203</v>
      </c>
      <c r="C1082" s="22" t="s">
        <v>5204</v>
      </c>
      <c r="D1082" s="22" t="s">
        <v>5205</v>
      </c>
      <c r="E1082" s="21"/>
      <c r="F1082" s="22" t="s">
        <v>2030</v>
      </c>
      <c r="G1082" s="28" t="s">
        <v>2012</v>
      </c>
      <c r="H1082" s="22" t="s">
        <v>4788</v>
      </c>
      <c r="I1082" s="22" t="s">
        <v>4789</v>
      </c>
      <c r="J1082" s="22" t="s">
        <v>261</v>
      </c>
      <c r="K1082" s="22" t="s">
        <v>262</v>
      </c>
      <c r="L1082" s="22" t="s">
        <v>4790</v>
      </c>
      <c r="M1082" s="22" t="s">
        <v>2130</v>
      </c>
      <c r="N1082" s="28" t="s">
        <v>2494</v>
      </c>
      <c r="O1082" s="28" t="s">
        <v>2016</v>
      </c>
      <c r="P1082" s="29">
        <v>4185</v>
      </c>
      <c r="Q1082" s="28" t="s">
        <v>2017</v>
      </c>
      <c r="R1082" s="40">
        <v>96.015601101254006</v>
      </c>
      <c r="S1082" s="29">
        <v>2802</v>
      </c>
      <c r="T1082" s="32">
        <v>43.586666666665998</v>
      </c>
      <c r="U1082" s="32">
        <v>0</v>
      </c>
      <c r="V1082" s="40">
        <v>96.015601101254006</v>
      </c>
      <c r="W1082" s="39">
        <v>46183</v>
      </c>
      <c r="X1082" s="39">
        <v>46183</v>
      </c>
    </row>
    <row r="1083" spans="1:24" ht="15.75" thickBot="1" x14ac:dyDescent="0.3">
      <c r="A1083" t="str">
        <f t="shared" si="16"/>
        <v>PCSW720606S437</v>
      </c>
      <c r="B1083" s="22" t="s">
        <v>5206</v>
      </c>
      <c r="C1083" s="21"/>
      <c r="D1083" s="22" t="s">
        <v>5207</v>
      </c>
      <c r="E1083" s="22" t="s">
        <v>3619</v>
      </c>
      <c r="F1083" s="22" t="s">
        <v>2030</v>
      </c>
      <c r="G1083" s="28" t="s">
        <v>2012</v>
      </c>
      <c r="H1083" s="22" t="s">
        <v>5208</v>
      </c>
      <c r="I1083" s="22" t="s">
        <v>5209</v>
      </c>
      <c r="J1083" s="22" t="s">
        <v>364</v>
      </c>
      <c r="K1083" s="22" t="s">
        <v>924</v>
      </c>
      <c r="L1083" s="22" t="s">
        <v>5210</v>
      </c>
      <c r="M1083" s="22" t="s">
        <v>2130</v>
      </c>
      <c r="N1083" s="28" t="s">
        <v>2494</v>
      </c>
      <c r="O1083" s="28" t="s">
        <v>2016</v>
      </c>
      <c r="P1083" s="29">
        <v>59997</v>
      </c>
      <c r="Q1083" s="28" t="s">
        <v>2017</v>
      </c>
      <c r="R1083" s="40">
        <v>96.044374719855995</v>
      </c>
      <c r="S1083" s="29">
        <v>40158</v>
      </c>
      <c r="T1083" s="32">
        <v>624.67999999999995</v>
      </c>
      <c r="U1083" s="32">
        <v>0</v>
      </c>
      <c r="V1083" s="40">
        <v>96.044374719855995</v>
      </c>
      <c r="W1083" s="39">
        <v>46183</v>
      </c>
      <c r="X1083" s="39">
        <v>46183</v>
      </c>
    </row>
    <row r="1084" spans="1:24" ht="15.75" thickBot="1" x14ac:dyDescent="0.3">
      <c r="A1084" t="str">
        <f t="shared" si="16"/>
        <v>PCPGMBEE93712</v>
      </c>
      <c r="B1084" s="22" t="s">
        <v>5211</v>
      </c>
      <c r="C1084" s="21"/>
      <c r="D1084" s="22" t="s">
        <v>5212</v>
      </c>
      <c r="E1084" s="22" t="s">
        <v>4802</v>
      </c>
      <c r="F1084" s="22" t="s">
        <v>2030</v>
      </c>
      <c r="G1084" s="28" t="s">
        <v>2012</v>
      </c>
      <c r="H1084" s="22" t="s">
        <v>3897</v>
      </c>
      <c r="I1084" s="22" t="s">
        <v>3898</v>
      </c>
      <c r="J1084" s="22" t="s">
        <v>404</v>
      </c>
      <c r="K1084" s="22" t="s">
        <v>262</v>
      </c>
      <c r="L1084" s="22" t="s">
        <v>3858</v>
      </c>
      <c r="M1084" s="22" t="s">
        <v>4055</v>
      </c>
      <c r="N1084" s="28" t="s">
        <v>2494</v>
      </c>
      <c r="O1084" s="28" t="s">
        <v>2016</v>
      </c>
      <c r="P1084" s="29">
        <v>602</v>
      </c>
      <c r="Q1084" s="28" t="s">
        <v>2017</v>
      </c>
      <c r="R1084" s="40">
        <v>101.574803149606</v>
      </c>
      <c r="S1084" s="29">
        <v>381</v>
      </c>
      <c r="T1084" s="32">
        <v>5.9266666666659997</v>
      </c>
      <c r="U1084" s="32">
        <v>0</v>
      </c>
      <c r="V1084" s="40">
        <v>101.574803149606</v>
      </c>
      <c r="W1084" s="39">
        <v>46188</v>
      </c>
      <c r="X1084" s="39">
        <v>46188</v>
      </c>
    </row>
    <row r="1085" spans="1:24" ht="15.75" thickBot="1" x14ac:dyDescent="0.3">
      <c r="A1085" t="str">
        <f t="shared" si="16"/>
        <v>RMPA3ZHPUV</v>
      </c>
      <c r="B1085" s="22" t="s">
        <v>5213</v>
      </c>
      <c r="C1085" s="21"/>
      <c r="D1085" s="22" t="s">
        <v>5214</v>
      </c>
      <c r="E1085" s="22" t="s">
        <v>5215</v>
      </c>
      <c r="F1085" s="22" t="s">
        <v>2030</v>
      </c>
      <c r="G1085" s="28" t="s">
        <v>2012</v>
      </c>
      <c r="H1085" s="22" t="s">
        <v>5054</v>
      </c>
      <c r="I1085" s="22" t="s">
        <v>5055</v>
      </c>
      <c r="J1085" s="22" t="s">
        <v>261</v>
      </c>
      <c r="K1085" s="22" t="s">
        <v>262</v>
      </c>
      <c r="L1085" s="22" t="s">
        <v>5056</v>
      </c>
      <c r="M1085" s="22" t="s">
        <v>2523</v>
      </c>
      <c r="N1085" s="28" t="s">
        <v>2494</v>
      </c>
      <c r="O1085" s="28" t="s">
        <v>2016</v>
      </c>
      <c r="P1085" s="29">
        <v>1041.8496</v>
      </c>
      <c r="Q1085" s="28" t="s">
        <v>1164</v>
      </c>
      <c r="R1085" s="40">
        <v>100.96327137039199</v>
      </c>
      <c r="S1085" s="34">
        <v>663.37040000000002</v>
      </c>
      <c r="T1085" s="32">
        <v>10.319095111111</v>
      </c>
      <c r="U1085" s="32">
        <v>0</v>
      </c>
      <c r="V1085" s="40">
        <v>100.96327137039199</v>
      </c>
      <c r="W1085" s="39">
        <v>46187</v>
      </c>
      <c r="X1085" s="39">
        <v>46188</v>
      </c>
    </row>
    <row r="1086" spans="1:24" ht="15.75" thickBot="1" x14ac:dyDescent="0.3">
      <c r="A1086" t="str">
        <f t="shared" si="16"/>
        <v>RMSE43974</v>
      </c>
      <c r="B1086" s="22" t="s">
        <v>5216</v>
      </c>
      <c r="C1086" s="22" t="s">
        <v>5217</v>
      </c>
      <c r="D1086" s="22" t="s">
        <v>5218</v>
      </c>
      <c r="E1086" s="22" t="s">
        <v>2527</v>
      </c>
      <c r="F1086" s="22" t="s">
        <v>4939</v>
      </c>
      <c r="G1086" s="28" t="s">
        <v>2012</v>
      </c>
      <c r="H1086" s="22" t="s">
        <v>2716</v>
      </c>
      <c r="I1086" s="22" t="s">
        <v>2717</v>
      </c>
      <c r="J1086" s="22" t="s">
        <v>261</v>
      </c>
      <c r="K1086" s="22" t="s">
        <v>924</v>
      </c>
      <c r="L1086" s="22" t="s">
        <v>2531</v>
      </c>
      <c r="M1086" s="22" t="s">
        <v>2532</v>
      </c>
      <c r="N1086" s="28" t="s">
        <v>2494</v>
      </c>
      <c r="O1086" s="28" t="s">
        <v>2016</v>
      </c>
      <c r="P1086" s="29">
        <v>8340</v>
      </c>
      <c r="Q1086" s="28" t="s">
        <v>1164</v>
      </c>
      <c r="R1086" s="40">
        <v>101.34490193625101</v>
      </c>
      <c r="S1086" s="34">
        <v>5290.2794999999996</v>
      </c>
      <c r="T1086" s="32">
        <v>82.293236666666004</v>
      </c>
      <c r="U1086" s="32">
        <v>0</v>
      </c>
      <c r="V1086" s="40">
        <v>101.34490193625101</v>
      </c>
      <c r="W1086" s="39">
        <v>46188</v>
      </c>
      <c r="X1086" s="39">
        <v>46188</v>
      </c>
    </row>
    <row r="1087" spans="1:24" ht="15.75" thickBot="1" x14ac:dyDescent="0.3">
      <c r="A1087" t="str">
        <f t="shared" si="16"/>
        <v>MLD2623943SUB00</v>
      </c>
      <c r="B1087" s="22" t="s">
        <v>673</v>
      </c>
      <c r="C1087" s="22" t="s">
        <v>5219</v>
      </c>
      <c r="D1087" s="22" t="s">
        <v>5220</v>
      </c>
      <c r="E1087" s="21"/>
      <c r="F1087" s="22" t="s">
        <v>5221</v>
      </c>
      <c r="G1087" s="28" t="s">
        <v>2012</v>
      </c>
      <c r="H1087" s="22" t="s">
        <v>2013</v>
      </c>
      <c r="I1087" s="21"/>
      <c r="J1087" s="22" t="s">
        <v>494</v>
      </c>
      <c r="K1087" s="22" t="s">
        <v>262</v>
      </c>
      <c r="L1087" s="21"/>
      <c r="M1087" s="22" t="s">
        <v>2034</v>
      </c>
      <c r="N1087" s="28" t="s">
        <v>2015</v>
      </c>
      <c r="O1087" s="28" t="s">
        <v>2016</v>
      </c>
      <c r="P1087" s="29">
        <v>16</v>
      </c>
      <c r="Q1087" s="28" t="s">
        <v>2017</v>
      </c>
      <c r="R1087" s="40">
        <v>102.857142857143</v>
      </c>
      <c r="S1087" s="29">
        <v>10</v>
      </c>
      <c r="T1087" s="32">
        <v>0.155555555555</v>
      </c>
      <c r="U1087" s="32">
        <v>0</v>
      </c>
      <c r="V1087" s="40">
        <v>102.857142857143</v>
      </c>
      <c r="W1087" s="39">
        <v>46189</v>
      </c>
      <c r="X1087" s="39">
        <v>46189</v>
      </c>
    </row>
    <row r="1088" spans="1:24" ht="15.75" thickBot="1" x14ac:dyDescent="0.3">
      <c r="A1088" t="str">
        <f t="shared" si="16"/>
        <v>RMPZHEACON</v>
      </c>
      <c r="B1088" s="22" t="s">
        <v>5222</v>
      </c>
      <c r="C1088" s="22" t="s">
        <v>5223</v>
      </c>
      <c r="D1088" s="22" t="s">
        <v>5224</v>
      </c>
      <c r="E1088" s="21"/>
      <c r="F1088" s="22" t="s">
        <v>2030</v>
      </c>
      <c r="G1088" s="28" t="s">
        <v>2012</v>
      </c>
      <c r="H1088" s="22" t="s">
        <v>4817</v>
      </c>
      <c r="I1088" s="22" t="s">
        <v>4818</v>
      </c>
      <c r="J1088" s="22" t="s">
        <v>494</v>
      </c>
      <c r="K1088" s="22" t="s">
        <v>262</v>
      </c>
      <c r="L1088" s="22" t="s">
        <v>4925</v>
      </c>
      <c r="M1088" s="22" t="s">
        <v>2523</v>
      </c>
      <c r="N1088" s="28" t="s">
        <v>2494</v>
      </c>
      <c r="O1088" s="28" t="s">
        <v>2016</v>
      </c>
      <c r="P1088" s="29">
        <v>948.28456000000006</v>
      </c>
      <c r="Q1088" s="28" t="s">
        <v>1164</v>
      </c>
      <c r="R1088" s="40">
        <v>105.34248116972</v>
      </c>
      <c r="S1088" s="34">
        <v>578.69484</v>
      </c>
      <c r="T1088" s="32">
        <v>9.0019197333330006</v>
      </c>
      <c r="U1088" s="32">
        <v>0</v>
      </c>
      <c r="V1088" s="40">
        <v>105.34248116972</v>
      </c>
      <c r="W1088" s="39">
        <v>46192</v>
      </c>
      <c r="X1088" s="39">
        <v>46192</v>
      </c>
    </row>
    <row r="1089" spans="1:24" ht="15.75" thickBot="1" x14ac:dyDescent="0.3">
      <c r="A1089" t="str">
        <f t="shared" si="16"/>
        <v>PCPE23943AR07.H</v>
      </c>
      <c r="B1089" s="22" t="s">
        <v>5225</v>
      </c>
      <c r="C1089" s="21"/>
      <c r="D1089" s="22" t="s">
        <v>5226</v>
      </c>
      <c r="E1089" s="22" t="s">
        <v>5227</v>
      </c>
      <c r="F1089" s="22" t="s">
        <v>2030</v>
      </c>
      <c r="G1089" s="28" t="s">
        <v>2012</v>
      </c>
      <c r="H1089" s="22" t="s">
        <v>3459</v>
      </c>
      <c r="I1089" s="22" t="s">
        <v>3460</v>
      </c>
      <c r="J1089" s="22" t="s">
        <v>261</v>
      </c>
      <c r="K1089" s="22" t="s">
        <v>262</v>
      </c>
      <c r="L1089" s="22" t="s">
        <v>3318</v>
      </c>
      <c r="M1089" s="22" t="s">
        <v>2130</v>
      </c>
      <c r="N1089" s="28" t="s">
        <v>2494</v>
      </c>
      <c r="O1089" s="28" t="s">
        <v>2016</v>
      </c>
      <c r="P1089" s="29">
        <v>30</v>
      </c>
      <c r="Q1089" s="28" t="s">
        <v>2017</v>
      </c>
      <c r="R1089" s="40">
        <v>107.142857142857</v>
      </c>
      <c r="S1089" s="29">
        <v>18</v>
      </c>
      <c r="T1089" s="32">
        <v>0.28000000000000003</v>
      </c>
      <c r="U1089" s="32">
        <v>0</v>
      </c>
      <c r="V1089" s="40">
        <v>107.142857142857</v>
      </c>
      <c r="W1089" s="39">
        <v>46194</v>
      </c>
      <c r="X1089" s="39">
        <v>46195</v>
      </c>
    </row>
    <row r="1090" spans="1:24" ht="15.75" thickBot="1" x14ac:dyDescent="0.3">
      <c r="A1090" t="str">
        <f t="shared" si="16"/>
        <v>REPACK85861637</v>
      </c>
      <c r="B1090" s="22" t="s">
        <v>1514</v>
      </c>
      <c r="C1090" s="22" t="s">
        <v>2028</v>
      </c>
      <c r="D1090" s="22" t="s">
        <v>2029</v>
      </c>
      <c r="E1090" s="21"/>
      <c r="F1090" s="22" t="s">
        <v>5228</v>
      </c>
      <c r="G1090" s="28" t="s">
        <v>2012</v>
      </c>
      <c r="H1090" s="22" t="s">
        <v>2013</v>
      </c>
      <c r="I1090" s="21"/>
      <c r="J1090" s="22" t="s">
        <v>404</v>
      </c>
      <c r="K1090" s="22" t="s">
        <v>924</v>
      </c>
      <c r="L1090" s="21"/>
      <c r="M1090" s="22" t="s">
        <v>2034</v>
      </c>
      <c r="N1090" s="28" t="s">
        <v>2015</v>
      </c>
      <c r="O1090" s="28" t="s">
        <v>2016</v>
      </c>
      <c r="P1090" s="29">
        <v>11703</v>
      </c>
      <c r="Q1090" s="28" t="s">
        <v>2017</v>
      </c>
      <c r="R1090" s="40">
        <v>108.09421182266</v>
      </c>
      <c r="S1090" s="29">
        <v>6960</v>
      </c>
      <c r="T1090" s="32">
        <v>108.26666666666701</v>
      </c>
      <c r="U1090" s="32">
        <v>0</v>
      </c>
      <c r="V1090" s="40">
        <v>108.09421182266</v>
      </c>
      <c r="W1090" s="39">
        <v>46195</v>
      </c>
      <c r="X1090" s="39">
        <v>46195</v>
      </c>
    </row>
    <row r="1091" spans="1:24" ht="15.75" thickBot="1" x14ac:dyDescent="0.3">
      <c r="A1091" t="str">
        <f t="shared" si="16"/>
        <v>RMPATX832N ZHEA</v>
      </c>
      <c r="B1091" s="22" t="s">
        <v>5229</v>
      </c>
      <c r="C1091" s="22" t="s">
        <v>5230</v>
      </c>
      <c r="D1091" s="22" t="s">
        <v>5231</v>
      </c>
      <c r="E1091" s="22" t="s">
        <v>3946</v>
      </c>
      <c r="F1091" s="22" t="s">
        <v>2030</v>
      </c>
      <c r="G1091" s="28" t="s">
        <v>2012</v>
      </c>
      <c r="H1091" s="22" t="s">
        <v>3745</v>
      </c>
      <c r="I1091" s="22" t="s">
        <v>3746</v>
      </c>
      <c r="J1091" s="22" t="s">
        <v>494</v>
      </c>
      <c r="K1091" s="22" t="s">
        <v>262</v>
      </c>
      <c r="L1091" s="22" t="s">
        <v>3380</v>
      </c>
      <c r="M1091" s="22" t="s">
        <v>2523</v>
      </c>
      <c r="N1091" s="28" t="s">
        <v>2494</v>
      </c>
      <c r="O1091" s="28" t="s">
        <v>2016</v>
      </c>
      <c r="P1091" s="29">
        <v>10262.3418</v>
      </c>
      <c r="Q1091" s="28" t="s">
        <v>1164</v>
      </c>
      <c r="R1091" s="40">
        <v>106.984104358187</v>
      </c>
      <c r="S1091" s="34">
        <v>6166.5420000000004</v>
      </c>
      <c r="T1091" s="32">
        <v>95.923986666665996</v>
      </c>
      <c r="U1091" s="32">
        <v>0</v>
      </c>
      <c r="V1091" s="40">
        <v>106.984104358187</v>
      </c>
      <c r="W1091" s="39">
        <v>46193</v>
      </c>
      <c r="X1091" s="39">
        <v>46195</v>
      </c>
    </row>
    <row r="1092" spans="1:24" ht="15.75" thickBot="1" x14ac:dyDescent="0.3">
      <c r="A1092" t="str">
        <f t="shared" si="16"/>
        <v>REPACK26454W66BA</v>
      </c>
      <c r="B1092" s="22" t="s">
        <v>1568</v>
      </c>
      <c r="C1092" s="22" t="s">
        <v>5232</v>
      </c>
      <c r="D1092" s="22" t="s">
        <v>5233</v>
      </c>
      <c r="E1092" s="22" t="s">
        <v>5234</v>
      </c>
      <c r="F1092" s="22" t="s">
        <v>5235</v>
      </c>
      <c r="G1092" s="28" t="s">
        <v>2012</v>
      </c>
      <c r="H1092" s="22" t="s">
        <v>2080</v>
      </c>
      <c r="I1092" s="21"/>
      <c r="J1092" s="22" t="s">
        <v>494</v>
      </c>
      <c r="K1092" s="22" t="s">
        <v>924</v>
      </c>
      <c r="L1092" s="21"/>
      <c r="M1092" s="22" t="s">
        <v>2034</v>
      </c>
      <c r="N1092" s="28" t="s">
        <v>2015</v>
      </c>
      <c r="O1092" s="28" t="s">
        <v>2016</v>
      </c>
      <c r="P1092" s="29">
        <v>49924</v>
      </c>
      <c r="Q1092" s="28" t="s">
        <v>2017</v>
      </c>
      <c r="R1092" s="40">
        <v>111.4375</v>
      </c>
      <c r="S1092" s="29">
        <v>28800</v>
      </c>
      <c r="T1092" s="32">
        <v>448</v>
      </c>
      <c r="U1092" s="32">
        <v>0</v>
      </c>
      <c r="V1092" s="40">
        <v>111.4375</v>
      </c>
      <c r="W1092" s="39">
        <v>46198</v>
      </c>
      <c r="X1092" s="39">
        <v>46198</v>
      </c>
    </row>
    <row r="1093" spans="1:24" ht="15.75" thickBot="1" x14ac:dyDescent="0.3">
      <c r="A1093" t="str">
        <f t="shared" ref="A1093:A1156" si="17">TRIM(B1093)</f>
        <v>KB3B 8C291 AC</v>
      </c>
      <c r="B1093" s="22" t="s">
        <v>492</v>
      </c>
      <c r="C1093" s="22" t="s">
        <v>5236</v>
      </c>
      <c r="D1093" s="22" t="s">
        <v>5062</v>
      </c>
      <c r="E1093" s="21"/>
      <c r="F1093" s="22" t="s">
        <v>5237</v>
      </c>
      <c r="G1093" s="28" t="s">
        <v>2012</v>
      </c>
      <c r="H1093" s="22" t="s">
        <v>2080</v>
      </c>
      <c r="I1093" s="21"/>
      <c r="J1093" s="22" t="s">
        <v>494</v>
      </c>
      <c r="K1093" s="22" t="s">
        <v>262</v>
      </c>
      <c r="L1093" s="21"/>
      <c r="M1093" s="22" t="s">
        <v>2014</v>
      </c>
      <c r="N1093" s="28" t="s">
        <v>2015</v>
      </c>
      <c r="O1093" s="28" t="s">
        <v>2016</v>
      </c>
      <c r="P1093" s="29">
        <v>437</v>
      </c>
      <c r="Q1093" s="28" t="s">
        <v>2017</v>
      </c>
      <c r="R1093" s="40">
        <v>112.822719449225</v>
      </c>
      <c r="S1093" s="29">
        <v>249</v>
      </c>
      <c r="T1093" s="32">
        <v>3.873333333333</v>
      </c>
      <c r="U1093" s="32">
        <v>0</v>
      </c>
      <c r="V1093" s="40">
        <v>112.822719449225</v>
      </c>
      <c r="W1093" s="39">
        <v>46199</v>
      </c>
      <c r="X1093" s="39">
        <v>46199</v>
      </c>
    </row>
    <row r="1094" spans="1:24" ht="15.75" thickBot="1" x14ac:dyDescent="0.3">
      <c r="A1094" t="str">
        <f t="shared" si="17"/>
        <v>MLDBEP73313</v>
      </c>
      <c r="B1094" s="22" t="s">
        <v>748</v>
      </c>
      <c r="C1094" s="22" t="s">
        <v>4556</v>
      </c>
      <c r="D1094" s="22" t="s">
        <v>749</v>
      </c>
      <c r="E1094" s="21"/>
      <c r="F1094" s="22" t="s">
        <v>5238</v>
      </c>
      <c r="G1094" s="28" t="s">
        <v>2012</v>
      </c>
      <c r="H1094" s="22" t="s">
        <v>2013</v>
      </c>
      <c r="I1094" s="21"/>
      <c r="J1094" s="22" t="s">
        <v>404</v>
      </c>
      <c r="K1094" s="22" t="s">
        <v>262</v>
      </c>
      <c r="L1094" s="21"/>
      <c r="M1094" s="22" t="s">
        <v>2034</v>
      </c>
      <c r="N1094" s="28" t="s">
        <v>2015</v>
      </c>
      <c r="O1094" s="28" t="s">
        <v>2016</v>
      </c>
      <c r="P1094" s="29">
        <v>730</v>
      </c>
      <c r="Q1094" s="28" t="s">
        <v>2017</v>
      </c>
      <c r="R1094" s="40">
        <v>116.448068060971</v>
      </c>
      <c r="S1094" s="29">
        <v>403</v>
      </c>
      <c r="T1094" s="32">
        <v>6.2688888888880001</v>
      </c>
      <c r="U1094" s="32">
        <v>0</v>
      </c>
      <c r="V1094" s="40">
        <v>116.448068060971</v>
      </c>
      <c r="W1094" s="39">
        <v>46203</v>
      </c>
      <c r="X1094" s="39">
        <v>46203</v>
      </c>
    </row>
    <row r="1095" spans="1:24" ht="15.75" thickBot="1" x14ac:dyDescent="0.3">
      <c r="A1095" t="str">
        <f t="shared" si="17"/>
        <v>RMSWL68435702</v>
      </c>
      <c r="B1095" s="22" t="s">
        <v>5239</v>
      </c>
      <c r="C1095" s="22" t="s">
        <v>5240</v>
      </c>
      <c r="D1095" s="22" t="s">
        <v>5241</v>
      </c>
      <c r="E1095" s="22" t="s">
        <v>2527</v>
      </c>
      <c r="F1095" s="22" t="s">
        <v>3569</v>
      </c>
      <c r="G1095" s="28" t="s">
        <v>2012</v>
      </c>
      <c r="H1095" s="22" t="s">
        <v>2536</v>
      </c>
      <c r="I1095" s="22" t="s">
        <v>2537</v>
      </c>
      <c r="J1095" s="22" t="s">
        <v>1117</v>
      </c>
      <c r="K1095" s="22" t="s">
        <v>924</v>
      </c>
      <c r="L1095" s="22" t="s">
        <v>2531</v>
      </c>
      <c r="M1095" s="22" t="s">
        <v>2532</v>
      </c>
      <c r="N1095" s="28" t="s">
        <v>2494</v>
      </c>
      <c r="O1095" s="28" t="s">
        <v>2016</v>
      </c>
      <c r="P1095" s="29">
        <v>21786.258000000002</v>
      </c>
      <c r="Q1095" s="28" t="s">
        <v>1164</v>
      </c>
      <c r="R1095" s="40">
        <v>119.378260657532</v>
      </c>
      <c r="S1095" s="34">
        <v>11731.995000000001</v>
      </c>
      <c r="T1095" s="32">
        <v>182.49770000000001</v>
      </c>
      <c r="U1095" s="32">
        <v>0</v>
      </c>
      <c r="V1095" s="40">
        <v>119.378260657532</v>
      </c>
      <c r="W1095" s="39">
        <v>46206</v>
      </c>
      <c r="X1095" s="39">
        <v>46206</v>
      </c>
    </row>
    <row r="1096" spans="1:24" ht="15.75" thickBot="1" x14ac:dyDescent="0.3">
      <c r="A1096" t="str">
        <f t="shared" si="17"/>
        <v>PCPE27406AR07.H</v>
      </c>
      <c r="B1096" s="22" t="s">
        <v>5242</v>
      </c>
      <c r="C1096" s="21"/>
      <c r="D1096" s="22" t="s">
        <v>5243</v>
      </c>
      <c r="E1096" s="22" t="s">
        <v>4120</v>
      </c>
      <c r="F1096" s="22" t="s">
        <v>2030</v>
      </c>
      <c r="G1096" s="28" t="s">
        <v>2012</v>
      </c>
      <c r="H1096" s="22" t="s">
        <v>3459</v>
      </c>
      <c r="I1096" s="22" t="s">
        <v>3460</v>
      </c>
      <c r="J1096" s="22" t="s">
        <v>261</v>
      </c>
      <c r="K1096" s="22" t="s">
        <v>262</v>
      </c>
      <c r="L1096" s="22" t="s">
        <v>3318</v>
      </c>
      <c r="M1096" s="22" t="s">
        <v>2130</v>
      </c>
      <c r="N1096" s="28" t="s">
        <v>2494</v>
      </c>
      <c r="O1096" s="28" t="s">
        <v>2016</v>
      </c>
      <c r="P1096" s="29">
        <v>30</v>
      </c>
      <c r="Q1096" s="28" t="s">
        <v>2017</v>
      </c>
      <c r="R1096" s="40">
        <v>120.53571428571399</v>
      </c>
      <c r="S1096" s="29">
        <v>16</v>
      </c>
      <c r="T1096" s="32">
        <v>0.24888888888800001</v>
      </c>
      <c r="U1096" s="32">
        <v>0</v>
      </c>
      <c r="V1096" s="40">
        <v>120.53571428571399</v>
      </c>
      <c r="W1096" s="39">
        <v>46207</v>
      </c>
      <c r="X1096" s="39">
        <v>46209</v>
      </c>
    </row>
    <row r="1097" spans="1:24" ht="15.75" thickBot="1" x14ac:dyDescent="0.3">
      <c r="A1097" t="str">
        <f t="shared" si="17"/>
        <v>PCPGM11561629</v>
      </c>
      <c r="B1097" s="22" t="s">
        <v>5244</v>
      </c>
      <c r="C1097" s="22" t="s">
        <v>5245</v>
      </c>
      <c r="D1097" s="22" t="s">
        <v>5246</v>
      </c>
      <c r="E1097" s="22" t="s">
        <v>5247</v>
      </c>
      <c r="F1097" s="22" t="s">
        <v>2030</v>
      </c>
      <c r="G1097" s="28" t="s">
        <v>2012</v>
      </c>
      <c r="H1097" s="22" t="s">
        <v>5248</v>
      </c>
      <c r="I1097" s="22" t="s">
        <v>5249</v>
      </c>
      <c r="J1097" s="22" t="s">
        <v>404</v>
      </c>
      <c r="K1097" s="22" t="s">
        <v>262</v>
      </c>
      <c r="L1097" s="22" t="s">
        <v>5250</v>
      </c>
      <c r="M1097" s="22" t="s">
        <v>2130</v>
      </c>
      <c r="N1097" s="28" t="s">
        <v>2494</v>
      </c>
      <c r="O1097" s="28" t="s">
        <v>2016</v>
      </c>
      <c r="P1097" s="29">
        <v>6269</v>
      </c>
      <c r="Q1097" s="28" t="s">
        <v>2017</v>
      </c>
      <c r="R1097" s="40">
        <v>120.444453932201</v>
      </c>
      <c r="S1097" s="29">
        <v>3346</v>
      </c>
      <c r="T1097" s="32">
        <v>52.048888888888001</v>
      </c>
      <c r="U1097" s="32">
        <v>0</v>
      </c>
      <c r="V1097" s="40">
        <v>120.444453932201</v>
      </c>
      <c r="W1097" s="39">
        <v>46207</v>
      </c>
      <c r="X1097" s="39">
        <v>46209</v>
      </c>
    </row>
    <row r="1098" spans="1:24" ht="15.75" thickBot="1" x14ac:dyDescent="0.3">
      <c r="A1098" t="str">
        <f t="shared" si="17"/>
        <v>PCSW520703S300</v>
      </c>
      <c r="B1098" s="22" t="s">
        <v>5251</v>
      </c>
      <c r="C1098" s="21"/>
      <c r="D1098" s="22" t="s">
        <v>4066</v>
      </c>
      <c r="E1098" s="22" t="s">
        <v>3342</v>
      </c>
      <c r="F1098" s="22" t="s">
        <v>2030</v>
      </c>
      <c r="G1098" s="28" t="s">
        <v>2012</v>
      </c>
      <c r="H1098" s="22" t="s">
        <v>3927</v>
      </c>
      <c r="I1098" s="22" t="s">
        <v>3928</v>
      </c>
      <c r="J1098" s="22" t="s">
        <v>494</v>
      </c>
      <c r="K1098" s="22" t="s">
        <v>924</v>
      </c>
      <c r="L1098" s="22" t="s">
        <v>4069</v>
      </c>
      <c r="M1098" s="22" t="s">
        <v>2130</v>
      </c>
      <c r="N1098" s="28" t="s">
        <v>2494</v>
      </c>
      <c r="O1098" s="28" t="s">
        <v>2016</v>
      </c>
      <c r="P1098" s="29">
        <v>26307</v>
      </c>
      <c r="Q1098" s="28" t="s">
        <v>2017</v>
      </c>
      <c r="R1098" s="40">
        <v>124.62522370775901</v>
      </c>
      <c r="S1098" s="29">
        <v>13570</v>
      </c>
      <c r="T1098" s="32">
        <v>211.08888888888899</v>
      </c>
      <c r="U1098" s="32">
        <v>0</v>
      </c>
      <c r="V1098" s="40">
        <v>124.62522370775901</v>
      </c>
      <c r="W1098" s="39">
        <v>46211</v>
      </c>
      <c r="X1098" s="39">
        <v>46211</v>
      </c>
    </row>
    <row r="1099" spans="1:24" ht="15.75" thickBot="1" x14ac:dyDescent="0.3">
      <c r="A1099" t="str">
        <f t="shared" si="17"/>
        <v>PC68443493C00U</v>
      </c>
      <c r="B1099" s="22" t="s">
        <v>5252</v>
      </c>
      <c r="C1099" s="22" t="s">
        <v>5253</v>
      </c>
      <c r="D1099" s="22" t="s">
        <v>5254</v>
      </c>
      <c r="E1099" s="21"/>
      <c r="F1099" s="22" t="s">
        <v>5255</v>
      </c>
      <c r="G1099" s="28" t="s">
        <v>2012</v>
      </c>
      <c r="H1099" s="22" t="s">
        <v>2013</v>
      </c>
      <c r="I1099" s="21"/>
      <c r="J1099" s="22" t="s">
        <v>394</v>
      </c>
      <c r="K1099" s="22" t="s">
        <v>262</v>
      </c>
      <c r="L1099" s="21"/>
      <c r="M1099" s="22" t="s">
        <v>2014</v>
      </c>
      <c r="N1099" s="28" t="s">
        <v>2015</v>
      </c>
      <c r="O1099" s="28" t="s">
        <v>2016</v>
      </c>
      <c r="P1099" s="29">
        <v>468</v>
      </c>
      <c r="Q1099" s="28" t="s">
        <v>2017</v>
      </c>
      <c r="R1099" s="40">
        <v>125.357142857143</v>
      </c>
      <c r="S1099" s="29">
        <v>240</v>
      </c>
      <c r="T1099" s="32">
        <v>3.7333333333329999</v>
      </c>
      <c r="U1099" s="32">
        <v>0</v>
      </c>
      <c r="V1099" s="40">
        <v>125.357142857143</v>
      </c>
      <c r="W1099" s="39">
        <v>46212</v>
      </c>
      <c r="X1099" s="39">
        <v>46212</v>
      </c>
    </row>
    <row r="1100" spans="1:24" ht="15.75" thickBot="1" x14ac:dyDescent="0.3">
      <c r="A1100" t="str">
        <f t="shared" si="17"/>
        <v>REPACKX502D12</v>
      </c>
      <c r="B1100" s="22" t="s">
        <v>1635</v>
      </c>
      <c r="C1100" s="21"/>
      <c r="D1100" s="22" t="s">
        <v>2242</v>
      </c>
      <c r="E1100" s="21"/>
      <c r="F1100" s="22" t="s">
        <v>5256</v>
      </c>
      <c r="G1100" s="28" t="s">
        <v>2012</v>
      </c>
      <c r="H1100" s="22" t="s">
        <v>2055</v>
      </c>
      <c r="I1100" s="21"/>
      <c r="J1100" s="22" t="s">
        <v>364</v>
      </c>
      <c r="K1100" s="22" t="s">
        <v>924</v>
      </c>
      <c r="L1100" s="21"/>
      <c r="M1100" s="22" t="s">
        <v>2034</v>
      </c>
      <c r="N1100" s="28" t="s">
        <v>2015</v>
      </c>
      <c r="O1100" s="28" t="s">
        <v>2016</v>
      </c>
      <c r="P1100" s="29">
        <v>2948</v>
      </c>
      <c r="Q1100" s="28" t="s">
        <v>2017</v>
      </c>
      <c r="R1100" s="40">
        <v>125.340136054422</v>
      </c>
      <c r="S1100" s="29">
        <v>1512</v>
      </c>
      <c r="T1100" s="32">
        <v>23.52</v>
      </c>
      <c r="U1100" s="32">
        <v>0</v>
      </c>
      <c r="V1100" s="40">
        <v>125.340136054422</v>
      </c>
      <c r="W1100" s="39">
        <v>46212</v>
      </c>
      <c r="X1100" s="39">
        <v>46212</v>
      </c>
    </row>
    <row r="1101" spans="1:24" ht="15.75" thickBot="1" x14ac:dyDescent="0.3">
      <c r="A1101" t="str">
        <f t="shared" si="17"/>
        <v>RMSE280K20-1</v>
      </c>
      <c r="B1101" s="22" t="s">
        <v>5257</v>
      </c>
      <c r="C1101" s="22" t="s">
        <v>5258</v>
      </c>
      <c r="D1101" s="22" t="s">
        <v>5259</v>
      </c>
      <c r="E1101" s="22" t="s">
        <v>2527</v>
      </c>
      <c r="F1101" s="22" t="s">
        <v>2570</v>
      </c>
      <c r="G1101" s="28" t="s">
        <v>2012</v>
      </c>
      <c r="H1101" s="22" t="s">
        <v>2716</v>
      </c>
      <c r="I1101" s="22" t="s">
        <v>2717</v>
      </c>
      <c r="J1101" s="22" t="s">
        <v>261</v>
      </c>
      <c r="K1101" s="22" t="s">
        <v>924</v>
      </c>
      <c r="L1101" s="22" t="s">
        <v>2531</v>
      </c>
      <c r="M1101" s="22" t="s">
        <v>2532</v>
      </c>
      <c r="N1101" s="28" t="s">
        <v>2494</v>
      </c>
      <c r="O1101" s="28" t="s">
        <v>2016</v>
      </c>
      <c r="P1101" s="29">
        <v>11490</v>
      </c>
      <c r="Q1101" s="28" t="s">
        <v>1164</v>
      </c>
      <c r="R1101" s="40">
        <v>125.425060691247</v>
      </c>
      <c r="S1101" s="34">
        <v>5889.1170000000002</v>
      </c>
      <c r="T1101" s="32">
        <v>91.608486666665996</v>
      </c>
      <c r="U1101" s="32">
        <v>0</v>
      </c>
      <c r="V1101" s="40">
        <v>125.425060691247</v>
      </c>
      <c r="W1101" s="39">
        <v>46212</v>
      </c>
      <c r="X1101" s="39">
        <v>46212</v>
      </c>
    </row>
    <row r="1102" spans="1:24" ht="15.75" thickBot="1" x14ac:dyDescent="0.3">
      <c r="A1102" t="str">
        <f t="shared" si="17"/>
        <v>N1WB E23942 BL1G1C</v>
      </c>
      <c r="B1102" s="22" t="s">
        <v>1021</v>
      </c>
      <c r="C1102" s="22" t="s">
        <v>5260</v>
      </c>
      <c r="D1102" s="22" t="s">
        <v>6</v>
      </c>
      <c r="E1102" s="22" t="s">
        <v>2414</v>
      </c>
      <c r="F1102" s="22" t="s">
        <v>2415</v>
      </c>
      <c r="G1102" s="28" t="s">
        <v>2012</v>
      </c>
      <c r="H1102" s="22" t="s">
        <v>2055</v>
      </c>
      <c r="I1102" s="21"/>
      <c r="J1102" s="22" t="s">
        <v>261</v>
      </c>
      <c r="K1102" s="22" t="s">
        <v>262</v>
      </c>
      <c r="L1102" s="21"/>
      <c r="M1102" s="22" t="s">
        <v>2014</v>
      </c>
      <c r="N1102" s="28" t="s">
        <v>2015</v>
      </c>
      <c r="O1102" s="28" t="s">
        <v>2016</v>
      </c>
      <c r="P1102" s="29">
        <v>6</v>
      </c>
      <c r="Q1102" s="28" t="s">
        <v>2017</v>
      </c>
      <c r="R1102" s="40">
        <v>128.57142857142901</v>
      </c>
      <c r="S1102" s="29">
        <v>3</v>
      </c>
      <c r="T1102" s="32">
        <v>4.6666666666000001E-2</v>
      </c>
      <c r="U1102" s="32">
        <v>0</v>
      </c>
      <c r="V1102" s="40">
        <v>128.57142857142901</v>
      </c>
      <c r="W1102" s="39">
        <v>46215</v>
      </c>
      <c r="X1102" s="39">
        <v>46216</v>
      </c>
    </row>
    <row r="1103" spans="1:24" ht="15.75" thickBot="1" x14ac:dyDescent="0.3">
      <c r="A1103" t="str">
        <f t="shared" si="17"/>
        <v>N1WB E23943 KM1G1C</v>
      </c>
      <c r="B1103" s="22" t="s">
        <v>984</v>
      </c>
      <c r="C1103" s="22" t="s">
        <v>5261</v>
      </c>
      <c r="D1103" s="22" t="s">
        <v>72</v>
      </c>
      <c r="E1103" s="22" t="s">
        <v>2414</v>
      </c>
      <c r="F1103" s="22" t="s">
        <v>2360</v>
      </c>
      <c r="G1103" s="28" t="s">
        <v>2012</v>
      </c>
      <c r="H1103" s="22" t="s">
        <v>2055</v>
      </c>
      <c r="I1103" s="21"/>
      <c r="J1103" s="22" t="s">
        <v>261</v>
      </c>
      <c r="K1103" s="22" t="s">
        <v>262</v>
      </c>
      <c r="L1103" s="21"/>
      <c r="M1103" s="22" t="s">
        <v>2014</v>
      </c>
      <c r="N1103" s="28" t="s">
        <v>2015</v>
      </c>
      <c r="O1103" s="28" t="s">
        <v>2016</v>
      </c>
      <c r="P1103" s="29">
        <v>6</v>
      </c>
      <c r="Q1103" s="28" t="s">
        <v>2017</v>
      </c>
      <c r="R1103" s="40">
        <v>128.57142857142901</v>
      </c>
      <c r="S1103" s="29">
        <v>3</v>
      </c>
      <c r="T1103" s="32">
        <v>4.6666666666000001E-2</v>
      </c>
      <c r="U1103" s="32">
        <v>0</v>
      </c>
      <c r="V1103" s="40">
        <v>128.57142857142901</v>
      </c>
      <c r="W1103" s="39">
        <v>46215</v>
      </c>
      <c r="X1103" s="39">
        <v>46216</v>
      </c>
    </row>
    <row r="1104" spans="1:24" ht="15.75" thickBot="1" x14ac:dyDescent="0.3">
      <c r="A1104" t="str">
        <f t="shared" si="17"/>
        <v>PCPGMBEE78518</v>
      </c>
      <c r="B1104" s="22" t="s">
        <v>5262</v>
      </c>
      <c r="C1104" s="21"/>
      <c r="D1104" s="22" t="s">
        <v>5263</v>
      </c>
      <c r="E1104" s="22" t="s">
        <v>4826</v>
      </c>
      <c r="F1104" s="22" t="s">
        <v>2030</v>
      </c>
      <c r="G1104" s="28" t="s">
        <v>2012</v>
      </c>
      <c r="H1104" s="22" t="s">
        <v>3897</v>
      </c>
      <c r="I1104" s="22" t="s">
        <v>3898</v>
      </c>
      <c r="J1104" s="22" t="s">
        <v>404</v>
      </c>
      <c r="K1104" s="22" t="s">
        <v>262</v>
      </c>
      <c r="L1104" s="22" t="s">
        <v>3858</v>
      </c>
      <c r="M1104" s="22" t="s">
        <v>4055</v>
      </c>
      <c r="N1104" s="28" t="s">
        <v>2494</v>
      </c>
      <c r="O1104" s="28" t="s">
        <v>2016</v>
      </c>
      <c r="P1104" s="29">
        <v>3025</v>
      </c>
      <c r="Q1104" s="28" t="s">
        <v>2017</v>
      </c>
      <c r="R1104" s="40">
        <v>128.95509662750999</v>
      </c>
      <c r="S1104" s="29">
        <v>1508</v>
      </c>
      <c r="T1104" s="32">
        <v>23.457777777777</v>
      </c>
      <c r="U1104" s="32">
        <v>0</v>
      </c>
      <c r="V1104" s="40">
        <v>128.95509662750999</v>
      </c>
      <c r="W1104" s="39">
        <v>46215</v>
      </c>
      <c r="X1104" s="39">
        <v>46216</v>
      </c>
    </row>
    <row r="1105" spans="1:24" ht="15.75" thickBot="1" x14ac:dyDescent="0.3">
      <c r="A1105" t="str">
        <f t="shared" si="17"/>
        <v>RMPDRL1401P YZ9A</v>
      </c>
      <c r="B1105" s="22" t="s">
        <v>5264</v>
      </c>
      <c r="C1105" s="21"/>
      <c r="D1105" s="22" t="s">
        <v>3640</v>
      </c>
      <c r="E1105" s="22" t="s">
        <v>4656</v>
      </c>
      <c r="F1105" s="22" t="s">
        <v>2030</v>
      </c>
      <c r="G1105" s="28" t="s">
        <v>2012</v>
      </c>
      <c r="H1105" s="22" t="s">
        <v>3378</v>
      </c>
      <c r="I1105" s="22" t="s">
        <v>3379</v>
      </c>
      <c r="J1105" s="22" t="s">
        <v>494</v>
      </c>
      <c r="K1105" s="22" t="s">
        <v>262</v>
      </c>
      <c r="L1105" s="22" t="s">
        <v>3380</v>
      </c>
      <c r="M1105" s="22" t="s">
        <v>2523</v>
      </c>
      <c r="N1105" s="28" t="s">
        <v>2494</v>
      </c>
      <c r="O1105" s="28" t="s">
        <v>2016</v>
      </c>
      <c r="P1105" s="29">
        <v>2387.5</v>
      </c>
      <c r="Q1105" s="28" t="s">
        <v>1164</v>
      </c>
      <c r="R1105" s="40">
        <v>128.711596173544</v>
      </c>
      <c r="S1105" s="34">
        <v>1192.45</v>
      </c>
      <c r="T1105" s="32">
        <v>18.549222222221999</v>
      </c>
      <c r="U1105" s="32">
        <v>0</v>
      </c>
      <c r="V1105" s="40">
        <v>128.711596173544</v>
      </c>
      <c r="W1105" s="39">
        <v>46215</v>
      </c>
      <c r="X1105" s="39">
        <v>46216</v>
      </c>
    </row>
    <row r="1106" spans="1:24" ht="15.75" thickBot="1" x14ac:dyDescent="0.3">
      <c r="A1106" t="str">
        <f t="shared" si="17"/>
        <v>PCPGM85028082</v>
      </c>
      <c r="B1106" s="22" t="s">
        <v>5265</v>
      </c>
      <c r="C1106" s="21"/>
      <c r="D1106" s="22" t="s">
        <v>5266</v>
      </c>
      <c r="E1106" s="22" t="s">
        <v>5267</v>
      </c>
      <c r="F1106" s="22" t="s">
        <v>2030</v>
      </c>
      <c r="G1106" s="28" t="s">
        <v>2012</v>
      </c>
      <c r="H1106" s="22" t="s">
        <v>5268</v>
      </c>
      <c r="I1106" s="22" t="s">
        <v>5269</v>
      </c>
      <c r="J1106" s="22" t="s">
        <v>404</v>
      </c>
      <c r="K1106" s="22" t="s">
        <v>262</v>
      </c>
      <c r="L1106" s="22" t="s">
        <v>5270</v>
      </c>
      <c r="M1106" s="22" t="s">
        <v>2130</v>
      </c>
      <c r="N1106" s="28" t="s">
        <v>2494</v>
      </c>
      <c r="O1106" s="28" t="s">
        <v>2016</v>
      </c>
      <c r="P1106" s="29">
        <v>833</v>
      </c>
      <c r="Q1106" s="28" t="s">
        <v>2017</v>
      </c>
      <c r="R1106" s="40">
        <v>132.87841191067</v>
      </c>
      <c r="S1106" s="29">
        <v>403</v>
      </c>
      <c r="T1106" s="32">
        <v>6.2688888888880001</v>
      </c>
      <c r="U1106" s="32">
        <v>0</v>
      </c>
      <c r="V1106" s="40">
        <v>132.87841191067</v>
      </c>
      <c r="W1106" s="39">
        <v>46219</v>
      </c>
      <c r="X1106" s="39">
        <v>46219</v>
      </c>
    </row>
    <row r="1107" spans="1:24" ht="15.75" thickBot="1" x14ac:dyDescent="0.3">
      <c r="A1107" t="str">
        <f t="shared" si="17"/>
        <v>DETE40396A</v>
      </c>
      <c r="B1107" s="22" t="s">
        <v>1486</v>
      </c>
      <c r="C1107" s="22" t="s">
        <v>5271</v>
      </c>
      <c r="D1107" s="22" t="s">
        <v>5272</v>
      </c>
      <c r="E1107" s="21"/>
      <c r="F1107" s="22" t="s">
        <v>5273</v>
      </c>
      <c r="G1107" s="28" t="s">
        <v>2012</v>
      </c>
      <c r="H1107" s="22" t="s">
        <v>2013</v>
      </c>
      <c r="I1107" s="21"/>
      <c r="J1107" s="22" t="s">
        <v>261</v>
      </c>
      <c r="K1107" s="22" t="s">
        <v>924</v>
      </c>
      <c r="L1107" s="21"/>
      <c r="M1107" s="22" t="s">
        <v>2034</v>
      </c>
      <c r="N1107" s="28" t="s">
        <v>2015</v>
      </c>
      <c r="O1107" s="28" t="s">
        <v>2016</v>
      </c>
      <c r="P1107" s="29">
        <v>27151</v>
      </c>
      <c r="Q1107" s="28" t="s">
        <v>2017</v>
      </c>
      <c r="R1107" s="40">
        <v>135.58777507740501</v>
      </c>
      <c r="S1107" s="29">
        <v>12873</v>
      </c>
      <c r="T1107" s="32">
        <v>200.24666666666701</v>
      </c>
      <c r="U1107" s="32">
        <v>0</v>
      </c>
      <c r="V1107" s="40">
        <v>135.58777507740501</v>
      </c>
      <c r="W1107" s="39">
        <v>46222</v>
      </c>
      <c r="X1107" s="39">
        <v>46223</v>
      </c>
    </row>
    <row r="1108" spans="1:24" ht="15.75" thickBot="1" x14ac:dyDescent="0.3">
      <c r="A1108" t="str">
        <f t="shared" si="17"/>
        <v>PCPE27407AR07.H</v>
      </c>
      <c r="B1108" s="22" t="s">
        <v>5274</v>
      </c>
      <c r="C1108" s="21"/>
      <c r="D1108" s="22" t="s">
        <v>5275</v>
      </c>
      <c r="E1108" s="22" t="s">
        <v>4120</v>
      </c>
      <c r="F1108" s="22" t="s">
        <v>2030</v>
      </c>
      <c r="G1108" s="28" t="s">
        <v>2012</v>
      </c>
      <c r="H1108" s="22" t="s">
        <v>3459</v>
      </c>
      <c r="I1108" s="22" t="s">
        <v>3460</v>
      </c>
      <c r="J1108" s="22" t="s">
        <v>261</v>
      </c>
      <c r="K1108" s="22" t="s">
        <v>262</v>
      </c>
      <c r="L1108" s="22" t="s">
        <v>3318</v>
      </c>
      <c r="M1108" s="22" t="s">
        <v>2130</v>
      </c>
      <c r="N1108" s="28" t="s">
        <v>2494</v>
      </c>
      <c r="O1108" s="28" t="s">
        <v>2016</v>
      </c>
      <c r="P1108" s="29">
        <v>30</v>
      </c>
      <c r="Q1108" s="28" t="s">
        <v>2017</v>
      </c>
      <c r="R1108" s="40">
        <v>137.75510204081601</v>
      </c>
      <c r="S1108" s="29">
        <v>14</v>
      </c>
      <c r="T1108" s="32">
        <v>0.217777777777</v>
      </c>
      <c r="U1108" s="32">
        <v>0</v>
      </c>
      <c r="V1108" s="40">
        <v>137.75510204081601</v>
      </c>
      <c r="W1108" s="39">
        <v>46224</v>
      </c>
      <c r="X1108" s="39">
        <v>46224</v>
      </c>
    </row>
    <row r="1109" spans="1:24" ht="15.75" thickBot="1" x14ac:dyDescent="0.3">
      <c r="A1109" t="str">
        <f t="shared" si="17"/>
        <v>DETS28126</v>
      </c>
      <c r="B1109" s="22" t="s">
        <v>1559</v>
      </c>
      <c r="C1109" s="22" t="s">
        <v>2703</v>
      </c>
      <c r="D1109" s="22" t="s">
        <v>2704</v>
      </c>
      <c r="E1109" s="21"/>
      <c r="F1109" s="22" t="s">
        <v>5276</v>
      </c>
      <c r="G1109" s="28" t="s">
        <v>2012</v>
      </c>
      <c r="H1109" s="22" t="s">
        <v>2055</v>
      </c>
      <c r="I1109" s="21"/>
      <c r="J1109" s="22" t="s">
        <v>364</v>
      </c>
      <c r="K1109" s="22" t="s">
        <v>924</v>
      </c>
      <c r="L1109" s="21"/>
      <c r="M1109" s="22" t="s">
        <v>2034</v>
      </c>
      <c r="N1109" s="28" t="s">
        <v>2015</v>
      </c>
      <c r="O1109" s="28" t="s">
        <v>2016</v>
      </c>
      <c r="P1109" s="29">
        <v>18846</v>
      </c>
      <c r="Q1109" s="28" t="s">
        <v>2017</v>
      </c>
      <c r="R1109" s="40">
        <v>140.22321428571399</v>
      </c>
      <c r="S1109" s="29">
        <v>8640</v>
      </c>
      <c r="T1109" s="32">
        <v>134.4</v>
      </c>
      <c r="U1109" s="32">
        <v>0</v>
      </c>
      <c r="V1109" s="40">
        <v>140.22321428571399</v>
      </c>
      <c r="W1109" s="39">
        <v>46227</v>
      </c>
      <c r="X1109" s="39">
        <v>46227</v>
      </c>
    </row>
    <row r="1110" spans="1:24" ht="15.75" thickBot="1" x14ac:dyDescent="0.3">
      <c r="A1110" t="str">
        <f t="shared" si="17"/>
        <v>MLDBEI08207</v>
      </c>
      <c r="B1110" s="22" t="s">
        <v>725</v>
      </c>
      <c r="C1110" s="22" t="s">
        <v>2319</v>
      </c>
      <c r="D1110" s="22" t="s">
        <v>5277</v>
      </c>
      <c r="E1110" s="22" t="s">
        <v>5278</v>
      </c>
      <c r="F1110" s="22" t="s">
        <v>2661</v>
      </c>
      <c r="G1110" s="28" t="s">
        <v>2012</v>
      </c>
      <c r="H1110" s="22" t="s">
        <v>2013</v>
      </c>
      <c r="I1110" s="21"/>
      <c r="J1110" s="22" t="s">
        <v>404</v>
      </c>
      <c r="K1110" s="22" t="s">
        <v>262</v>
      </c>
      <c r="L1110" s="21"/>
      <c r="M1110" s="22" t="s">
        <v>2034</v>
      </c>
      <c r="N1110" s="28" t="s">
        <v>2015</v>
      </c>
      <c r="O1110" s="28" t="s">
        <v>2016</v>
      </c>
      <c r="P1110" s="29">
        <v>767</v>
      </c>
      <c r="Q1110" s="28" t="s">
        <v>2017</v>
      </c>
      <c r="R1110" s="40">
        <v>140.07711038961</v>
      </c>
      <c r="S1110" s="29">
        <v>352</v>
      </c>
      <c r="T1110" s="32">
        <v>5.4755555555550002</v>
      </c>
      <c r="U1110" s="32">
        <v>0</v>
      </c>
      <c r="V1110" s="40">
        <v>140.07711038961</v>
      </c>
      <c r="W1110" s="39">
        <v>46227</v>
      </c>
      <c r="X1110" s="39">
        <v>46227</v>
      </c>
    </row>
    <row r="1111" spans="1:24" ht="15.75" thickBot="1" x14ac:dyDescent="0.3">
      <c r="A1111" t="str">
        <f t="shared" si="17"/>
        <v>RMPGMADX5361</v>
      </c>
      <c r="B1111" s="22" t="s">
        <v>5279</v>
      </c>
      <c r="C1111" s="21"/>
      <c r="D1111" s="22" t="s">
        <v>5280</v>
      </c>
      <c r="E1111" s="22" t="s">
        <v>4928</v>
      </c>
      <c r="F1111" s="22" t="s">
        <v>2030</v>
      </c>
      <c r="G1111" s="28" t="s">
        <v>2012</v>
      </c>
      <c r="H1111" s="22" t="s">
        <v>3745</v>
      </c>
      <c r="I1111" s="22" t="s">
        <v>3746</v>
      </c>
      <c r="J1111" s="22" t="s">
        <v>404</v>
      </c>
      <c r="K1111" s="22" t="s">
        <v>262</v>
      </c>
      <c r="L1111" s="22" t="s">
        <v>3380</v>
      </c>
      <c r="M1111" s="22" t="s">
        <v>2523</v>
      </c>
      <c r="N1111" s="28" t="s">
        <v>2494</v>
      </c>
      <c r="O1111" s="28" t="s">
        <v>2016</v>
      </c>
      <c r="P1111" s="29">
        <v>2676.0419999999999</v>
      </c>
      <c r="Q1111" s="28" t="s">
        <v>1164</v>
      </c>
      <c r="R1111" s="40">
        <v>141.137766793015</v>
      </c>
      <c r="S1111" s="34">
        <v>1218.8889999999999</v>
      </c>
      <c r="T1111" s="32">
        <v>18.960495555554999</v>
      </c>
      <c r="U1111" s="32">
        <v>0</v>
      </c>
      <c r="V1111" s="40">
        <v>141.137766793015</v>
      </c>
      <c r="W1111" s="39">
        <v>46228</v>
      </c>
      <c r="X1111" s="39">
        <v>46230</v>
      </c>
    </row>
    <row r="1112" spans="1:24" ht="15.75" thickBot="1" x14ac:dyDescent="0.3">
      <c r="A1112" t="str">
        <f t="shared" si="17"/>
        <v>RMSE200B64RL</v>
      </c>
      <c r="B1112" s="22" t="s">
        <v>5281</v>
      </c>
      <c r="C1112" s="22" t="s">
        <v>5282</v>
      </c>
      <c r="D1112" s="22" t="s">
        <v>5283</v>
      </c>
      <c r="E1112" s="22" t="s">
        <v>2527</v>
      </c>
      <c r="F1112" s="22" t="s">
        <v>2570</v>
      </c>
      <c r="G1112" s="28" t="s">
        <v>2012</v>
      </c>
      <c r="H1112" s="22" t="s">
        <v>2716</v>
      </c>
      <c r="I1112" s="22" t="s">
        <v>2717</v>
      </c>
      <c r="J1112" s="22" t="s">
        <v>261</v>
      </c>
      <c r="K1112" s="22" t="s">
        <v>924</v>
      </c>
      <c r="L1112" s="22" t="s">
        <v>2531</v>
      </c>
      <c r="M1112" s="22" t="s">
        <v>2532</v>
      </c>
      <c r="N1112" s="28" t="s">
        <v>2494</v>
      </c>
      <c r="O1112" s="28" t="s">
        <v>2016</v>
      </c>
      <c r="P1112" s="29">
        <v>20666.291000000001</v>
      </c>
      <c r="Q1112" s="28" t="s">
        <v>1164</v>
      </c>
      <c r="R1112" s="40">
        <v>147.31322640205099</v>
      </c>
      <c r="S1112" s="34">
        <v>9018.52</v>
      </c>
      <c r="T1112" s="32">
        <v>140.28808888888901</v>
      </c>
      <c r="U1112" s="32">
        <v>0</v>
      </c>
      <c r="V1112" s="40">
        <v>147.31322640205099</v>
      </c>
      <c r="W1112" s="39">
        <v>46234</v>
      </c>
      <c r="X1112" s="39">
        <v>46234</v>
      </c>
    </row>
    <row r="1113" spans="1:24" ht="15.75" thickBot="1" x14ac:dyDescent="0.3">
      <c r="A1113" t="str">
        <f t="shared" si="17"/>
        <v>PCPGMBEE90661</v>
      </c>
      <c r="B1113" s="22" t="s">
        <v>5284</v>
      </c>
      <c r="C1113" s="21"/>
      <c r="D1113" s="22" t="s">
        <v>5285</v>
      </c>
      <c r="E1113" s="22" t="s">
        <v>4802</v>
      </c>
      <c r="F1113" s="22" t="s">
        <v>2030</v>
      </c>
      <c r="G1113" s="28" t="s">
        <v>2012</v>
      </c>
      <c r="H1113" s="22" t="s">
        <v>3897</v>
      </c>
      <c r="I1113" s="22" t="s">
        <v>3898</v>
      </c>
      <c r="J1113" s="22" t="s">
        <v>404</v>
      </c>
      <c r="K1113" s="22" t="s">
        <v>262</v>
      </c>
      <c r="L1113" s="22" t="s">
        <v>3858</v>
      </c>
      <c r="M1113" s="22" t="s">
        <v>4055</v>
      </c>
      <c r="N1113" s="28" t="s">
        <v>2494</v>
      </c>
      <c r="O1113" s="28" t="s">
        <v>2016</v>
      </c>
      <c r="P1113" s="29">
        <v>2030</v>
      </c>
      <c r="Q1113" s="28" t="s">
        <v>2017</v>
      </c>
      <c r="R1113" s="40">
        <v>148.63325740318899</v>
      </c>
      <c r="S1113" s="29">
        <v>878</v>
      </c>
      <c r="T1113" s="32">
        <v>13.657777777777</v>
      </c>
      <c r="U1113" s="32">
        <v>0</v>
      </c>
      <c r="V1113" s="40">
        <v>148.63325740318899</v>
      </c>
      <c r="W1113" s="39">
        <v>46235</v>
      </c>
      <c r="X1113" s="39">
        <v>46237</v>
      </c>
    </row>
    <row r="1114" spans="1:24" ht="15.75" thickBot="1" x14ac:dyDescent="0.3">
      <c r="A1114" t="str">
        <f t="shared" si="17"/>
        <v>RMS21044C30 P703</v>
      </c>
      <c r="B1114" s="22" t="s">
        <v>5286</v>
      </c>
      <c r="C1114" s="21"/>
      <c r="D1114" s="22" t="s">
        <v>5287</v>
      </c>
      <c r="E1114" s="22" t="s">
        <v>2527</v>
      </c>
      <c r="F1114" s="22" t="s">
        <v>5288</v>
      </c>
      <c r="G1114" s="28" t="s">
        <v>2012</v>
      </c>
      <c r="H1114" s="22" t="s">
        <v>2536</v>
      </c>
      <c r="I1114" s="22" t="s">
        <v>2537</v>
      </c>
      <c r="J1114" s="22" t="s">
        <v>494</v>
      </c>
      <c r="K1114" s="22" t="s">
        <v>924</v>
      </c>
      <c r="L1114" s="22" t="s">
        <v>2531</v>
      </c>
      <c r="M1114" s="22" t="s">
        <v>2532</v>
      </c>
      <c r="N1114" s="28" t="s">
        <v>2494</v>
      </c>
      <c r="O1114" s="28" t="s">
        <v>2016</v>
      </c>
      <c r="P1114" s="29">
        <v>7045.74</v>
      </c>
      <c r="Q1114" s="28" t="s">
        <v>1164</v>
      </c>
      <c r="R1114" s="40">
        <v>152.21485905551501</v>
      </c>
      <c r="S1114" s="34">
        <v>2975.665</v>
      </c>
      <c r="T1114" s="32">
        <v>46.288122222222</v>
      </c>
      <c r="U1114" s="32">
        <v>0</v>
      </c>
      <c r="V1114" s="40">
        <v>152.21485905551501</v>
      </c>
      <c r="W1114" s="39">
        <v>46239</v>
      </c>
      <c r="X1114" s="39">
        <v>46239</v>
      </c>
    </row>
    <row r="1115" spans="1:24" ht="15.75" thickBot="1" x14ac:dyDescent="0.3">
      <c r="A1115" t="str">
        <f t="shared" si="17"/>
        <v>N1WB 17C790BAOS</v>
      </c>
      <c r="B1115" s="22" t="s">
        <v>1503</v>
      </c>
      <c r="C1115" s="22" t="s">
        <v>5289</v>
      </c>
      <c r="D1115" s="22" t="s">
        <v>5290</v>
      </c>
      <c r="E1115" s="21"/>
      <c r="F1115" s="22" t="s">
        <v>5291</v>
      </c>
      <c r="G1115" s="28" t="s">
        <v>2012</v>
      </c>
      <c r="H1115" s="22" t="s">
        <v>2013</v>
      </c>
      <c r="I1115" s="21"/>
      <c r="J1115" s="22" t="s">
        <v>261</v>
      </c>
      <c r="K1115" s="22" t="s">
        <v>924</v>
      </c>
      <c r="L1115" s="21"/>
      <c r="M1115" s="22" t="s">
        <v>2014</v>
      </c>
      <c r="N1115" s="28" t="s">
        <v>2015</v>
      </c>
      <c r="O1115" s="28" t="s">
        <v>2016</v>
      </c>
      <c r="P1115" s="29">
        <v>14592</v>
      </c>
      <c r="Q1115" s="28" t="s">
        <v>2017</v>
      </c>
      <c r="R1115" s="40">
        <v>156.34285714285701</v>
      </c>
      <c r="S1115" s="29">
        <v>6000</v>
      </c>
      <c r="T1115" s="32">
        <v>93.333333333333002</v>
      </c>
      <c r="U1115" s="32">
        <v>0</v>
      </c>
      <c r="V1115" s="40">
        <v>156.34285714285701</v>
      </c>
      <c r="W1115" s="39">
        <v>46243</v>
      </c>
      <c r="X1115" s="39">
        <v>46244</v>
      </c>
    </row>
    <row r="1116" spans="1:24" ht="15.75" thickBot="1" x14ac:dyDescent="0.3">
      <c r="A1116" t="str">
        <f t="shared" si="17"/>
        <v>PCPE23943BPIA28</v>
      </c>
      <c r="B1116" s="22" t="s">
        <v>5292</v>
      </c>
      <c r="C1116" s="22" t="s">
        <v>5293</v>
      </c>
      <c r="D1116" s="22" t="s">
        <v>5294</v>
      </c>
      <c r="E1116" s="21"/>
      <c r="F1116" s="22" t="s">
        <v>2030</v>
      </c>
      <c r="G1116" s="28" t="s">
        <v>2012</v>
      </c>
      <c r="H1116" s="22" t="s">
        <v>3856</v>
      </c>
      <c r="I1116" s="22" t="s">
        <v>3857</v>
      </c>
      <c r="J1116" s="22" t="s">
        <v>261</v>
      </c>
      <c r="K1116" s="22" t="s">
        <v>262</v>
      </c>
      <c r="L1116" s="22" t="s">
        <v>3894</v>
      </c>
      <c r="M1116" s="22" t="s">
        <v>2130</v>
      </c>
      <c r="N1116" s="28" t="s">
        <v>2494</v>
      </c>
      <c r="O1116" s="28" t="s">
        <v>2016</v>
      </c>
      <c r="P1116" s="29">
        <v>62107</v>
      </c>
      <c r="Q1116" s="28" t="s">
        <v>2017</v>
      </c>
      <c r="R1116" s="40">
        <v>159.65900976298099</v>
      </c>
      <c r="S1116" s="29">
        <v>25007</v>
      </c>
      <c r="T1116" s="32">
        <v>388.99777777777803</v>
      </c>
      <c r="U1116" s="32">
        <v>0</v>
      </c>
      <c r="V1116" s="40">
        <v>159.65900976298099</v>
      </c>
      <c r="W1116" s="39">
        <v>46246</v>
      </c>
      <c r="X1116" s="39">
        <v>46246</v>
      </c>
    </row>
    <row r="1117" spans="1:24" ht="15.75" thickBot="1" x14ac:dyDescent="0.3">
      <c r="A1117" t="str">
        <f t="shared" si="17"/>
        <v>RMS2102428</v>
      </c>
      <c r="B1117" s="22" t="s">
        <v>5295</v>
      </c>
      <c r="C1117" s="22" t="s">
        <v>5296</v>
      </c>
      <c r="D1117" s="22" t="s">
        <v>5297</v>
      </c>
      <c r="E1117" s="22" t="s">
        <v>2527</v>
      </c>
      <c r="F1117" s="22" t="s">
        <v>5298</v>
      </c>
      <c r="G1117" s="28" t="s">
        <v>2012</v>
      </c>
      <c r="H1117" s="22" t="s">
        <v>2549</v>
      </c>
      <c r="I1117" s="22" t="s">
        <v>2550</v>
      </c>
      <c r="J1117" s="22" t="s">
        <v>261</v>
      </c>
      <c r="K1117" s="22" t="s">
        <v>924</v>
      </c>
      <c r="L1117" s="22" t="s">
        <v>2531</v>
      </c>
      <c r="M1117" s="22" t="s">
        <v>2532</v>
      </c>
      <c r="N1117" s="28" t="s">
        <v>2494</v>
      </c>
      <c r="O1117" s="28" t="s">
        <v>2016</v>
      </c>
      <c r="P1117" s="29">
        <v>8808.32</v>
      </c>
      <c r="Q1117" s="28" t="s">
        <v>1164</v>
      </c>
      <c r="R1117" s="40">
        <v>161.520575643699</v>
      </c>
      <c r="S1117" s="34">
        <v>3505.74</v>
      </c>
      <c r="T1117" s="32">
        <v>54.533733333332997</v>
      </c>
      <c r="U1117" s="32">
        <v>0</v>
      </c>
      <c r="V1117" s="40">
        <v>161.520575643699</v>
      </c>
      <c r="W1117" s="39">
        <v>46248</v>
      </c>
      <c r="X1117" s="39">
        <v>46248</v>
      </c>
    </row>
    <row r="1118" spans="1:24" ht="15.75" thickBot="1" x14ac:dyDescent="0.3">
      <c r="A1118" t="str">
        <f t="shared" si="17"/>
        <v>PCPGMBEI14983</v>
      </c>
      <c r="B1118" s="22" t="s">
        <v>5299</v>
      </c>
      <c r="C1118" s="21"/>
      <c r="D1118" s="22" t="s">
        <v>5300</v>
      </c>
      <c r="E1118" s="21"/>
      <c r="F1118" s="22" t="s">
        <v>2030</v>
      </c>
      <c r="G1118" s="28" t="s">
        <v>2012</v>
      </c>
      <c r="H1118" s="22" t="s">
        <v>5301</v>
      </c>
      <c r="I1118" s="22" t="s">
        <v>3898</v>
      </c>
      <c r="J1118" s="22" t="s">
        <v>404</v>
      </c>
      <c r="K1118" s="22" t="s">
        <v>262</v>
      </c>
      <c r="L1118" s="22" t="s">
        <v>3858</v>
      </c>
      <c r="M1118" s="22" t="s">
        <v>4055</v>
      </c>
      <c r="N1118" s="28" t="s">
        <v>2494</v>
      </c>
      <c r="O1118" s="28" t="s">
        <v>2016</v>
      </c>
      <c r="P1118" s="29">
        <v>2475</v>
      </c>
      <c r="Q1118" s="28" t="s">
        <v>2017</v>
      </c>
      <c r="R1118" s="40">
        <v>165.90942946521699</v>
      </c>
      <c r="S1118" s="29">
        <v>959</v>
      </c>
      <c r="T1118" s="32">
        <v>14.917777777776999</v>
      </c>
      <c r="U1118" s="32">
        <v>0</v>
      </c>
      <c r="V1118" s="40">
        <v>165.90942946521699</v>
      </c>
      <c r="W1118" s="39">
        <v>46252</v>
      </c>
      <c r="X1118" s="39">
        <v>46252</v>
      </c>
    </row>
    <row r="1119" spans="1:24" ht="15.75" thickBot="1" x14ac:dyDescent="0.3">
      <c r="A1119" t="str">
        <f t="shared" si="17"/>
        <v>RMSE502P34</v>
      </c>
      <c r="B1119" s="22" t="s">
        <v>5302</v>
      </c>
      <c r="C1119" s="22" t="s">
        <v>5303</v>
      </c>
      <c r="D1119" s="22" t="s">
        <v>5304</v>
      </c>
      <c r="E1119" s="22" t="s">
        <v>2527</v>
      </c>
      <c r="F1119" s="22" t="s">
        <v>4939</v>
      </c>
      <c r="G1119" s="28" t="s">
        <v>2012</v>
      </c>
      <c r="H1119" s="22" t="s">
        <v>2543</v>
      </c>
      <c r="I1119" s="22" t="s">
        <v>2544</v>
      </c>
      <c r="J1119" s="22" t="s">
        <v>261</v>
      </c>
      <c r="K1119" s="22" t="s">
        <v>924</v>
      </c>
      <c r="L1119" s="22" t="s">
        <v>2531</v>
      </c>
      <c r="M1119" s="22" t="s">
        <v>2532</v>
      </c>
      <c r="N1119" s="28" t="s">
        <v>2494</v>
      </c>
      <c r="O1119" s="28" t="s">
        <v>2016</v>
      </c>
      <c r="P1119" s="29">
        <v>72810</v>
      </c>
      <c r="Q1119" s="28" t="s">
        <v>1164</v>
      </c>
      <c r="R1119" s="40">
        <v>172.273491551288</v>
      </c>
      <c r="S1119" s="34">
        <v>27169.838</v>
      </c>
      <c r="T1119" s="32">
        <v>422.64192444444399</v>
      </c>
      <c r="U1119" s="32">
        <v>0</v>
      </c>
      <c r="V1119" s="40">
        <v>172.273491551288</v>
      </c>
      <c r="W1119" s="39">
        <v>46259</v>
      </c>
      <c r="X1119" s="39">
        <v>46259</v>
      </c>
    </row>
    <row r="1120" spans="1:24" ht="15.75" thickBot="1" x14ac:dyDescent="0.3">
      <c r="A1120" t="str">
        <f t="shared" si="17"/>
        <v>N1WB 17C791BAOS</v>
      </c>
      <c r="B1120" s="22" t="s">
        <v>1505</v>
      </c>
      <c r="C1120" s="22" t="s">
        <v>5305</v>
      </c>
      <c r="D1120" s="22" t="s">
        <v>5306</v>
      </c>
      <c r="E1120" s="21"/>
      <c r="F1120" s="22" t="s">
        <v>5307</v>
      </c>
      <c r="G1120" s="28" t="s">
        <v>2012</v>
      </c>
      <c r="H1120" s="22" t="s">
        <v>2013</v>
      </c>
      <c r="I1120" s="21"/>
      <c r="J1120" s="22" t="s">
        <v>261</v>
      </c>
      <c r="K1120" s="22" t="s">
        <v>924</v>
      </c>
      <c r="L1120" s="21"/>
      <c r="M1120" s="22" t="s">
        <v>2014</v>
      </c>
      <c r="N1120" s="28" t="s">
        <v>2015</v>
      </c>
      <c r="O1120" s="28" t="s">
        <v>2016</v>
      </c>
      <c r="P1120" s="29">
        <v>13642</v>
      </c>
      <c r="Q1120" s="28" t="s">
        <v>2017</v>
      </c>
      <c r="R1120" s="40">
        <v>175.397142857143</v>
      </c>
      <c r="S1120" s="29">
        <v>5000</v>
      </c>
      <c r="T1120" s="32">
        <v>77.777777777777004</v>
      </c>
      <c r="U1120" s="32">
        <v>0</v>
      </c>
      <c r="V1120" s="40">
        <v>175.397142857143</v>
      </c>
      <c r="W1120" s="39">
        <v>46262</v>
      </c>
      <c r="X1120" s="39">
        <v>46262</v>
      </c>
    </row>
    <row r="1121" spans="1:24" ht="15.75" thickBot="1" x14ac:dyDescent="0.3">
      <c r="A1121" t="str">
        <f t="shared" si="17"/>
        <v>PCPE23942AR08.H</v>
      </c>
      <c r="B1121" s="22" t="s">
        <v>5308</v>
      </c>
      <c r="C1121" s="21"/>
      <c r="D1121" s="22" t="s">
        <v>5309</v>
      </c>
      <c r="E1121" s="22" t="s">
        <v>4120</v>
      </c>
      <c r="F1121" s="22" t="s">
        <v>2030</v>
      </c>
      <c r="G1121" s="28" t="s">
        <v>2012</v>
      </c>
      <c r="H1121" s="22" t="s">
        <v>3459</v>
      </c>
      <c r="I1121" s="22" t="s">
        <v>3460</v>
      </c>
      <c r="J1121" s="22" t="s">
        <v>261</v>
      </c>
      <c r="K1121" s="22" t="s">
        <v>262</v>
      </c>
      <c r="L1121" s="22" t="s">
        <v>3318</v>
      </c>
      <c r="M1121" s="22" t="s">
        <v>2130</v>
      </c>
      <c r="N1121" s="28" t="s">
        <v>2494</v>
      </c>
      <c r="O1121" s="28" t="s">
        <v>2016</v>
      </c>
      <c r="P1121" s="29">
        <v>30</v>
      </c>
      <c r="Q1121" s="28" t="s">
        <v>2017</v>
      </c>
      <c r="R1121" s="40">
        <v>175.32467532467501</v>
      </c>
      <c r="S1121" s="29">
        <v>11</v>
      </c>
      <c r="T1121" s="32">
        <v>0.171111111111</v>
      </c>
      <c r="U1121" s="32">
        <v>0</v>
      </c>
      <c r="V1121" s="40">
        <v>175.32467532467501</v>
      </c>
      <c r="W1121" s="39">
        <v>46262</v>
      </c>
      <c r="X1121" s="39">
        <v>46262</v>
      </c>
    </row>
    <row r="1122" spans="1:24" ht="15.75" thickBot="1" x14ac:dyDescent="0.3">
      <c r="A1122" t="str">
        <f t="shared" si="17"/>
        <v>PCPE23943AR08.H</v>
      </c>
      <c r="B1122" s="22" t="s">
        <v>5310</v>
      </c>
      <c r="C1122" s="21"/>
      <c r="D1122" s="22" t="s">
        <v>5311</v>
      </c>
      <c r="E1122" s="22" t="s">
        <v>4120</v>
      </c>
      <c r="F1122" s="22" t="s">
        <v>2030</v>
      </c>
      <c r="G1122" s="28" t="s">
        <v>2012</v>
      </c>
      <c r="H1122" s="22" t="s">
        <v>3459</v>
      </c>
      <c r="I1122" s="22" t="s">
        <v>3460</v>
      </c>
      <c r="J1122" s="22" t="s">
        <v>261</v>
      </c>
      <c r="K1122" s="22" t="s">
        <v>262</v>
      </c>
      <c r="L1122" s="22" t="s">
        <v>3318</v>
      </c>
      <c r="M1122" s="22" t="s">
        <v>2130</v>
      </c>
      <c r="N1122" s="28" t="s">
        <v>2494</v>
      </c>
      <c r="O1122" s="28" t="s">
        <v>2016</v>
      </c>
      <c r="P1122" s="29">
        <v>30</v>
      </c>
      <c r="Q1122" s="28" t="s">
        <v>2017</v>
      </c>
      <c r="R1122" s="40">
        <v>175.32467532467501</v>
      </c>
      <c r="S1122" s="29">
        <v>11</v>
      </c>
      <c r="T1122" s="32">
        <v>0.171111111111</v>
      </c>
      <c r="U1122" s="32">
        <v>0</v>
      </c>
      <c r="V1122" s="40">
        <v>175.32467532467501</v>
      </c>
      <c r="W1122" s="39">
        <v>46262</v>
      </c>
      <c r="X1122" s="39">
        <v>46262</v>
      </c>
    </row>
    <row r="1123" spans="1:24" ht="15.75" thickBot="1" x14ac:dyDescent="0.3">
      <c r="A1123" t="str">
        <f t="shared" si="17"/>
        <v>PCPE27406AR08.H</v>
      </c>
      <c r="B1123" s="22" t="s">
        <v>5312</v>
      </c>
      <c r="C1123" s="21"/>
      <c r="D1123" s="22" t="s">
        <v>5313</v>
      </c>
      <c r="E1123" s="22" t="s">
        <v>4120</v>
      </c>
      <c r="F1123" s="22" t="s">
        <v>2030</v>
      </c>
      <c r="G1123" s="28" t="s">
        <v>2012</v>
      </c>
      <c r="H1123" s="22" t="s">
        <v>3459</v>
      </c>
      <c r="I1123" s="22" t="s">
        <v>3460</v>
      </c>
      <c r="J1123" s="22" t="s">
        <v>261</v>
      </c>
      <c r="K1123" s="22" t="s">
        <v>262</v>
      </c>
      <c r="L1123" s="22" t="s">
        <v>3318</v>
      </c>
      <c r="M1123" s="22" t="s">
        <v>2130</v>
      </c>
      <c r="N1123" s="28" t="s">
        <v>2494</v>
      </c>
      <c r="O1123" s="28" t="s">
        <v>2016</v>
      </c>
      <c r="P1123" s="29">
        <v>30</v>
      </c>
      <c r="Q1123" s="28" t="s">
        <v>2017</v>
      </c>
      <c r="R1123" s="40">
        <v>175.32467532467501</v>
      </c>
      <c r="S1123" s="29">
        <v>11</v>
      </c>
      <c r="T1123" s="32">
        <v>0.171111111111</v>
      </c>
      <c r="U1123" s="32">
        <v>0</v>
      </c>
      <c r="V1123" s="40">
        <v>175.32467532467501</v>
      </c>
      <c r="W1123" s="39">
        <v>46262</v>
      </c>
      <c r="X1123" s="39">
        <v>46262</v>
      </c>
    </row>
    <row r="1124" spans="1:24" ht="15.75" thickBot="1" x14ac:dyDescent="0.3">
      <c r="A1124" t="str">
        <f t="shared" si="17"/>
        <v>PCPE27407AR08.H</v>
      </c>
      <c r="B1124" s="22" t="s">
        <v>5314</v>
      </c>
      <c r="C1124" s="21"/>
      <c r="D1124" s="22" t="s">
        <v>5315</v>
      </c>
      <c r="E1124" s="22" t="s">
        <v>4120</v>
      </c>
      <c r="F1124" s="22" t="s">
        <v>2030</v>
      </c>
      <c r="G1124" s="28" t="s">
        <v>2012</v>
      </c>
      <c r="H1124" s="22" t="s">
        <v>3459</v>
      </c>
      <c r="I1124" s="22" t="s">
        <v>3460</v>
      </c>
      <c r="J1124" s="22" t="s">
        <v>261</v>
      </c>
      <c r="K1124" s="22" t="s">
        <v>262</v>
      </c>
      <c r="L1124" s="22" t="s">
        <v>3318</v>
      </c>
      <c r="M1124" s="22" t="s">
        <v>2130</v>
      </c>
      <c r="N1124" s="28" t="s">
        <v>2494</v>
      </c>
      <c r="O1124" s="28" t="s">
        <v>2016</v>
      </c>
      <c r="P1124" s="29">
        <v>30</v>
      </c>
      <c r="Q1124" s="28" t="s">
        <v>2017</v>
      </c>
      <c r="R1124" s="40">
        <v>175.32467532467501</v>
      </c>
      <c r="S1124" s="29">
        <v>11</v>
      </c>
      <c r="T1124" s="32">
        <v>0.171111111111</v>
      </c>
      <c r="U1124" s="32">
        <v>0</v>
      </c>
      <c r="V1124" s="40">
        <v>175.32467532467501</v>
      </c>
      <c r="W1124" s="39">
        <v>46262</v>
      </c>
      <c r="X1124" s="39">
        <v>46262</v>
      </c>
    </row>
    <row r="1125" spans="1:24" ht="15.75" thickBot="1" x14ac:dyDescent="0.3">
      <c r="A1125" t="str">
        <f t="shared" si="17"/>
        <v>PCPGMBEE18225</v>
      </c>
      <c r="B1125" s="22" t="s">
        <v>5316</v>
      </c>
      <c r="C1125" s="21"/>
      <c r="D1125" s="22" t="s">
        <v>5317</v>
      </c>
      <c r="E1125" s="22" t="s">
        <v>4802</v>
      </c>
      <c r="F1125" s="22" t="s">
        <v>2030</v>
      </c>
      <c r="G1125" s="28" t="s">
        <v>2012</v>
      </c>
      <c r="H1125" s="22" t="s">
        <v>3897</v>
      </c>
      <c r="I1125" s="22" t="s">
        <v>3898</v>
      </c>
      <c r="J1125" s="22" t="s">
        <v>404</v>
      </c>
      <c r="K1125" s="22" t="s">
        <v>262</v>
      </c>
      <c r="L1125" s="22" t="s">
        <v>3858</v>
      </c>
      <c r="M1125" s="22" t="s">
        <v>4055</v>
      </c>
      <c r="N1125" s="28" t="s">
        <v>2494</v>
      </c>
      <c r="O1125" s="28" t="s">
        <v>2016</v>
      </c>
      <c r="P1125" s="29">
        <v>1778</v>
      </c>
      <c r="Q1125" s="28" t="s">
        <v>2017</v>
      </c>
      <c r="R1125" s="40">
        <v>175.03828483920401</v>
      </c>
      <c r="S1125" s="29">
        <v>653</v>
      </c>
      <c r="T1125" s="32">
        <v>10.157777777777</v>
      </c>
      <c r="U1125" s="32">
        <v>0</v>
      </c>
      <c r="V1125" s="40">
        <v>175.03828483920401</v>
      </c>
      <c r="W1125" s="39">
        <v>46262</v>
      </c>
      <c r="X1125" s="39">
        <v>46262</v>
      </c>
    </row>
    <row r="1126" spans="1:24" ht="15.75" thickBot="1" x14ac:dyDescent="0.3">
      <c r="A1126" t="str">
        <f t="shared" si="17"/>
        <v>PCPGMBEE17090</v>
      </c>
      <c r="B1126" s="22" t="s">
        <v>5318</v>
      </c>
      <c r="C1126" s="21"/>
      <c r="D1126" s="22" t="s">
        <v>5319</v>
      </c>
      <c r="E1126" s="21"/>
      <c r="F1126" s="22" t="s">
        <v>2030</v>
      </c>
      <c r="G1126" s="28" t="s">
        <v>2012</v>
      </c>
      <c r="H1126" s="22" t="s">
        <v>3897</v>
      </c>
      <c r="I1126" s="22" t="s">
        <v>3898</v>
      </c>
      <c r="J1126" s="22" t="s">
        <v>404</v>
      </c>
      <c r="K1126" s="22" t="s">
        <v>262</v>
      </c>
      <c r="L1126" s="22" t="s">
        <v>3858</v>
      </c>
      <c r="M1126" s="22" t="s">
        <v>4055</v>
      </c>
      <c r="N1126" s="28" t="s">
        <v>2494</v>
      </c>
      <c r="O1126" s="28" t="s">
        <v>2016</v>
      </c>
      <c r="P1126" s="29">
        <v>16525</v>
      </c>
      <c r="Q1126" s="28" t="s">
        <v>2017</v>
      </c>
      <c r="R1126" s="40">
        <v>186.47032272624699</v>
      </c>
      <c r="S1126" s="29">
        <v>5697</v>
      </c>
      <c r="T1126" s="32">
        <v>88.62</v>
      </c>
      <c r="U1126" s="32">
        <v>0</v>
      </c>
      <c r="V1126" s="40">
        <v>186.47032272624699</v>
      </c>
      <c r="W1126" s="39">
        <v>46273</v>
      </c>
      <c r="X1126" s="39">
        <v>46273</v>
      </c>
    </row>
    <row r="1127" spans="1:24" ht="15.75" thickBot="1" x14ac:dyDescent="0.3">
      <c r="A1127" t="str">
        <f t="shared" si="17"/>
        <v>PCPGM11549027</v>
      </c>
      <c r="B1127" s="22" t="s">
        <v>5320</v>
      </c>
      <c r="C1127" s="22" t="s">
        <v>4340</v>
      </c>
      <c r="D1127" s="22" t="s">
        <v>5321</v>
      </c>
      <c r="E1127" s="21"/>
      <c r="F1127" s="22" t="s">
        <v>2030</v>
      </c>
      <c r="G1127" s="28" t="s">
        <v>2012</v>
      </c>
      <c r="H1127" s="22" t="s">
        <v>4058</v>
      </c>
      <c r="I1127" s="22" t="s">
        <v>4059</v>
      </c>
      <c r="J1127" s="22" t="s">
        <v>404</v>
      </c>
      <c r="K1127" s="22" t="s">
        <v>262</v>
      </c>
      <c r="L1127" s="22" t="s">
        <v>2829</v>
      </c>
      <c r="M1127" s="22" t="s">
        <v>4055</v>
      </c>
      <c r="N1127" s="28" t="s">
        <v>2494</v>
      </c>
      <c r="O1127" s="28" t="s">
        <v>2016</v>
      </c>
      <c r="P1127" s="29">
        <v>16942</v>
      </c>
      <c r="Q1127" s="28" t="s">
        <v>2017</v>
      </c>
      <c r="R1127" s="40">
        <v>189.28199016833</v>
      </c>
      <c r="S1127" s="29">
        <v>5754</v>
      </c>
      <c r="T1127" s="32">
        <v>89.506666666666007</v>
      </c>
      <c r="U1127" s="32">
        <v>0</v>
      </c>
      <c r="V1127" s="40">
        <v>189.28199016833</v>
      </c>
      <c r="W1127" s="39">
        <v>46276</v>
      </c>
      <c r="X1127" s="39">
        <v>46276</v>
      </c>
    </row>
    <row r="1128" spans="1:24" ht="15.75" thickBot="1" x14ac:dyDescent="0.3">
      <c r="A1128" t="str">
        <f t="shared" si="17"/>
        <v>N1WB E291A34 MAE</v>
      </c>
      <c r="B1128" s="22" t="s">
        <v>5322</v>
      </c>
      <c r="C1128" s="22" t="s">
        <v>5323</v>
      </c>
      <c r="D1128" s="22" t="s">
        <v>2503</v>
      </c>
      <c r="E1128" s="21"/>
      <c r="F1128" s="22" t="s">
        <v>5324</v>
      </c>
      <c r="G1128" s="28" t="s">
        <v>2012</v>
      </c>
      <c r="H1128" s="22" t="s">
        <v>2055</v>
      </c>
      <c r="I1128" s="21"/>
      <c r="J1128" s="22" t="s">
        <v>261</v>
      </c>
      <c r="K1128" s="22" t="s">
        <v>262</v>
      </c>
      <c r="L1128" s="21"/>
      <c r="M1128" s="22" t="s">
        <v>2014</v>
      </c>
      <c r="N1128" s="28" t="s">
        <v>2015</v>
      </c>
      <c r="O1128" s="28" t="s">
        <v>2016</v>
      </c>
      <c r="P1128" s="29">
        <v>808</v>
      </c>
      <c r="Q1128" s="28" t="s">
        <v>2017</v>
      </c>
      <c r="R1128" s="40">
        <v>193.816631130064</v>
      </c>
      <c r="S1128" s="29">
        <v>268</v>
      </c>
      <c r="T1128" s="32">
        <v>4.1688888888879996</v>
      </c>
      <c r="U1128" s="32">
        <v>0</v>
      </c>
      <c r="V1128" s="40">
        <v>193.816631130064</v>
      </c>
      <c r="W1128" s="39">
        <v>46280</v>
      </c>
      <c r="X1128" s="39">
        <v>46280</v>
      </c>
    </row>
    <row r="1129" spans="1:24" ht="15.75" thickBot="1" x14ac:dyDescent="0.3">
      <c r="A1129" t="str">
        <f t="shared" si="17"/>
        <v>DETE410A36AA</v>
      </c>
      <c r="B1129" s="22" t="s">
        <v>1144</v>
      </c>
      <c r="C1129" s="22" t="s">
        <v>5325</v>
      </c>
      <c r="D1129" s="22" t="s">
        <v>3822</v>
      </c>
      <c r="E1129" s="22" t="s">
        <v>5326</v>
      </c>
      <c r="F1129" s="22" t="s">
        <v>3824</v>
      </c>
      <c r="G1129" s="28" t="s">
        <v>2012</v>
      </c>
      <c r="H1129" s="22" t="s">
        <v>2080</v>
      </c>
      <c r="I1129" s="21"/>
      <c r="J1129" s="22" t="s">
        <v>261</v>
      </c>
      <c r="K1129" s="22" t="s">
        <v>924</v>
      </c>
      <c r="L1129" s="21"/>
      <c r="M1129" s="22" t="s">
        <v>2034</v>
      </c>
      <c r="N1129" s="28" t="s">
        <v>2015</v>
      </c>
      <c r="O1129" s="28" t="s">
        <v>2016</v>
      </c>
      <c r="P1129" s="29">
        <v>334</v>
      </c>
      <c r="Q1129" s="28" t="s">
        <v>2017</v>
      </c>
      <c r="R1129" s="40">
        <v>195.19480519480501</v>
      </c>
      <c r="S1129" s="29">
        <v>110</v>
      </c>
      <c r="T1129" s="32">
        <v>1.711111111111</v>
      </c>
      <c r="U1129" s="32">
        <v>0</v>
      </c>
      <c r="V1129" s="40">
        <v>195.19480519480501</v>
      </c>
      <c r="W1129" s="39">
        <v>46282</v>
      </c>
      <c r="X1129" s="39">
        <v>46282</v>
      </c>
    </row>
    <row r="1130" spans="1:24" ht="15.75" thickBot="1" x14ac:dyDescent="0.3">
      <c r="A1130" t="str">
        <f t="shared" si="17"/>
        <v>DETE410A37AA</v>
      </c>
      <c r="B1130" s="22" t="s">
        <v>1147</v>
      </c>
      <c r="C1130" s="22" t="s">
        <v>5327</v>
      </c>
      <c r="D1130" s="22" t="s">
        <v>3825</v>
      </c>
      <c r="E1130" s="22" t="s">
        <v>5328</v>
      </c>
      <c r="F1130" s="22" t="s">
        <v>3827</v>
      </c>
      <c r="G1130" s="28" t="s">
        <v>2012</v>
      </c>
      <c r="H1130" s="22" t="s">
        <v>2080</v>
      </c>
      <c r="I1130" s="21"/>
      <c r="J1130" s="22" t="s">
        <v>261</v>
      </c>
      <c r="K1130" s="22" t="s">
        <v>924</v>
      </c>
      <c r="L1130" s="21"/>
      <c r="M1130" s="22" t="s">
        <v>2034</v>
      </c>
      <c r="N1130" s="28" t="s">
        <v>2015</v>
      </c>
      <c r="O1130" s="28" t="s">
        <v>2016</v>
      </c>
      <c r="P1130" s="29">
        <v>334</v>
      </c>
      <c r="Q1130" s="28" t="s">
        <v>2017</v>
      </c>
      <c r="R1130" s="40">
        <v>195.19480519480501</v>
      </c>
      <c r="S1130" s="29">
        <v>110</v>
      </c>
      <c r="T1130" s="32">
        <v>1.711111111111</v>
      </c>
      <c r="U1130" s="32">
        <v>0</v>
      </c>
      <c r="V1130" s="40">
        <v>195.19480519480501</v>
      </c>
      <c r="W1130" s="39">
        <v>46282</v>
      </c>
      <c r="X1130" s="39">
        <v>46282</v>
      </c>
    </row>
    <row r="1131" spans="1:24" ht="15.75" thickBot="1" x14ac:dyDescent="0.3">
      <c r="A1131" t="str">
        <f t="shared" si="17"/>
        <v>PCPE403A86APIA02</v>
      </c>
      <c r="B1131" s="22" t="s">
        <v>5329</v>
      </c>
      <c r="C1131" s="21"/>
      <c r="D1131" s="22" t="s">
        <v>5330</v>
      </c>
      <c r="E1131" s="22" t="s">
        <v>5331</v>
      </c>
      <c r="F1131" s="22" t="s">
        <v>2030</v>
      </c>
      <c r="G1131" s="28" t="s">
        <v>2012</v>
      </c>
      <c r="H1131" s="22" t="s">
        <v>3897</v>
      </c>
      <c r="I1131" s="22" t="s">
        <v>3898</v>
      </c>
      <c r="J1131" s="22" t="s">
        <v>261</v>
      </c>
      <c r="K1131" s="22" t="s">
        <v>262</v>
      </c>
      <c r="L1131" s="22" t="s">
        <v>3899</v>
      </c>
      <c r="M1131" s="22" t="s">
        <v>2130</v>
      </c>
      <c r="N1131" s="28" t="s">
        <v>2494</v>
      </c>
      <c r="O1131" s="28" t="s">
        <v>2016</v>
      </c>
      <c r="P1131" s="29">
        <v>95754</v>
      </c>
      <c r="Q1131" s="28" t="s">
        <v>2017</v>
      </c>
      <c r="R1131" s="40">
        <v>198.96613503504699</v>
      </c>
      <c r="S1131" s="29">
        <v>30938</v>
      </c>
      <c r="T1131" s="32">
        <v>481.25777777777802</v>
      </c>
      <c r="U1131" s="32">
        <v>0</v>
      </c>
      <c r="V1131" s="40">
        <v>198.96613503504699</v>
      </c>
      <c r="W1131" s="39">
        <v>46285</v>
      </c>
      <c r="X1131" s="39">
        <v>46286</v>
      </c>
    </row>
    <row r="1132" spans="1:24" ht="15.75" thickBot="1" x14ac:dyDescent="0.3">
      <c r="A1132" t="str">
        <f t="shared" si="17"/>
        <v>PCPGMBEE81744</v>
      </c>
      <c r="B1132" s="22" t="s">
        <v>5332</v>
      </c>
      <c r="C1132" s="21"/>
      <c r="D1132" s="22" t="s">
        <v>5333</v>
      </c>
      <c r="E1132" s="21"/>
      <c r="F1132" s="22" t="s">
        <v>2030</v>
      </c>
      <c r="G1132" s="28" t="s">
        <v>2012</v>
      </c>
      <c r="H1132" s="22" t="s">
        <v>5301</v>
      </c>
      <c r="I1132" s="22" t="s">
        <v>3898</v>
      </c>
      <c r="J1132" s="22" t="s">
        <v>404</v>
      </c>
      <c r="K1132" s="22" t="s">
        <v>262</v>
      </c>
      <c r="L1132" s="22" t="s">
        <v>3858</v>
      </c>
      <c r="M1132" s="22" t="s">
        <v>4055</v>
      </c>
      <c r="N1132" s="28" t="s">
        <v>2494</v>
      </c>
      <c r="O1132" s="28" t="s">
        <v>2016</v>
      </c>
      <c r="P1132" s="29">
        <v>2995</v>
      </c>
      <c r="Q1132" s="28" t="s">
        <v>2017</v>
      </c>
      <c r="R1132" s="40">
        <v>200.76716818114099</v>
      </c>
      <c r="S1132" s="29">
        <v>959</v>
      </c>
      <c r="T1132" s="32">
        <v>14.917777777776999</v>
      </c>
      <c r="U1132" s="32">
        <v>0</v>
      </c>
      <c r="V1132" s="40">
        <v>200.76716818114099</v>
      </c>
      <c r="W1132" s="39">
        <v>46287</v>
      </c>
      <c r="X1132" s="39">
        <v>46287</v>
      </c>
    </row>
    <row r="1133" spans="1:24" ht="15.75" thickBot="1" x14ac:dyDescent="0.3">
      <c r="A1133" t="str">
        <f t="shared" si="17"/>
        <v>P0571700</v>
      </c>
      <c r="B1133" s="22" t="s">
        <v>5334</v>
      </c>
      <c r="C1133" s="22" t="s">
        <v>5335</v>
      </c>
      <c r="D1133" s="22" t="s">
        <v>5336</v>
      </c>
      <c r="E1133" s="22" t="s">
        <v>5337</v>
      </c>
      <c r="F1133" s="22" t="s">
        <v>5338</v>
      </c>
      <c r="G1133" s="28" t="s">
        <v>2012</v>
      </c>
      <c r="H1133" s="22" t="s">
        <v>2464</v>
      </c>
      <c r="I1133" s="21"/>
      <c r="J1133" s="22" t="s">
        <v>364</v>
      </c>
      <c r="K1133" s="22" t="s">
        <v>924</v>
      </c>
      <c r="L1133" s="21"/>
      <c r="M1133" s="22" t="s">
        <v>2014</v>
      </c>
      <c r="N1133" s="28" t="s">
        <v>2015</v>
      </c>
      <c r="O1133" s="28" t="s">
        <v>2016</v>
      </c>
      <c r="P1133" s="29">
        <v>4000</v>
      </c>
      <c r="Q1133" s="28" t="s">
        <v>2017</v>
      </c>
      <c r="R1133" s="40">
        <v>214.28571428571399</v>
      </c>
      <c r="S1133" s="29">
        <v>1200</v>
      </c>
      <c r="T1133" s="32">
        <v>18.666666666666</v>
      </c>
      <c r="U1133" s="32">
        <v>0</v>
      </c>
      <c r="V1133" s="40">
        <v>214.28571428571399</v>
      </c>
      <c r="W1133" s="39">
        <v>46301</v>
      </c>
      <c r="X1133" s="39">
        <v>46301</v>
      </c>
    </row>
    <row r="1134" spans="1:24" ht="15.75" thickBot="1" x14ac:dyDescent="0.3">
      <c r="A1134" t="str">
        <f t="shared" si="17"/>
        <v>PCPGM11602253</v>
      </c>
      <c r="B1134" s="22" t="s">
        <v>5339</v>
      </c>
      <c r="C1134" s="22" t="s">
        <v>4847</v>
      </c>
      <c r="D1134" s="22" t="s">
        <v>5340</v>
      </c>
      <c r="E1134" s="22" t="s">
        <v>3902</v>
      </c>
      <c r="F1134" s="22" t="s">
        <v>2030</v>
      </c>
      <c r="G1134" s="28" t="s">
        <v>2012</v>
      </c>
      <c r="H1134" s="22" t="s">
        <v>4058</v>
      </c>
      <c r="I1134" s="22" t="s">
        <v>4059</v>
      </c>
      <c r="J1134" s="22" t="s">
        <v>404</v>
      </c>
      <c r="K1134" s="22" t="s">
        <v>262</v>
      </c>
      <c r="L1134" s="22" t="s">
        <v>3716</v>
      </c>
      <c r="M1134" s="22" t="s">
        <v>4055</v>
      </c>
      <c r="N1134" s="28" t="s">
        <v>2494</v>
      </c>
      <c r="O1134" s="28" t="s">
        <v>2016</v>
      </c>
      <c r="P1134" s="29">
        <v>7436</v>
      </c>
      <c r="Q1134" s="28" t="s">
        <v>2017</v>
      </c>
      <c r="R1134" s="40">
        <v>214.74778590681601</v>
      </c>
      <c r="S1134" s="29">
        <v>2226</v>
      </c>
      <c r="T1134" s="32">
        <v>34.626666666665997</v>
      </c>
      <c r="U1134" s="32">
        <v>0</v>
      </c>
      <c r="V1134" s="40">
        <v>214.74778590681601</v>
      </c>
      <c r="W1134" s="39">
        <v>46301</v>
      </c>
      <c r="X1134" s="39">
        <v>46301</v>
      </c>
    </row>
    <row r="1135" spans="1:24" ht="15.75" thickBot="1" x14ac:dyDescent="0.3">
      <c r="A1135" t="str">
        <f t="shared" si="17"/>
        <v>ASYBEE18154</v>
      </c>
      <c r="B1135" s="22" t="s">
        <v>441</v>
      </c>
      <c r="C1135" s="22" t="s">
        <v>5341</v>
      </c>
      <c r="D1135" s="22" t="s">
        <v>5342</v>
      </c>
      <c r="E1135" s="21"/>
      <c r="F1135" s="22" t="s">
        <v>2030</v>
      </c>
      <c r="G1135" s="28" t="s">
        <v>2012</v>
      </c>
      <c r="H1135" s="22" t="s">
        <v>4587</v>
      </c>
      <c r="I1135" s="21"/>
      <c r="J1135" s="22" t="s">
        <v>404</v>
      </c>
      <c r="K1135" s="22" t="s">
        <v>262</v>
      </c>
      <c r="L1135" s="21"/>
      <c r="M1135" s="22" t="s">
        <v>2034</v>
      </c>
      <c r="N1135" s="28" t="s">
        <v>2015</v>
      </c>
      <c r="O1135" s="28" t="s">
        <v>2016</v>
      </c>
      <c r="P1135" s="29">
        <v>373</v>
      </c>
      <c r="Q1135" s="28" t="s">
        <v>2017</v>
      </c>
      <c r="R1135" s="40">
        <v>222.02380952381</v>
      </c>
      <c r="S1135" s="29">
        <v>108</v>
      </c>
      <c r="T1135" s="32">
        <v>1.68</v>
      </c>
      <c r="U1135" s="32">
        <v>0</v>
      </c>
      <c r="V1135" s="40">
        <v>222.02380952381</v>
      </c>
      <c r="W1135" s="39">
        <v>46309</v>
      </c>
      <c r="X1135" s="39">
        <v>46309</v>
      </c>
    </row>
    <row r="1136" spans="1:24" ht="15.75" thickBot="1" x14ac:dyDescent="0.3">
      <c r="A1136" t="str">
        <f t="shared" si="17"/>
        <v>RMPGM30S91KRP</v>
      </c>
      <c r="B1136" s="22" t="s">
        <v>5343</v>
      </c>
      <c r="C1136" s="22" t="s">
        <v>5344</v>
      </c>
      <c r="D1136" s="22" t="s">
        <v>5345</v>
      </c>
      <c r="E1136" s="21"/>
      <c r="F1136" s="22" t="s">
        <v>2030</v>
      </c>
      <c r="G1136" s="28" t="s">
        <v>2012</v>
      </c>
      <c r="H1136" s="22" t="s">
        <v>4817</v>
      </c>
      <c r="I1136" s="22" t="s">
        <v>4818</v>
      </c>
      <c r="J1136" s="22" t="s">
        <v>404</v>
      </c>
      <c r="K1136" s="22" t="s">
        <v>262</v>
      </c>
      <c r="L1136" s="22" t="s">
        <v>4925</v>
      </c>
      <c r="M1136" s="22" t="s">
        <v>4830</v>
      </c>
      <c r="N1136" s="28" t="s">
        <v>2494</v>
      </c>
      <c r="O1136" s="28" t="s">
        <v>2016</v>
      </c>
      <c r="P1136" s="29">
        <v>197.2116</v>
      </c>
      <c r="Q1136" s="28" t="s">
        <v>1164</v>
      </c>
      <c r="R1136" s="40">
        <v>229.57208046191101</v>
      </c>
      <c r="S1136" s="34">
        <v>55.223999999999997</v>
      </c>
      <c r="T1136" s="32">
        <v>0.85904000000000003</v>
      </c>
      <c r="U1136" s="32">
        <v>0</v>
      </c>
      <c r="V1136" s="40">
        <v>229.57208046191101</v>
      </c>
      <c r="W1136" s="39">
        <v>46316</v>
      </c>
      <c r="X1136" s="39">
        <v>46316</v>
      </c>
    </row>
    <row r="1137" spans="1:24" ht="15.75" thickBot="1" x14ac:dyDescent="0.3">
      <c r="A1137" t="str">
        <f t="shared" si="17"/>
        <v>PCPE23942AR07.H</v>
      </c>
      <c r="B1137" s="22" t="s">
        <v>5346</v>
      </c>
      <c r="C1137" s="21"/>
      <c r="D1137" s="22" t="s">
        <v>5347</v>
      </c>
      <c r="E1137" s="22" t="s">
        <v>4120</v>
      </c>
      <c r="F1137" s="22" t="s">
        <v>2030</v>
      </c>
      <c r="G1137" s="28" t="s">
        <v>2012</v>
      </c>
      <c r="H1137" s="22" t="s">
        <v>3459</v>
      </c>
      <c r="I1137" s="22" t="s">
        <v>3460</v>
      </c>
      <c r="J1137" s="22" t="s">
        <v>261</v>
      </c>
      <c r="K1137" s="22" t="s">
        <v>262</v>
      </c>
      <c r="L1137" s="22" t="s">
        <v>3318</v>
      </c>
      <c r="M1137" s="22" t="s">
        <v>2130</v>
      </c>
      <c r="N1137" s="28" t="s">
        <v>2494</v>
      </c>
      <c r="O1137" s="28" t="s">
        <v>2016</v>
      </c>
      <c r="P1137" s="29">
        <v>30</v>
      </c>
      <c r="Q1137" s="28" t="s">
        <v>2017</v>
      </c>
      <c r="R1137" s="40">
        <v>241.07142857142901</v>
      </c>
      <c r="S1137" s="29">
        <v>8</v>
      </c>
      <c r="T1137" s="32">
        <v>0.124444444444</v>
      </c>
      <c r="U1137" s="32">
        <v>0</v>
      </c>
      <c r="V1137" s="40">
        <v>241.07142857142901</v>
      </c>
      <c r="W1137" s="39">
        <v>46328</v>
      </c>
      <c r="X1137" s="39">
        <v>46328</v>
      </c>
    </row>
    <row r="1138" spans="1:24" ht="15.75" thickBot="1" x14ac:dyDescent="0.3">
      <c r="A1138" t="str">
        <f t="shared" si="17"/>
        <v>PCPGMBEE90678</v>
      </c>
      <c r="B1138" s="22" t="s">
        <v>5348</v>
      </c>
      <c r="C1138" s="21"/>
      <c r="D1138" s="22" t="s">
        <v>5349</v>
      </c>
      <c r="E1138" s="22" t="s">
        <v>4802</v>
      </c>
      <c r="F1138" s="22" t="s">
        <v>2030</v>
      </c>
      <c r="G1138" s="28" t="s">
        <v>2012</v>
      </c>
      <c r="H1138" s="22" t="s">
        <v>3897</v>
      </c>
      <c r="I1138" s="22" t="s">
        <v>3898</v>
      </c>
      <c r="J1138" s="22" t="s">
        <v>404</v>
      </c>
      <c r="K1138" s="22" t="s">
        <v>262</v>
      </c>
      <c r="L1138" s="22" t="s">
        <v>3858</v>
      </c>
      <c r="M1138" s="22" t="s">
        <v>4055</v>
      </c>
      <c r="N1138" s="28" t="s">
        <v>2494</v>
      </c>
      <c r="O1138" s="28" t="s">
        <v>2016</v>
      </c>
      <c r="P1138" s="29">
        <v>2976</v>
      </c>
      <c r="Q1138" s="28" t="s">
        <v>2017</v>
      </c>
      <c r="R1138" s="40">
        <v>245.274725274725</v>
      </c>
      <c r="S1138" s="29">
        <v>780</v>
      </c>
      <c r="T1138" s="32">
        <v>12.133333333333001</v>
      </c>
      <c r="U1138" s="32">
        <v>0</v>
      </c>
      <c r="V1138" s="40">
        <v>245.274725274725</v>
      </c>
      <c r="W1138" s="39">
        <v>46332</v>
      </c>
      <c r="X1138" s="39">
        <v>46332</v>
      </c>
    </row>
    <row r="1139" spans="1:24" ht="15.75" thickBot="1" x14ac:dyDescent="0.3">
      <c r="A1139" t="str">
        <f t="shared" si="17"/>
        <v>PCPGMBEE18239</v>
      </c>
      <c r="B1139" s="22" t="s">
        <v>5350</v>
      </c>
      <c r="C1139" s="21"/>
      <c r="D1139" s="22" t="s">
        <v>5351</v>
      </c>
      <c r="E1139" s="22" t="s">
        <v>4802</v>
      </c>
      <c r="F1139" s="22" t="s">
        <v>2030</v>
      </c>
      <c r="G1139" s="28" t="s">
        <v>2012</v>
      </c>
      <c r="H1139" s="22" t="s">
        <v>3897</v>
      </c>
      <c r="I1139" s="22" t="s">
        <v>3898</v>
      </c>
      <c r="J1139" s="22" t="s">
        <v>404</v>
      </c>
      <c r="K1139" s="22" t="s">
        <v>262</v>
      </c>
      <c r="L1139" s="22" t="s">
        <v>3858</v>
      </c>
      <c r="M1139" s="22" t="s">
        <v>4055</v>
      </c>
      <c r="N1139" s="28" t="s">
        <v>2494</v>
      </c>
      <c r="O1139" s="28" t="s">
        <v>2016</v>
      </c>
      <c r="P1139" s="29">
        <v>1396</v>
      </c>
      <c r="Q1139" s="28" t="s">
        <v>2017</v>
      </c>
      <c r="R1139" s="40">
        <v>254.95129870129901</v>
      </c>
      <c r="S1139" s="29">
        <v>352</v>
      </c>
      <c r="T1139" s="32">
        <v>5.4755555555550002</v>
      </c>
      <c r="U1139" s="32">
        <v>0</v>
      </c>
      <c r="V1139" s="40">
        <v>254.95129870129901</v>
      </c>
      <c r="W1139" s="39">
        <v>46341</v>
      </c>
      <c r="X1139" s="39">
        <v>46342</v>
      </c>
    </row>
    <row r="1140" spans="1:24" ht="15.75" thickBot="1" x14ac:dyDescent="0.3">
      <c r="A1140" t="str">
        <f t="shared" si="17"/>
        <v>ASYBEE18158</v>
      </c>
      <c r="B1140" s="22" t="s">
        <v>5352</v>
      </c>
      <c r="C1140" s="22" t="s">
        <v>5353</v>
      </c>
      <c r="D1140" s="22" t="s">
        <v>5354</v>
      </c>
      <c r="E1140" s="21"/>
      <c r="F1140" s="22" t="s">
        <v>2030</v>
      </c>
      <c r="G1140" s="28" t="s">
        <v>2012</v>
      </c>
      <c r="H1140" s="22" t="s">
        <v>4587</v>
      </c>
      <c r="I1140" s="21"/>
      <c r="J1140" s="22" t="s">
        <v>404</v>
      </c>
      <c r="K1140" s="22" t="s">
        <v>262</v>
      </c>
      <c r="L1140" s="21"/>
      <c r="M1140" s="22" t="s">
        <v>2034</v>
      </c>
      <c r="N1140" s="28" t="s">
        <v>2015</v>
      </c>
      <c r="O1140" s="28" t="s">
        <v>2016</v>
      </c>
      <c r="P1140" s="29">
        <v>435</v>
      </c>
      <c r="Q1140" s="28" t="s">
        <v>2017</v>
      </c>
      <c r="R1140" s="40">
        <v>258.92857142857099</v>
      </c>
      <c r="S1140" s="29">
        <v>108</v>
      </c>
      <c r="T1140" s="32">
        <v>1.68</v>
      </c>
      <c r="U1140" s="32">
        <v>0</v>
      </c>
      <c r="V1140" s="40">
        <v>258.92857142857099</v>
      </c>
      <c r="W1140" s="39">
        <v>46345</v>
      </c>
      <c r="X1140" s="39">
        <v>46345</v>
      </c>
    </row>
    <row r="1141" spans="1:24" ht="15.75" thickBot="1" x14ac:dyDescent="0.3">
      <c r="A1141" t="str">
        <f t="shared" si="17"/>
        <v>PCPGM23188597</v>
      </c>
      <c r="B1141" s="22" t="s">
        <v>5355</v>
      </c>
      <c r="C1141" s="21"/>
      <c r="D1141" s="22" t="s">
        <v>5356</v>
      </c>
      <c r="E1141" s="21"/>
      <c r="F1141" s="22" t="s">
        <v>2030</v>
      </c>
      <c r="G1141" s="28" t="s">
        <v>2012</v>
      </c>
      <c r="H1141" s="22" t="s">
        <v>3633</v>
      </c>
      <c r="I1141" s="22" t="s">
        <v>3634</v>
      </c>
      <c r="J1141" s="22" t="s">
        <v>404</v>
      </c>
      <c r="K1141" s="22" t="s">
        <v>262</v>
      </c>
      <c r="L1141" s="22" t="s">
        <v>4464</v>
      </c>
      <c r="M1141" s="22" t="s">
        <v>2130</v>
      </c>
      <c r="N1141" s="28" t="s">
        <v>2494</v>
      </c>
      <c r="O1141" s="28" t="s">
        <v>2016</v>
      </c>
      <c r="P1141" s="29">
        <v>15599</v>
      </c>
      <c r="Q1141" s="28" t="s">
        <v>2017</v>
      </c>
      <c r="R1141" s="40">
        <v>266.700227963526</v>
      </c>
      <c r="S1141" s="29">
        <v>3760</v>
      </c>
      <c r="T1141" s="32">
        <v>58.488888888887999</v>
      </c>
      <c r="U1141" s="32">
        <v>0</v>
      </c>
      <c r="V1141" s="40">
        <v>266.700227963526</v>
      </c>
      <c r="W1141" s="39">
        <v>46353</v>
      </c>
      <c r="X1141" s="39">
        <v>46353</v>
      </c>
    </row>
    <row r="1142" spans="1:24" ht="15.75" thickBot="1" x14ac:dyDescent="0.3">
      <c r="A1142" t="str">
        <f t="shared" si="17"/>
        <v>RMS21016C02A</v>
      </c>
      <c r="B1142" s="22" t="s">
        <v>5357</v>
      </c>
      <c r="C1142" s="21"/>
      <c r="D1142" s="22" t="s">
        <v>5358</v>
      </c>
      <c r="E1142" s="22" t="s">
        <v>2527</v>
      </c>
      <c r="F1142" s="22" t="s">
        <v>5167</v>
      </c>
      <c r="G1142" s="28" t="s">
        <v>2012</v>
      </c>
      <c r="H1142" s="22" t="s">
        <v>2536</v>
      </c>
      <c r="I1142" s="22" t="s">
        <v>2537</v>
      </c>
      <c r="J1142" s="22" t="s">
        <v>261</v>
      </c>
      <c r="K1142" s="22" t="s">
        <v>924</v>
      </c>
      <c r="L1142" s="22" t="s">
        <v>2531</v>
      </c>
      <c r="M1142" s="22" t="s">
        <v>2532</v>
      </c>
      <c r="N1142" s="28" t="s">
        <v>2494</v>
      </c>
      <c r="O1142" s="28" t="s">
        <v>2016</v>
      </c>
      <c r="P1142" s="29">
        <v>1204.626</v>
      </c>
      <c r="Q1142" s="28" t="s">
        <v>1164</v>
      </c>
      <c r="R1142" s="40">
        <v>275.39792050023402</v>
      </c>
      <c r="S1142" s="34">
        <v>281.19400000000002</v>
      </c>
      <c r="T1142" s="32">
        <v>4.3741288888880003</v>
      </c>
      <c r="U1142" s="32">
        <v>0</v>
      </c>
      <c r="V1142" s="40">
        <v>275.39792050023402</v>
      </c>
      <c r="W1142" s="39">
        <v>46362</v>
      </c>
      <c r="X1142" s="39">
        <v>46363</v>
      </c>
    </row>
    <row r="1143" spans="1:24" ht="15.75" thickBot="1" x14ac:dyDescent="0.3">
      <c r="A1143" t="str">
        <f t="shared" si="17"/>
        <v>PUR61111C98 A</v>
      </c>
      <c r="B1143" s="22" t="s">
        <v>1628</v>
      </c>
      <c r="C1143" s="22" t="s">
        <v>5359</v>
      </c>
      <c r="D1143" s="22" t="s">
        <v>1629</v>
      </c>
      <c r="E1143" s="22" t="s">
        <v>5360</v>
      </c>
      <c r="F1143" s="22" t="s">
        <v>5361</v>
      </c>
      <c r="G1143" s="28" t="s">
        <v>2012</v>
      </c>
      <c r="H1143" s="22" t="s">
        <v>3367</v>
      </c>
      <c r="I1143" s="21"/>
      <c r="J1143" s="22" t="s">
        <v>364</v>
      </c>
      <c r="K1143" s="22" t="s">
        <v>924</v>
      </c>
      <c r="L1143" s="21"/>
      <c r="M1143" s="22" t="s">
        <v>2014</v>
      </c>
      <c r="N1143" s="28" t="s">
        <v>2015</v>
      </c>
      <c r="O1143" s="28" t="s">
        <v>2016</v>
      </c>
      <c r="P1143" s="29">
        <v>6168</v>
      </c>
      <c r="Q1143" s="28" t="s">
        <v>2017</v>
      </c>
      <c r="R1143" s="40">
        <v>283.22448979591798</v>
      </c>
      <c r="S1143" s="29">
        <v>1400</v>
      </c>
      <c r="T1143" s="32">
        <v>21.777777777777001</v>
      </c>
      <c r="U1143" s="32">
        <v>0</v>
      </c>
      <c r="V1143" s="40">
        <v>283.22448979591798</v>
      </c>
      <c r="W1143" s="39">
        <v>46370</v>
      </c>
      <c r="X1143" s="39">
        <v>46370</v>
      </c>
    </row>
    <row r="1144" spans="1:24" ht="15.75" thickBot="1" x14ac:dyDescent="0.3">
      <c r="A1144" t="str">
        <f t="shared" si="17"/>
        <v>87868130</v>
      </c>
      <c r="B1144" s="22" t="s">
        <v>5362</v>
      </c>
      <c r="C1144" s="22" t="s">
        <v>5363</v>
      </c>
      <c r="D1144" s="22" t="s">
        <v>5364</v>
      </c>
      <c r="E1144" s="22" t="s">
        <v>5365</v>
      </c>
      <c r="F1144" s="22" t="s">
        <v>5366</v>
      </c>
      <c r="G1144" s="28" t="s">
        <v>2012</v>
      </c>
      <c r="H1144" s="22" t="s">
        <v>5367</v>
      </c>
      <c r="I1144" s="21"/>
      <c r="J1144" s="22" t="s">
        <v>404</v>
      </c>
      <c r="K1144" s="22" t="s">
        <v>262</v>
      </c>
      <c r="L1144" s="21"/>
      <c r="M1144" s="22" t="s">
        <v>2014</v>
      </c>
      <c r="N1144" s="28" t="s">
        <v>2015</v>
      </c>
      <c r="O1144" s="28" t="s">
        <v>2016</v>
      </c>
      <c r="P1144" s="29">
        <v>594</v>
      </c>
      <c r="Q1144" s="28" t="s">
        <v>2017</v>
      </c>
      <c r="R1144" s="40">
        <v>289.28571428571399</v>
      </c>
      <c r="S1144" s="29">
        <v>132</v>
      </c>
      <c r="T1144" s="32">
        <v>2.0533333333330002</v>
      </c>
      <c r="U1144" s="32">
        <v>0</v>
      </c>
      <c r="V1144" s="40">
        <v>289.28571428571399</v>
      </c>
      <c r="W1144" s="39">
        <v>46376</v>
      </c>
      <c r="X1144" s="39">
        <v>46377</v>
      </c>
    </row>
    <row r="1145" spans="1:24" ht="15.75" thickBot="1" x14ac:dyDescent="0.3">
      <c r="A1145" t="str">
        <f t="shared" si="17"/>
        <v>KB3B 26254A16 AC</v>
      </c>
      <c r="B1145" s="22" t="s">
        <v>5368</v>
      </c>
      <c r="C1145" s="22" t="s">
        <v>5369</v>
      </c>
      <c r="D1145" s="22" t="s">
        <v>5370</v>
      </c>
      <c r="E1145" s="21"/>
      <c r="F1145" s="22" t="s">
        <v>5371</v>
      </c>
      <c r="G1145" s="28" t="s">
        <v>2012</v>
      </c>
      <c r="H1145" s="22" t="s">
        <v>2080</v>
      </c>
      <c r="I1145" s="21"/>
      <c r="J1145" s="22" t="s">
        <v>494</v>
      </c>
      <c r="K1145" s="22" t="s">
        <v>262</v>
      </c>
      <c r="L1145" s="21"/>
      <c r="M1145" s="22" t="s">
        <v>2014</v>
      </c>
      <c r="N1145" s="28" t="s">
        <v>2015</v>
      </c>
      <c r="O1145" s="28" t="s">
        <v>2016</v>
      </c>
      <c r="P1145" s="29">
        <v>570</v>
      </c>
      <c r="Q1145" s="28" t="s">
        <v>2017</v>
      </c>
      <c r="R1145" s="40">
        <v>290.816326530612</v>
      </c>
      <c r="S1145" s="29">
        <v>126</v>
      </c>
      <c r="T1145" s="32">
        <v>1.96</v>
      </c>
      <c r="U1145" s="32">
        <v>0</v>
      </c>
      <c r="V1145" s="40">
        <v>290.816326530612</v>
      </c>
      <c r="W1145" s="39">
        <v>46377</v>
      </c>
      <c r="X1145" s="39">
        <v>46377</v>
      </c>
    </row>
    <row r="1146" spans="1:24" ht="15.75" thickBot="1" x14ac:dyDescent="0.3">
      <c r="A1146" t="str">
        <f t="shared" si="17"/>
        <v>RMPG90A520 GXH</v>
      </c>
      <c r="B1146" s="22" t="s">
        <v>5372</v>
      </c>
      <c r="C1146" s="22" t="s">
        <v>5373</v>
      </c>
      <c r="D1146" s="22" t="s">
        <v>5374</v>
      </c>
      <c r="E1146" s="22" t="s">
        <v>5141</v>
      </c>
      <c r="F1146" s="22" t="s">
        <v>2030</v>
      </c>
      <c r="G1146" s="28" t="s">
        <v>2012</v>
      </c>
      <c r="H1146" s="22" t="s">
        <v>2840</v>
      </c>
      <c r="I1146" s="22" t="s">
        <v>2841</v>
      </c>
      <c r="J1146" s="22" t="s">
        <v>698</v>
      </c>
      <c r="K1146" s="22" t="s">
        <v>262</v>
      </c>
      <c r="L1146" s="22" t="s">
        <v>5375</v>
      </c>
      <c r="M1146" s="22" t="s">
        <v>2523</v>
      </c>
      <c r="N1146" s="28" t="s">
        <v>2494</v>
      </c>
      <c r="O1146" s="28" t="s">
        <v>2016</v>
      </c>
      <c r="P1146" s="29">
        <v>6398.24</v>
      </c>
      <c r="Q1146" s="28" t="s">
        <v>1164</v>
      </c>
      <c r="R1146" s="40">
        <v>295.99555884530002</v>
      </c>
      <c r="S1146" s="34">
        <v>1389.6</v>
      </c>
      <c r="T1146" s="32">
        <v>21.616</v>
      </c>
      <c r="U1146" s="32">
        <v>0</v>
      </c>
      <c r="V1146" s="40">
        <v>295.99555884530002</v>
      </c>
      <c r="W1146" s="39">
        <v>46382</v>
      </c>
      <c r="X1146" s="39">
        <v>46384</v>
      </c>
    </row>
    <row r="1147" spans="1:24" ht="15.75" thickBot="1" x14ac:dyDescent="0.3">
      <c r="A1147" t="str">
        <f t="shared" si="17"/>
        <v>RMS26111B04A</v>
      </c>
      <c r="B1147" s="22" t="s">
        <v>5376</v>
      </c>
      <c r="C1147" s="21"/>
      <c r="D1147" s="22" t="s">
        <v>5377</v>
      </c>
      <c r="E1147" s="22" t="s">
        <v>2527</v>
      </c>
      <c r="F1147" s="22" t="s">
        <v>2535</v>
      </c>
      <c r="G1147" s="28" t="s">
        <v>2012</v>
      </c>
      <c r="H1147" s="22" t="s">
        <v>2536</v>
      </c>
      <c r="I1147" s="22" t="s">
        <v>2537</v>
      </c>
      <c r="J1147" s="22" t="s">
        <v>261</v>
      </c>
      <c r="K1147" s="22" t="s">
        <v>924</v>
      </c>
      <c r="L1147" s="22" t="s">
        <v>2531</v>
      </c>
      <c r="M1147" s="22" t="s">
        <v>2532</v>
      </c>
      <c r="N1147" s="28" t="s">
        <v>2494</v>
      </c>
      <c r="O1147" s="28" t="s">
        <v>2016</v>
      </c>
      <c r="P1147" s="29">
        <v>1830</v>
      </c>
      <c r="Q1147" s="28" t="s">
        <v>1164</v>
      </c>
      <c r="R1147" s="40">
        <v>301.43734550649702</v>
      </c>
      <c r="S1147" s="34">
        <v>390.27300000000002</v>
      </c>
      <c r="T1147" s="32">
        <v>6.0709133333330003</v>
      </c>
      <c r="U1147" s="32">
        <v>0</v>
      </c>
      <c r="V1147" s="40">
        <v>301.43734550649702</v>
      </c>
      <c r="W1147" s="39">
        <v>46388</v>
      </c>
      <c r="X1147" s="39">
        <v>46388</v>
      </c>
    </row>
    <row r="1148" spans="1:24" ht="15.75" thickBot="1" x14ac:dyDescent="0.3">
      <c r="A1148" t="str">
        <f t="shared" si="17"/>
        <v>KB3B 28345 AA</v>
      </c>
      <c r="B1148" s="22" t="s">
        <v>5378</v>
      </c>
      <c r="C1148" s="22" t="s">
        <v>5379</v>
      </c>
      <c r="D1148" s="22" t="s">
        <v>5380</v>
      </c>
      <c r="E1148" s="21"/>
      <c r="F1148" s="22" t="s">
        <v>5381</v>
      </c>
      <c r="G1148" s="28" t="s">
        <v>2012</v>
      </c>
      <c r="H1148" s="22" t="s">
        <v>2080</v>
      </c>
      <c r="I1148" s="21"/>
      <c r="J1148" s="22" t="s">
        <v>494</v>
      </c>
      <c r="K1148" s="22" t="s">
        <v>262</v>
      </c>
      <c r="L1148" s="21"/>
      <c r="M1148" s="22" t="s">
        <v>2014</v>
      </c>
      <c r="N1148" s="28" t="s">
        <v>2015</v>
      </c>
      <c r="O1148" s="28" t="s">
        <v>2016</v>
      </c>
      <c r="P1148" s="29">
        <v>266</v>
      </c>
      <c r="Q1148" s="28" t="s">
        <v>2017</v>
      </c>
      <c r="R1148" s="40">
        <v>335.29411764705901</v>
      </c>
      <c r="S1148" s="29">
        <v>51</v>
      </c>
      <c r="T1148" s="32">
        <v>0.79333333333300005</v>
      </c>
      <c r="U1148" s="32">
        <v>0</v>
      </c>
      <c r="V1148" s="40">
        <v>335.29411764705901</v>
      </c>
      <c r="W1148" s="39">
        <v>46422</v>
      </c>
      <c r="X1148" s="39">
        <v>46422</v>
      </c>
    </row>
    <row r="1149" spans="1:24" ht="15.75" thickBot="1" x14ac:dyDescent="0.3">
      <c r="A1149" t="str">
        <f t="shared" si="17"/>
        <v>KB3B 16L559 AB</v>
      </c>
      <c r="B1149" s="22" t="s">
        <v>5382</v>
      </c>
      <c r="C1149" s="22" t="s">
        <v>5383</v>
      </c>
      <c r="D1149" s="22" t="s">
        <v>5384</v>
      </c>
      <c r="E1149" s="21"/>
      <c r="F1149" s="22" t="s">
        <v>4653</v>
      </c>
      <c r="G1149" s="28" t="s">
        <v>2012</v>
      </c>
      <c r="H1149" s="22" t="s">
        <v>2080</v>
      </c>
      <c r="I1149" s="21"/>
      <c r="J1149" s="22" t="s">
        <v>494</v>
      </c>
      <c r="K1149" s="22" t="s">
        <v>262</v>
      </c>
      <c r="L1149" s="21"/>
      <c r="M1149" s="22" t="s">
        <v>2014</v>
      </c>
      <c r="N1149" s="28" t="s">
        <v>2015</v>
      </c>
      <c r="O1149" s="28" t="s">
        <v>2016</v>
      </c>
      <c r="P1149" s="29">
        <v>287</v>
      </c>
      <c r="Q1149" s="28" t="s">
        <v>2017</v>
      </c>
      <c r="R1149" s="40">
        <v>341.66666666666703</v>
      </c>
      <c r="S1149" s="29">
        <v>54</v>
      </c>
      <c r="T1149" s="32">
        <v>0.84</v>
      </c>
      <c r="U1149" s="32">
        <v>0</v>
      </c>
      <c r="V1149" s="40">
        <v>341.66666666666703</v>
      </c>
      <c r="W1149" s="39">
        <v>46428</v>
      </c>
      <c r="X1149" s="39">
        <v>46428</v>
      </c>
    </row>
    <row r="1150" spans="1:24" ht="15.75" thickBot="1" x14ac:dyDescent="0.3">
      <c r="A1150" t="str">
        <f t="shared" si="17"/>
        <v>KB3B 16D232 AA</v>
      </c>
      <c r="B1150" s="22" t="s">
        <v>5385</v>
      </c>
      <c r="C1150" s="22" t="s">
        <v>5386</v>
      </c>
      <c r="D1150" s="22" t="s">
        <v>5387</v>
      </c>
      <c r="E1150" s="21"/>
      <c r="F1150" s="22" t="s">
        <v>2030</v>
      </c>
      <c r="G1150" s="28" t="s">
        <v>2012</v>
      </c>
      <c r="H1150" s="22" t="s">
        <v>2080</v>
      </c>
      <c r="I1150" s="21"/>
      <c r="J1150" s="22" t="s">
        <v>494</v>
      </c>
      <c r="K1150" s="22" t="s">
        <v>924</v>
      </c>
      <c r="L1150" s="21"/>
      <c r="M1150" s="22" t="s">
        <v>2014</v>
      </c>
      <c r="N1150" s="28" t="s">
        <v>2015</v>
      </c>
      <c r="O1150" s="28" t="s">
        <v>2016</v>
      </c>
      <c r="P1150" s="29">
        <v>824</v>
      </c>
      <c r="Q1150" s="28" t="s">
        <v>2017</v>
      </c>
      <c r="R1150" s="40">
        <v>355.51294343240698</v>
      </c>
      <c r="S1150" s="29">
        <v>149</v>
      </c>
      <c r="T1150" s="32">
        <v>2.3177777777770001</v>
      </c>
      <c r="U1150" s="32">
        <v>0</v>
      </c>
      <c r="V1150" s="40">
        <v>355.51294343240698</v>
      </c>
      <c r="W1150" s="39">
        <v>46442</v>
      </c>
      <c r="X1150" s="39">
        <v>46442</v>
      </c>
    </row>
    <row r="1151" spans="1:24" ht="15.75" thickBot="1" x14ac:dyDescent="0.3">
      <c r="A1151" t="str">
        <f t="shared" si="17"/>
        <v>KB3B 16E215 AC</v>
      </c>
      <c r="B1151" s="22" t="s">
        <v>5388</v>
      </c>
      <c r="C1151" s="22" t="s">
        <v>5389</v>
      </c>
      <c r="D1151" s="22" t="s">
        <v>5390</v>
      </c>
      <c r="E1151" s="22" t="s">
        <v>5391</v>
      </c>
      <c r="F1151" s="22" t="s">
        <v>2030</v>
      </c>
      <c r="G1151" s="28" t="s">
        <v>2012</v>
      </c>
      <c r="H1151" s="22" t="s">
        <v>5080</v>
      </c>
      <c r="I1151" s="21"/>
      <c r="J1151" s="22" t="s">
        <v>494</v>
      </c>
      <c r="K1151" s="22" t="s">
        <v>924</v>
      </c>
      <c r="L1151" s="21"/>
      <c r="M1151" s="22" t="s">
        <v>2014</v>
      </c>
      <c r="N1151" s="28" t="s">
        <v>2015</v>
      </c>
      <c r="O1151" s="28" t="s">
        <v>2016</v>
      </c>
      <c r="P1151" s="29">
        <v>56</v>
      </c>
      <c r="Q1151" s="28" t="s">
        <v>2017</v>
      </c>
      <c r="R1151" s="40">
        <v>360</v>
      </c>
      <c r="S1151" s="29">
        <v>10</v>
      </c>
      <c r="T1151" s="32">
        <v>0.155555555555</v>
      </c>
      <c r="U1151" s="32">
        <v>0</v>
      </c>
      <c r="V1151" s="40">
        <v>360</v>
      </c>
      <c r="W1151" s="39">
        <v>46447</v>
      </c>
      <c r="X1151" s="39">
        <v>46447</v>
      </c>
    </row>
    <row r="1152" spans="1:24" ht="15.75" thickBot="1" x14ac:dyDescent="0.3">
      <c r="A1152" t="str">
        <f t="shared" si="17"/>
        <v>PCPGM11588783</v>
      </c>
      <c r="B1152" s="22" t="s">
        <v>5392</v>
      </c>
      <c r="C1152" s="22" t="s">
        <v>5393</v>
      </c>
      <c r="D1152" s="22" t="s">
        <v>5394</v>
      </c>
      <c r="E1152" s="21"/>
      <c r="F1152" s="22" t="s">
        <v>2030</v>
      </c>
      <c r="G1152" s="28" t="s">
        <v>2012</v>
      </c>
      <c r="H1152" s="22" t="s">
        <v>4058</v>
      </c>
      <c r="I1152" s="22" t="s">
        <v>4059</v>
      </c>
      <c r="J1152" s="22" t="s">
        <v>404</v>
      </c>
      <c r="K1152" s="22" t="s">
        <v>262</v>
      </c>
      <c r="L1152" s="22" t="s">
        <v>2493</v>
      </c>
      <c r="M1152" s="22" t="s">
        <v>2130</v>
      </c>
      <c r="N1152" s="28" t="s">
        <v>2494</v>
      </c>
      <c r="O1152" s="28" t="s">
        <v>2016</v>
      </c>
      <c r="P1152" s="29">
        <v>8584</v>
      </c>
      <c r="Q1152" s="28" t="s">
        <v>2017</v>
      </c>
      <c r="R1152" s="40">
        <v>358.56307435254803</v>
      </c>
      <c r="S1152" s="29">
        <v>1539</v>
      </c>
      <c r="T1152" s="32">
        <v>23.94</v>
      </c>
      <c r="U1152" s="32">
        <v>0</v>
      </c>
      <c r="V1152" s="40">
        <v>358.56307435254803</v>
      </c>
      <c r="W1152" s="39">
        <v>46445</v>
      </c>
      <c r="X1152" s="39">
        <v>46447</v>
      </c>
    </row>
    <row r="1153" spans="1:24" ht="15.75" thickBot="1" x14ac:dyDescent="0.3">
      <c r="A1153" t="str">
        <f t="shared" si="17"/>
        <v>KB3B 2102884 AB</v>
      </c>
      <c r="B1153" s="22" t="s">
        <v>5395</v>
      </c>
      <c r="C1153" s="22" t="s">
        <v>5396</v>
      </c>
      <c r="D1153" s="22" t="s">
        <v>5397</v>
      </c>
      <c r="E1153" s="22" t="s">
        <v>5398</v>
      </c>
      <c r="F1153" s="22" t="s">
        <v>2030</v>
      </c>
      <c r="G1153" s="28" t="s">
        <v>2012</v>
      </c>
      <c r="H1153" s="22" t="s">
        <v>2080</v>
      </c>
      <c r="I1153" s="21"/>
      <c r="J1153" s="22" t="s">
        <v>494</v>
      </c>
      <c r="K1153" s="22" t="s">
        <v>924</v>
      </c>
      <c r="L1153" s="21"/>
      <c r="M1153" s="22" t="s">
        <v>2014</v>
      </c>
      <c r="N1153" s="28" t="s">
        <v>2015</v>
      </c>
      <c r="O1153" s="28" t="s">
        <v>2016</v>
      </c>
      <c r="P1153" s="29">
        <v>50</v>
      </c>
      <c r="Q1153" s="28" t="s">
        <v>2017</v>
      </c>
      <c r="R1153" s="40">
        <v>401.78571428571399</v>
      </c>
      <c r="S1153" s="29">
        <v>8</v>
      </c>
      <c r="T1153" s="32">
        <v>0.124444444444</v>
      </c>
      <c r="U1153" s="32">
        <v>0</v>
      </c>
      <c r="V1153" s="40">
        <v>401.78571428571399</v>
      </c>
      <c r="W1153" s="39">
        <v>46488</v>
      </c>
      <c r="X1153" s="39">
        <v>46489</v>
      </c>
    </row>
    <row r="1154" spans="1:24" ht="15.75" thickBot="1" x14ac:dyDescent="0.3">
      <c r="A1154" t="str">
        <f t="shared" si="17"/>
        <v>KB3B 26254A17 AC</v>
      </c>
      <c r="B1154" s="22" t="s">
        <v>5399</v>
      </c>
      <c r="C1154" s="22" t="s">
        <v>5400</v>
      </c>
      <c r="D1154" s="22" t="s">
        <v>5401</v>
      </c>
      <c r="E1154" s="21"/>
      <c r="F1154" s="22" t="s">
        <v>5371</v>
      </c>
      <c r="G1154" s="28" t="s">
        <v>2012</v>
      </c>
      <c r="H1154" s="22" t="s">
        <v>2080</v>
      </c>
      <c r="I1154" s="21"/>
      <c r="J1154" s="22" t="s">
        <v>494</v>
      </c>
      <c r="K1154" s="22" t="s">
        <v>262</v>
      </c>
      <c r="L1154" s="21"/>
      <c r="M1154" s="22" t="s">
        <v>2014</v>
      </c>
      <c r="N1154" s="28" t="s">
        <v>2015</v>
      </c>
      <c r="O1154" s="28" t="s">
        <v>2016</v>
      </c>
      <c r="P1154" s="29">
        <v>639</v>
      </c>
      <c r="Q1154" s="28" t="s">
        <v>2017</v>
      </c>
      <c r="R1154" s="40">
        <v>406.71852899575703</v>
      </c>
      <c r="S1154" s="29">
        <v>101</v>
      </c>
      <c r="T1154" s="32">
        <v>1.5711111111110001</v>
      </c>
      <c r="U1154" s="32">
        <v>0</v>
      </c>
      <c r="V1154" s="40">
        <v>406.71852899575703</v>
      </c>
      <c r="W1154" s="39">
        <v>46493</v>
      </c>
      <c r="X1154" s="39">
        <v>46493</v>
      </c>
    </row>
    <row r="1155" spans="1:24" ht="15.75" thickBot="1" x14ac:dyDescent="0.3">
      <c r="A1155" t="str">
        <f t="shared" si="17"/>
        <v>MLD2123943SUB00</v>
      </c>
      <c r="B1155" s="22" t="s">
        <v>5402</v>
      </c>
      <c r="C1155" s="22" t="s">
        <v>5403</v>
      </c>
      <c r="D1155" s="22" t="s">
        <v>5404</v>
      </c>
      <c r="E1155" s="21"/>
      <c r="F1155" s="22" t="s">
        <v>5405</v>
      </c>
      <c r="G1155" s="28" t="s">
        <v>2012</v>
      </c>
      <c r="H1155" s="22" t="s">
        <v>2013</v>
      </c>
      <c r="I1155" s="21"/>
      <c r="J1155" s="22" t="s">
        <v>494</v>
      </c>
      <c r="K1155" s="22" t="s">
        <v>262</v>
      </c>
      <c r="L1155" s="21"/>
      <c r="M1155" s="22" t="s">
        <v>2034</v>
      </c>
      <c r="N1155" s="28" t="s">
        <v>2015</v>
      </c>
      <c r="O1155" s="28" t="s">
        <v>2016</v>
      </c>
      <c r="P1155" s="29">
        <v>125</v>
      </c>
      <c r="Q1155" s="28" t="s">
        <v>2017</v>
      </c>
      <c r="R1155" s="40">
        <v>446.42857142857201</v>
      </c>
      <c r="S1155" s="29">
        <v>18</v>
      </c>
      <c r="T1155" s="32">
        <v>0.28000000000000003</v>
      </c>
      <c r="U1155" s="32">
        <v>0</v>
      </c>
      <c r="V1155" s="40">
        <v>446.42857142857201</v>
      </c>
      <c r="W1155" s="39">
        <v>46533</v>
      </c>
      <c r="X1155" s="39">
        <v>46533</v>
      </c>
    </row>
    <row r="1156" spans="1:24" ht="15.75" thickBot="1" x14ac:dyDescent="0.3">
      <c r="A1156" t="str">
        <f t="shared" si="17"/>
        <v>PUR89750 B</v>
      </c>
      <c r="B1156" s="22" t="s">
        <v>5406</v>
      </c>
      <c r="C1156" s="22" t="s">
        <v>5407</v>
      </c>
      <c r="D1156" s="22" t="s">
        <v>5408</v>
      </c>
      <c r="E1156" s="21"/>
      <c r="F1156" s="22" t="s">
        <v>2139</v>
      </c>
      <c r="G1156" s="28" t="s">
        <v>2012</v>
      </c>
      <c r="H1156" s="22" t="s">
        <v>3367</v>
      </c>
      <c r="I1156" s="21"/>
      <c r="J1156" s="22" t="s">
        <v>404</v>
      </c>
      <c r="K1156" s="22" t="s">
        <v>924</v>
      </c>
      <c r="L1156" s="21"/>
      <c r="M1156" s="22" t="s">
        <v>2014</v>
      </c>
      <c r="N1156" s="28" t="s">
        <v>2015</v>
      </c>
      <c r="O1156" s="28" t="s">
        <v>2016</v>
      </c>
      <c r="P1156" s="29">
        <v>2390</v>
      </c>
      <c r="Q1156" s="28" t="s">
        <v>2017</v>
      </c>
      <c r="R1156" s="40">
        <v>465.58441558441598</v>
      </c>
      <c r="S1156" s="29">
        <v>330</v>
      </c>
      <c r="T1156" s="32">
        <v>5.1333333333329998</v>
      </c>
      <c r="U1156" s="32">
        <v>0</v>
      </c>
      <c r="V1156" s="40">
        <v>465.58441558441598</v>
      </c>
      <c r="W1156" s="39">
        <v>46552</v>
      </c>
      <c r="X1156" s="39">
        <v>46552</v>
      </c>
    </row>
    <row r="1157" spans="1:24" ht="15.75" thickBot="1" x14ac:dyDescent="0.3">
      <c r="A1157" t="str">
        <f t="shared" ref="A1157:A1220" si="18">TRIM(B1157)</f>
        <v>KB3C 5R108 AA</v>
      </c>
      <c r="B1157" s="22" t="s">
        <v>5409</v>
      </c>
      <c r="C1157" s="22" t="s">
        <v>5410</v>
      </c>
      <c r="D1157" s="22" t="s">
        <v>5411</v>
      </c>
      <c r="E1157" s="21"/>
      <c r="F1157" s="22" t="s">
        <v>5412</v>
      </c>
      <c r="G1157" s="28" t="s">
        <v>2012</v>
      </c>
      <c r="H1157" s="22" t="s">
        <v>2080</v>
      </c>
      <c r="I1157" s="21"/>
      <c r="J1157" s="22" t="s">
        <v>494</v>
      </c>
      <c r="K1157" s="22" t="s">
        <v>924</v>
      </c>
      <c r="L1157" s="22" t="s">
        <v>5413</v>
      </c>
      <c r="M1157" s="22" t="s">
        <v>2014</v>
      </c>
      <c r="N1157" s="28" t="s">
        <v>2015</v>
      </c>
      <c r="O1157" s="28" t="s">
        <v>2016</v>
      </c>
      <c r="P1157" s="29">
        <v>350</v>
      </c>
      <c r="Q1157" s="28" t="s">
        <v>2017</v>
      </c>
      <c r="R1157" s="40">
        <v>478.723404255319</v>
      </c>
      <c r="S1157" s="29">
        <v>47</v>
      </c>
      <c r="T1157" s="32">
        <v>0.73111111111100002</v>
      </c>
      <c r="U1157" s="32">
        <v>0</v>
      </c>
      <c r="V1157" s="40">
        <v>478.723404255319</v>
      </c>
      <c r="W1157" s="39">
        <v>46565</v>
      </c>
      <c r="X1157" s="39">
        <v>46566</v>
      </c>
    </row>
    <row r="1158" spans="1:24" ht="15.75" thickBot="1" x14ac:dyDescent="0.3">
      <c r="A1158" t="str">
        <f t="shared" si="18"/>
        <v>PCPDIAMAYBOX</v>
      </c>
      <c r="B1158" s="22" t="s">
        <v>5414</v>
      </c>
      <c r="C1158" s="22" t="s">
        <v>5415</v>
      </c>
      <c r="D1158" s="22" t="s">
        <v>5416</v>
      </c>
      <c r="E1158" s="22" t="s">
        <v>5417</v>
      </c>
      <c r="F1158" s="22" t="s">
        <v>2030</v>
      </c>
      <c r="G1158" s="28" t="s">
        <v>2012</v>
      </c>
      <c r="H1158" s="22" t="s">
        <v>5418</v>
      </c>
      <c r="I1158" s="22" t="s">
        <v>5419</v>
      </c>
      <c r="J1158" s="22" t="s">
        <v>404</v>
      </c>
      <c r="K1158" s="22" t="s">
        <v>262</v>
      </c>
      <c r="L1158" s="22" t="s">
        <v>4628</v>
      </c>
      <c r="M1158" s="22" t="s">
        <v>2130</v>
      </c>
      <c r="N1158" s="28" t="s">
        <v>2494</v>
      </c>
      <c r="O1158" s="28" t="s">
        <v>2016</v>
      </c>
      <c r="P1158" s="29">
        <v>255</v>
      </c>
      <c r="Q1158" s="28" t="s">
        <v>3613</v>
      </c>
      <c r="R1158" s="40">
        <v>486.09019546544602</v>
      </c>
      <c r="S1158" s="34">
        <v>33.7239</v>
      </c>
      <c r="T1158" s="32">
        <v>0.524594</v>
      </c>
      <c r="U1158" s="32">
        <v>0</v>
      </c>
      <c r="V1158" s="40">
        <v>486.09019546544602</v>
      </c>
      <c r="W1158" s="39">
        <v>46573</v>
      </c>
      <c r="X1158" s="39">
        <v>46573</v>
      </c>
    </row>
    <row r="1159" spans="1:24" ht="15.75" thickBot="1" x14ac:dyDescent="0.3">
      <c r="A1159" t="str">
        <f t="shared" si="18"/>
        <v>RMPTYC1152P YZ9A</v>
      </c>
      <c r="B1159" s="22" t="s">
        <v>5420</v>
      </c>
      <c r="C1159" s="22" t="s">
        <v>5421</v>
      </c>
      <c r="D1159" s="22" t="s">
        <v>5421</v>
      </c>
      <c r="E1159" s="21"/>
      <c r="F1159" s="22" t="s">
        <v>2030</v>
      </c>
      <c r="G1159" s="28" t="s">
        <v>2012</v>
      </c>
      <c r="H1159" s="22" t="s">
        <v>3378</v>
      </c>
      <c r="I1159" s="22" t="s">
        <v>3379</v>
      </c>
      <c r="J1159" s="22" t="s">
        <v>494</v>
      </c>
      <c r="K1159" s="22" t="s">
        <v>262</v>
      </c>
      <c r="L1159" s="22" t="s">
        <v>2842</v>
      </c>
      <c r="M1159" s="22" t="s">
        <v>2523</v>
      </c>
      <c r="N1159" s="28" t="s">
        <v>2494</v>
      </c>
      <c r="O1159" s="28" t="s">
        <v>2016</v>
      </c>
      <c r="P1159" s="29">
        <v>3934.306</v>
      </c>
      <c r="Q1159" s="28" t="s">
        <v>1164</v>
      </c>
      <c r="R1159" s="40">
        <v>500.47524913689398</v>
      </c>
      <c r="S1159" s="34">
        <v>505.35899999999998</v>
      </c>
      <c r="T1159" s="32">
        <v>7.8611399999999998</v>
      </c>
      <c r="U1159" s="32">
        <v>0</v>
      </c>
      <c r="V1159" s="40">
        <v>500.47524913689398</v>
      </c>
      <c r="W1159" s="39">
        <v>46587</v>
      </c>
      <c r="X1159" s="39">
        <v>46587</v>
      </c>
    </row>
    <row r="1160" spans="1:24" ht="15.75" thickBot="1" x14ac:dyDescent="0.3">
      <c r="A1160" t="str">
        <f t="shared" si="18"/>
        <v>PUR87993 B</v>
      </c>
      <c r="B1160" s="22" t="s">
        <v>5422</v>
      </c>
      <c r="C1160" s="22" t="s">
        <v>5423</v>
      </c>
      <c r="D1160" s="22" t="s">
        <v>5424</v>
      </c>
      <c r="E1160" s="21"/>
      <c r="F1160" s="22" t="s">
        <v>2139</v>
      </c>
      <c r="G1160" s="28" t="s">
        <v>2012</v>
      </c>
      <c r="H1160" s="22" t="s">
        <v>3367</v>
      </c>
      <c r="I1160" s="21"/>
      <c r="J1160" s="22" t="s">
        <v>404</v>
      </c>
      <c r="K1160" s="22" t="s">
        <v>924</v>
      </c>
      <c r="L1160" s="21"/>
      <c r="M1160" s="22" t="s">
        <v>2014</v>
      </c>
      <c r="N1160" s="28" t="s">
        <v>2015</v>
      </c>
      <c r="O1160" s="28" t="s">
        <v>2016</v>
      </c>
      <c r="P1160" s="29">
        <v>2692</v>
      </c>
      <c r="Q1160" s="28" t="s">
        <v>2017</v>
      </c>
      <c r="R1160" s="40">
        <v>524.41558441558402</v>
      </c>
      <c r="S1160" s="29">
        <v>330</v>
      </c>
      <c r="T1160" s="32">
        <v>5.1333333333329998</v>
      </c>
      <c r="U1160" s="32">
        <v>0</v>
      </c>
      <c r="V1160" s="40">
        <v>524.41558441558402</v>
      </c>
      <c r="W1160" s="39">
        <v>46611</v>
      </c>
      <c r="X1160" s="39">
        <v>46611</v>
      </c>
    </row>
    <row r="1161" spans="1:24" ht="15.75" thickBot="1" x14ac:dyDescent="0.3">
      <c r="A1161" t="str">
        <f t="shared" si="18"/>
        <v>PCP26681AA00</v>
      </c>
      <c r="B1161" s="22" t="s">
        <v>5425</v>
      </c>
      <c r="C1161" s="22" t="s">
        <v>5426</v>
      </c>
      <c r="D1161" s="22" t="s">
        <v>5427</v>
      </c>
      <c r="E1161" s="21"/>
      <c r="F1161" s="22" t="s">
        <v>2030</v>
      </c>
      <c r="G1161" s="28" t="s">
        <v>2012</v>
      </c>
      <c r="H1161" s="22" t="s">
        <v>5428</v>
      </c>
      <c r="I1161" s="22" t="s">
        <v>5429</v>
      </c>
      <c r="J1161" s="22" t="s">
        <v>494</v>
      </c>
      <c r="K1161" s="22" t="s">
        <v>262</v>
      </c>
      <c r="L1161" s="22" t="s">
        <v>3318</v>
      </c>
      <c r="M1161" s="22" t="s">
        <v>2130</v>
      </c>
      <c r="N1161" s="28" t="s">
        <v>2494</v>
      </c>
      <c r="O1161" s="28" t="s">
        <v>2016</v>
      </c>
      <c r="P1161" s="29">
        <v>162</v>
      </c>
      <c r="Q1161" s="28" t="s">
        <v>2017</v>
      </c>
      <c r="R1161" s="40">
        <v>578.57142857142901</v>
      </c>
      <c r="S1161" s="29">
        <v>18</v>
      </c>
      <c r="T1161" s="32">
        <v>0.28000000000000003</v>
      </c>
      <c r="U1161" s="32">
        <v>0</v>
      </c>
      <c r="V1161" s="40">
        <v>578.57142857142901</v>
      </c>
      <c r="W1161" s="39">
        <v>46665</v>
      </c>
      <c r="X1161" s="39">
        <v>46665</v>
      </c>
    </row>
    <row r="1162" spans="1:24" ht="15.75" thickBot="1" x14ac:dyDescent="0.3">
      <c r="A1162" t="str">
        <f t="shared" si="18"/>
        <v>KB3B 21410A67 AC</v>
      </c>
      <c r="B1162" s="22" t="s">
        <v>5430</v>
      </c>
      <c r="C1162" s="22" t="s">
        <v>5431</v>
      </c>
      <c r="D1162" s="22" t="s">
        <v>5432</v>
      </c>
      <c r="E1162" s="21"/>
      <c r="F1162" s="22" t="s">
        <v>2030</v>
      </c>
      <c r="G1162" s="28" t="s">
        <v>2012</v>
      </c>
      <c r="H1162" s="22" t="s">
        <v>2080</v>
      </c>
      <c r="I1162" s="21"/>
      <c r="J1162" s="22" t="s">
        <v>494</v>
      </c>
      <c r="K1162" s="22" t="s">
        <v>924</v>
      </c>
      <c r="L1162" s="21"/>
      <c r="M1162" s="22" t="s">
        <v>2014</v>
      </c>
      <c r="N1162" s="28" t="s">
        <v>2015</v>
      </c>
      <c r="O1162" s="28" t="s">
        <v>2016</v>
      </c>
      <c r="P1162" s="29">
        <v>310</v>
      </c>
      <c r="Q1162" s="28" t="s">
        <v>2017</v>
      </c>
      <c r="R1162" s="40">
        <v>603.89610389610402</v>
      </c>
      <c r="S1162" s="29">
        <v>33</v>
      </c>
      <c r="T1162" s="32">
        <v>0.51333333333300002</v>
      </c>
      <c r="U1162" s="32">
        <v>0</v>
      </c>
      <c r="V1162" s="40">
        <v>603.89610389610402</v>
      </c>
      <c r="W1162" s="39">
        <v>46690</v>
      </c>
      <c r="X1162" s="39">
        <v>46692</v>
      </c>
    </row>
    <row r="1163" spans="1:24" ht="15.75" thickBot="1" x14ac:dyDescent="0.3">
      <c r="A1163" t="str">
        <f t="shared" si="18"/>
        <v>RMP1342P YZ9A</v>
      </c>
      <c r="B1163" s="22" t="s">
        <v>5433</v>
      </c>
      <c r="C1163" s="21"/>
      <c r="D1163" s="22" t="s">
        <v>3377</v>
      </c>
      <c r="E1163" s="22" t="s">
        <v>4656</v>
      </c>
      <c r="F1163" s="22" t="s">
        <v>2030</v>
      </c>
      <c r="G1163" s="28" t="s">
        <v>2012</v>
      </c>
      <c r="H1163" s="22" t="s">
        <v>3378</v>
      </c>
      <c r="I1163" s="22" t="s">
        <v>3379</v>
      </c>
      <c r="J1163" s="22" t="s">
        <v>364</v>
      </c>
      <c r="K1163" s="22" t="s">
        <v>262</v>
      </c>
      <c r="L1163" s="22" t="s">
        <v>3380</v>
      </c>
      <c r="M1163" s="22" t="s">
        <v>4657</v>
      </c>
      <c r="N1163" s="28" t="s">
        <v>2494</v>
      </c>
      <c r="O1163" s="28" t="s">
        <v>2016</v>
      </c>
      <c r="P1163" s="29">
        <v>12948</v>
      </c>
      <c r="Q1163" s="28" t="s">
        <v>1164</v>
      </c>
      <c r="R1163" s="40">
        <v>622.543232168901</v>
      </c>
      <c r="S1163" s="34">
        <v>1337.05</v>
      </c>
      <c r="T1163" s="32">
        <v>20.798555555555001</v>
      </c>
      <c r="U1163" s="32">
        <v>0</v>
      </c>
      <c r="V1163" s="40">
        <v>622.543232168901</v>
      </c>
      <c r="W1163" s="39">
        <v>46709</v>
      </c>
      <c r="X1163" s="39">
        <v>46709</v>
      </c>
    </row>
    <row r="1164" spans="1:24" ht="15.75" thickBot="1" x14ac:dyDescent="0.3">
      <c r="A1164" t="str">
        <f t="shared" si="18"/>
        <v>RMPGMTRINSEO2100LG</v>
      </c>
      <c r="B1164" s="22" t="s">
        <v>5434</v>
      </c>
      <c r="C1164" s="21"/>
      <c r="D1164" s="22" t="s">
        <v>5435</v>
      </c>
      <c r="E1164" s="22" t="s">
        <v>4928</v>
      </c>
      <c r="F1164" s="22" t="s">
        <v>2030</v>
      </c>
      <c r="G1164" s="28" t="s">
        <v>2012</v>
      </c>
      <c r="H1164" s="22" t="s">
        <v>3111</v>
      </c>
      <c r="I1164" s="22" t="s">
        <v>3112</v>
      </c>
      <c r="J1164" s="22" t="s">
        <v>404</v>
      </c>
      <c r="K1164" s="22" t="s">
        <v>262</v>
      </c>
      <c r="L1164" s="22" t="s">
        <v>5436</v>
      </c>
      <c r="M1164" s="22" t="s">
        <v>4830</v>
      </c>
      <c r="N1164" s="28" t="s">
        <v>2494</v>
      </c>
      <c r="O1164" s="28" t="s">
        <v>2016</v>
      </c>
      <c r="P1164" s="29">
        <v>5366.6080000000002</v>
      </c>
      <c r="Q1164" s="28" t="s">
        <v>1164</v>
      </c>
      <c r="R1164" s="40">
        <v>636.33303742864905</v>
      </c>
      <c r="S1164" s="34">
        <v>542.16300000000001</v>
      </c>
      <c r="T1164" s="32">
        <v>8.4336466666660002</v>
      </c>
      <c r="U1164" s="32">
        <v>0</v>
      </c>
      <c r="V1164" s="40">
        <v>636.33303742864905</v>
      </c>
      <c r="W1164" s="39">
        <v>46723</v>
      </c>
      <c r="X1164" s="39">
        <v>46723</v>
      </c>
    </row>
    <row r="1165" spans="1:24" ht="15.75" thickBot="1" x14ac:dyDescent="0.3">
      <c r="A1165" t="str">
        <f t="shared" si="18"/>
        <v>RMSBR3D072A</v>
      </c>
      <c r="B1165" s="22" t="s">
        <v>5437</v>
      </c>
      <c r="C1165" s="22" t="s">
        <v>5438</v>
      </c>
      <c r="D1165" s="22" t="s">
        <v>5439</v>
      </c>
      <c r="E1165" s="22" t="s">
        <v>2527</v>
      </c>
      <c r="F1165" s="22" t="s">
        <v>5440</v>
      </c>
      <c r="G1165" s="28" t="s">
        <v>2012</v>
      </c>
      <c r="H1165" s="22" t="s">
        <v>2549</v>
      </c>
      <c r="I1165" s="22" t="s">
        <v>2550</v>
      </c>
      <c r="J1165" s="22" t="s">
        <v>364</v>
      </c>
      <c r="K1165" s="22" t="s">
        <v>924</v>
      </c>
      <c r="L1165" s="22" t="s">
        <v>2531</v>
      </c>
      <c r="M1165" s="22" t="s">
        <v>2532</v>
      </c>
      <c r="N1165" s="28" t="s">
        <v>2494</v>
      </c>
      <c r="O1165" s="28" t="s">
        <v>2016</v>
      </c>
      <c r="P1165" s="29">
        <v>35686.804900000003</v>
      </c>
      <c r="Q1165" s="28" t="s">
        <v>1164</v>
      </c>
      <c r="R1165" s="40">
        <v>639.58772893863295</v>
      </c>
      <c r="S1165" s="34">
        <v>3586.9227000000001</v>
      </c>
      <c r="T1165" s="32">
        <v>55.796575333333003</v>
      </c>
      <c r="U1165" s="32">
        <v>0</v>
      </c>
      <c r="V1165" s="40">
        <v>639.58772893863295</v>
      </c>
      <c r="W1165" s="39">
        <v>46726</v>
      </c>
      <c r="X1165" s="39">
        <v>46727</v>
      </c>
    </row>
    <row r="1166" spans="1:24" ht="15.75" thickBot="1" x14ac:dyDescent="0.3">
      <c r="A1166" t="str">
        <f t="shared" si="18"/>
        <v>PCPW720345-S439</v>
      </c>
      <c r="B1166" s="22" t="s">
        <v>5441</v>
      </c>
      <c r="C1166" s="22" t="s">
        <v>5442</v>
      </c>
      <c r="D1166" s="22" t="s">
        <v>5443</v>
      </c>
      <c r="E1166" s="22" t="s">
        <v>3357</v>
      </c>
      <c r="F1166" s="22" t="s">
        <v>2030</v>
      </c>
      <c r="G1166" s="28" t="s">
        <v>2012</v>
      </c>
      <c r="H1166" s="22" t="s">
        <v>5444</v>
      </c>
      <c r="I1166" s="22" t="s">
        <v>5445</v>
      </c>
      <c r="J1166" s="22" t="s">
        <v>261</v>
      </c>
      <c r="K1166" s="22" t="s">
        <v>262</v>
      </c>
      <c r="L1166" s="22" t="s">
        <v>2964</v>
      </c>
      <c r="M1166" s="22" t="s">
        <v>2130</v>
      </c>
      <c r="N1166" s="28" t="s">
        <v>2494</v>
      </c>
      <c r="O1166" s="28" t="s">
        <v>2016</v>
      </c>
      <c r="P1166" s="29">
        <v>52155</v>
      </c>
      <c r="Q1166" s="28" t="s">
        <v>2017</v>
      </c>
      <c r="R1166" s="40">
        <v>650.02354179360805</v>
      </c>
      <c r="S1166" s="29">
        <v>5158</v>
      </c>
      <c r="T1166" s="32">
        <v>80.235555555554996</v>
      </c>
      <c r="U1166" s="32">
        <v>0</v>
      </c>
      <c r="V1166" s="40">
        <v>650.02354179360805</v>
      </c>
      <c r="W1166" s="39">
        <v>46737</v>
      </c>
      <c r="X1166" s="39">
        <v>46737</v>
      </c>
    </row>
    <row r="1167" spans="1:24" ht="15.75" thickBot="1" x14ac:dyDescent="0.3">
      <c r="A1167" t="str">
        <f t="shared" si="18"/>
        <v>KB3B 16L561 AB</v>
      </c>
      <c r="B1167" s="22" t="s">
        <v>5446</v>
      </c>
      <c r="C1167" s="22" t="s">
        <v>5447</v>
      </c>
      <c r="D1167" s="22" t="s">
        <v>5448</v>
      </c>
      <c r="E1167" s="21"/>
      <c r="F1167" s="22" t="s">
        <v>5449</v>
      </c>
      <c r="G1167" s="28" t="s">
        <v>2012</v>
      </c>
      <c r="H1167" s="22" t="s">
        <v>2080</v>
      </c>
      <c r="I1167" s="21"/>
      <c r="J1167" s="22" t="s">
        <v>494</v>
      </c>
      <c r="K1167" s="22" t="s">
        <v>262</v>
      </c>
      <c r="L1167" s="21"/>
      <c r="M1167" s="22" t="s">
        <v>2014</v>
      </c>
      <c r="N1167" s="28" t="s">
        <v>2015</v>
      </c>
      <c r="O1167" s="28" t="s">
        <v>2016</v>
      </c>
      <c r="P1167" s="29">
        <v>473</v>
      </c>
      <c r="Q1167" s="28" t="s">
        <v>2017</v>
      </c>
      <c r="R1167" s="40">
        <v>675.71428571428601</v>
      </c>
      <c r="S1167" s="29">
        <v>45</v>
      </c>
      <c r="T1167" s="32">
        <v>0.7</v>
      </c>
      <c r="U1167" s="32">
        <v>0</v>
      </c>
      <c r="V1167" s="40">
        <v>675.71428571428601</v>
      </c>
      <c r="W1167" s="39">
        <v>46762</v>
      </c>
      <c r="X1167" s="39">
        <v>46762</v>
      </c>
    </row>
    <row r="1168" spans="1:24" ht="15.75" thickBot="1" x14ac:dyDescent="0.3">
      <c r="A1168" t="str">
        <f t="shared" si="18"/>
        <v>PCPGM11570311</v>
      </c>
      <c r="B1168" s="22" t="s">
        <v>5450</v>
      </c>
      <c r="C1168" s="22" t="s">
        <v>5451</v>
      </c>
      <c r="D1168" s="22" t="s">
        <v>5452</v>
      </c>
      <c r="E1168" s="22" t="s">
        <v>3619</v>
      </c>
      <c r="F1168" s="22" t="s">
        <v>2030</v>
      </c>
      <c r="G1168" s="28" t="s">
        <v>2012</v>
      </c>
      <c r="H1168" s="22" t="s">
        <v>4058</v>
      </c>
      <c r="I1168" s="22" t="s">
        <v>4059</v>
      </c>
      <c r="J1168" s="22" t="s">
        <v>404</v>
      </c>
      <c r="K1168" s="22" t="s">
        <v>262</v>
      </c>
      <c r="L1168" s="22" t="s">
        <v>3620</v>
      </c>
      <c r="M1168" s="22" t="s">
        <v>4055</v>
      </c>
      <c r="N1168" s="28" t="s">
        <v>2494</v>
      </c>
      <c r="O1168" s="28" t="s">
        <v>2016</v>
      </c>
      <c r="P1168" s="29">
        <v>12915</v>
      </c>
      <c r="Q1168" s="28" t="s">
        <v>2017</v>
      </c>
      <c r="R1168" s="40">
        <v>826.119402985075</v>
      </c>
      <c r="S1168" s="29">
        <v>1005</v>
      </c>
      <c r="T1168" s="32">
        <v>15.633333333333001</v>
      </c>
      <c r="U1168" s="32">
        <v>0</v>
      </c>
      <c r="V1168" s="40">
        <v>826.119402985075</v>
      </c>
      <c r="W1168" s="39">
        <v>46913</v>
      </c>
      <c r="X1168" s="39">
        <v>46913</v>
      </c>
    </row>
    <row r="1169" spans="1:24" ht="15.75" thickBot="1" x14ac:dyDescent="0.3">
      <c r="A1169" t="str">
        <f t="shared" si="18"/>
        <v>RMS6X37PIA1AB</v>
      </c>
      <c r="B1169" s="22" t="s">
        <v>5453</v>
      </c>
      <c r="C1169" s="22" t="s">
        <v>5454</v>
      </c>
      <c r="D1169" s="22" t="s">
        <v>5455</v>
      </c>
      <c r="E1169" s="22" t="s">
        <v>5456</v>
      </c>
      <c r="F1169" s="22" t="s">
        <v>5457</v>
      </c>
      <c r="G1169" s="28" t="s">
        <v>2012</v>
      </c>
      <c r="H1169" s="22" t="s">
        <v>2536</v>
      </c>
      <c r="I1169" s="22" t="s">
        <v>2537</v>
      </c>
      <c r="J1169" s="22" t="s">
        <v>1164</v>
      </c>
      <c r="K1169" s="22" t="s">
        <v>5458</v>
      </c>
      <c r="L1169" s="22" t="s">
        <v>3136</v>
      </c>
      <c r="M1169" s="22" t="s">
        <v>2532</v>
      </c>
      <c r="N1169" s="28" t="s">
        <v>2494</v>
      </c>
      <c r="O1169" s="28" t="s">
        <v>2016</v>
      </c>
      <c r="P1169" s="29">
        <v>638.096</v>
      </c>
      <c r="Q1169" s="28" t="s">
        <v>1164</v>
      </c>
      <c r="R1169" s="40">
        <v>869.98063970768703</v>
      </c>
      <c r="S1169" s="34">
        <v>47.151000000000003</v>
      </c>
      <c r="T1169" s="32">
        <v>0.73346</v>
      </c>
      <c r="U1169" s="32">
        <v>0</v>
      </c>
      <c r="V1169" s="40">
        <v>869.98063970768703</v>
      </c>
      <c r="W1169" s="39">
        <v>46956</v>
      </c>
      <c r="X1169" s="39">
        <v>46958</v>
      </c>
    </row>
    <row r="1170" spans="1:24" ht="15.75" thickBot="1" x14ac:dyDescent="0.3">
      <c r="A1170" t="str">
        <f t="shared" si="18"/>
        <v>KB3B 17W996 AB</v>
      </c>
      <c r="B1170" s="22" t="s">
        <v>5459</v>
      </c>
      <c r="C1170" s="22" t="s">
        <v>5460</v>
      </c>
      <c r="D1170" s="22" t="s">
        <v>5461</v>
      </c>
      <c r="E1170" s="22" t="s">
        <v>5462</v>
      </c>
      <c r="F1170" s="22" t="s">
        <v>2030</v>
      </c>
      <c r="G1170" s="28" t="s">
        <v>2012</v>
      </c>
      <c r="H1170" s="22" t="s">
        <v>2080</v>
      </c>
      <c r="I1170" s="21"/>
      <c r="J1170" s="22" t="s">
        <v>494</v>
      </c>
      <c r="K1170" s="22" t="s">
        <v>924</v>
      </c>
      <c r="L1170" s="21"/>
      <c r="M1170" s="22" t="s">
        <v>2014</v>
      </c>
      <c r="N1170" s="28" t="s">
        <v>2015</v>
      </c>
      <c r="O1170" s="28" t="s">
        <v>2016</v>
      </c>
      <c r="P1170" s="29">
        <v>2837</v>
      </c>
      <c r="Q1170" s="28" t="s">
        <v>2017</v>
      </c>
      <c r="R1170" s="40">
        <v>872.62474367737502</v>
      </c>
      <c r="S1170" s="29">
        <v>209</v>
      </c>
      <c r="T1170" s="32">
        <v>3.2511111111109998</v>
      </c>
      <c r="U1170" s="32">
        <v>0</v>
      </c>
      <c r="V1170" s="40">
        <v>872.62474367737502</v>
      </c>
      <c r="W1170" s="39">
        <v>46959</v>
      </c>
      <c r="X1170" s="39">
        <v>46959</v>
      </c>
    </row>
    <row r="1171" spans="1:24" ht="15.75" thickBot="1" x14ac:dyDescent="0.3">
      <c r="A1171" t="str">
        <f t="shared" si="18"/>
        <v>KB3B 16L558 AB</v>
      </c>
      <c r="B1171" s="22" t="s">
        <v>5463</v>
      </c>
      <c r="C1171" s="22" t="s">
        <v>5464</v>
      </c>
      <c r="D1171" s="22" t="s">
        <v>5465</v>
      </c>
      <c r="E1171" s="21"/>
      <c r="F1171" s="22" t="s">
        <v>5466</v>
      </c>
      <c r="G1171" s="28" t="s">
        <v>2012</v>
      </c>
      <c r="H1171" s="22" t="s">
        <v>2080</v>
      </c>
      <c r="I1171" s="21"/>
      <c r="J1171" s="22" t="s">
        <v>494</v>
      </c>
      <c r="K1171" s="22" t="s">
        <v>262</v>
      </c>
      <c r="L1171" s="21"/>
      <c r="M1171" s="22" t="s">
        <v>2014</v>
      </c>
      <c r="N1171" s="28" t="s">
        <v>2015</v>
      </c>
      <c r="O1171" s="28" t="s">
        <v>2016</v>
      </c>
      <c r="P1171" s="29">
        <v>659</v>
      </c>
      <c r="Q1171" s="28" t="s">
        <v>2017</v>
      </c>
      <c r="R1171" s="40">
        <v>882.58928571428601</v>
      </c>
      <c r="S1171" s="29">
        <v>48</v>
      </c>
      <c r="T1171" s="32">
        <v>0.74666666666600001</v>
      </c>
      <c r="U1171" s="32">
        <v>0</v>
      </c>
      <c r="V1171" s="40">
        <v>882.58928571428601</v>
      </c>
      <c r="W1171" s="39">
        <v>46969</v>
      </c>
      <c r="X1171" s="39">
        <v>46969</v>
      </c>
    </row>
    <row r="1172" spans="1:24" ht="15.75" thickBot="1" x14ac:dyDescent="0.3">
      <c r="A1172" t="str">
        <f t="shared" si="18"/>
        <v>PCPGM11604755</v>
      </c>
      <c r="B1172" s="22" t="s">
        <v>5467</v>
      </c>
      <c r="C1172" s="22" t="s">
        <v>5468</v>
      </c>
      <c r="D1172" s="22" t="s">
        <v>5394</v>
      </c>
      <c r="E1172" s="21"/>
      <c r="F1172" s="22" t="s">
        <v>2030</v>
      </c>
      <c r="G1172" s="28" t="s">
        <v>2012</v>
      </c>
      <c r="H1172" s="22" t="s">
        <v>4058</v>
      </c>
      <c r="I1172" s="22" t="s">
        <v>4059</v>
      </c>
      <c r="J1172" s="22" t="s">
        <v>404</v>
      </c>
      <c r="K1172" s="22" t="s">
        <v>262</v>
      </c>
      <c r="L1172" s="22" t="s">
        <v>2493</v>
      </c>
      <c r="M1172" s="22" t="s">
        <v>2130</v>
      </c>
      <c r="N1172" s="28" t="s">
        <v>2494</v>
      </c>
      <c r="O1172" s="28" t="s">
        <v>2016</v>
      </c>
      <c r="P1172" s="29">
        <v>49237</v>
      </c>
      <c r="Q1172" s="28" t="s">
        <v>2017</v>
      </c>
      <c r="R1172" s="40">
        <v>884.88557849754397</v>
      </c>
      <c r="S1172" s="29">
        <v>3577</v>
      </c>
      <c r="T1172" s="32">
        <v>55.642222222222003</v>
      </c>
      <c r="U1172" s="32">
        <v>0</v>
      </c>
      <c r="V1172" s="40">
        <v>884.88557849754397</v>
      </c>
      <c r="W1172" s="39">
        <v>46971</v>
      </c>
      <c r="X1172" s="39">
        <v>46972</v>
      </c>
    </row>
    <row r="1173" spans="1:24" ht="15.75" thickBot="1" x14ac:dyDescent="0.3">
      <c r="A1173" t="str">
        <f t="shared" si="18"/>
        <v>RMS2661270RLB</v>
      </c>
      <c r="B1173" s="22" t="s">
        <v>5469</v>
      </c>
      <c r="C1173" s="22" t="s">
        <v>5470</v>
      </c>
      <c r="D1173" s="22" t="s">
        <v>5471</v>
      </c>
      <c r="E1173" s="22" t="s">
        <v>5472</v>
      </c>
      <c r="F1173" s="22" t="s">
        <v>5473</v>
      </c>
      <c r="G1173" s="28" t="s">
        <v>2012</v>
      </c>
      <c r="H1173" s="22" t="s">
        <v>2529</v>
      </c>
      <c r="I1173" s="22" t="s">
        <v>2530</v>
      </c>
      <c r="J1173" s="22" t="s">
        <v>261</v>
      </c>
      <c r="K1173" s="22" t="s">
        <v>924</v>
      </c>
      <c r="L1173" s="22" t="s">
        <v>3136</v>
      </c>
      <c r="M1173" s="22" t="s">
        <v>2532</v>
      </c>
      <c r="N1173" s="28" t="s">
        <v>2494</v>
      </c>
      <c r="O1173" s="28" t="s">
        <v>2016</v>
      </c>
      <c r="P1173" s="29">
        <v>3308</v>
      </c>
      <c r="Q1173" s="28" t="s">
        <v>1164</v>
      </c>
      <c r="R1173" s="40">
        <v>883.42116507620005</v>
      </c>
      <c r="S1173" s="34">
        <v>240.72</v>
      </c>
      <c r="T1173" s="32">
        <v>3.744533333333</v>
      </c>
      <c r="U1173" s="32">
        <v>0</v>
      </c>
      <c r="V1173" s="40">
        <v>883.42116507620005</v>
      </c>
      <c r="W1173" s="39">
        <v>46970</v>
      </c>
      <c r="X1173" s="39">
        <v>46972</v>
      </c>
    </row>
    <row r="1174" spans="1:24" ht="15.75" thickBot="1" x14ac:dyDescent="0.3">
      <c r="A1174" t="str">
        <f t="shared" si="18"/>
        <v>KB3B 16D233 AA</v>
      </c>
      <c r="B1174" s="22" t="s">
        <v>5474</v>
      </c>
      <c r="C1174" s="22" t="s">
        <v>5475</v>
      </c>
      <c r="D1174" s="22" t="s">
        <v>5476</v>
      </c>
      <c r="E1174" s="21"/>
      <c r="F1174" s="22" t="s">
        <v>2030</v>
      </c>
      <c r="G1174" s="28" t="s">
        <v>2012</v>
      </c>
      <c r="H1174" s="22" t="s">
        <v>2080</v>
      </c>
      <c r="I1174" s="21"/>
      <c r="J1174" s="22" t="s">
        <v>494</v>
      </c>
      <c r="K1174" s="22" t="s">
        <v>924</v>
      </c>
      <c r="L1174" s="21"/>
      <c r="M1174" s="22" t="s">
        <v>2014</v>
      </c>
      <c r="N1174" s="28" t="s">
        <v>2015</v>
      </c>
      <c r="O1174" s="28" t="s">
        <v>2016</v>
      </c>
      <c r="P1174" s="29">
        <v>2828</v>
      </c>
      <c r="Q1174" s="28" t="s">
        <v>2017</v>
      </c>
      <c r="R1174" s="40">
        <v>941.96891191709904</v>
      </c>
      <c r="S1174" s="29">
        <v>193</v>
      </c>
      <c r="T1174" s="32">
        <v>3.0022222222220001</v>
      </c>
      <c r="U1174" s="32">
        <v>0</v>
      </c>
      <c r="V1174" s="40">
        <v>941.96891191709904</v>
      </c>
      <c r="W1174" s="39">
        <v>47028</v>
      </c>
      <c r="X1174" s="39">
        <v>47028</v>
      </c>
    </row>
    <row r="1175" spans="1:24" ht="15.75" thickBot="1" x14ac:dyDescent="0.3">
      <c r="A1175" t="str">
        <f t="shared" si="18"/>
        <v>PCP2623943AR0102</v>
      </c>
      <c r="B1175" s="22" t="s">
        <v>5477</v>
      </c>
      <c r="C1175" s="21"/>
      <c r="D1175" s="22" t="s">
        <v>5478</v>
      </c>
      <c r="E1175" s="21"/>
      <c r="F1175" s="22" t="s">
        <v>2030</v>
      </c>
      <c r="G1175" s="28" t="s">
        <v>2012</v>
      </c>
      <c r="H1175" s="22" t="s">
        <v>5479</v>
      </c>
      <c r="I1175" s="22" t="s">
        <v>5480</v>
      </c>
      <c r="J1175" s="22" t="s">
        <v>494</v>
      </c>
      <c r="K1175" s="22" t="s">
        <v>262</v>
      </c>
      <c r="L1175" s="22" t="s">
        <v>3318</v>
      </c>
      <c r="M1175" s="22" t="s">
        <v>2130</v>
      </c>
      <c r="N1175" s="28" t="s">
        <v>2494</v>
      </c>
      <c r="O1175" s="28" t="s">
        <v>2016</v>
      </c>
      <c r="P1175" s="29">
        <v>278</v>
      </c>
      <c r="Q1175" s="28" t="s">
        <v>2017</v>
      </c>
      <c r="R1175" s="40">
        <v>992.857142857143</v>
      </c>
      <c r="S1175" s="29">
        <v>18</v>
      </c>
      <c r="T1175" s="32">
        <v>0.28000000000000003</v>
      </c>
      <c r="U1175" s="32">
        <v>0</v>
      </c>
      <c r="V1175" s="40">
        <v>992.857142857143</v>
      </c>
      <c r="W1175" s="39">
        <v>47079</v>
      </c>
      <c r="X1175" s="39">
        <v>47079</v>
      </c>
    </row>
    <row r="1176" spans="1:24" ht="15.75" thickBot="1" x14ac:dyDescent="0.3">
      <c r="A1176" t="str">
        <f t="shared" si="18"/>
        <v>KB3B 16L557 BA</v>
      </c>
      <c r="B1176" s="22" t="s">
        <v>5481</v>
      </c>
      <c r="C1176" s="22" t="s">
        <v>5482</v>
      </c>
      <c r="D1176" s="22" t="s">
        <v>5483</v>
      </c>
      <c r="E1176" s="21"/>
      <c r="F1176" s="22" t="s">
        <v>5484</v>
      </c>
      <c r="G1176" s="28" t="s">
        <v>2012</v>
      </c>
      <c r="H1176" s="22" t="s">
        <v>2080</v>
      </c>
      <c r="I1176" s="21"/>
      <c r="J1176" s="22" t="s">
        <v>494</v>
      </c>
      <c r="K1176" s="22" t="s">
        <v>262</v>
      </c>
      <c r="L1176" s="21"/>
      <c r="M1176" s="22" t="s">
        <v>2014</v>
      </c>
      <c r="N1176" s="28" t="s">
        <v>2015</v>
      </c>
      <c r="O1176" s="28" t="s">
        <v>2016</v>
      </c>
      <c r="P1176" s="29">
        <v>257</v>
      </c>
      <c r="Q1176" s="28" t="s">
        <v>2017</v>
      </c>
      <c r="R1176" s="40">
        <v>1101.42857142857</v>
      </c>
      <c r="S1176" s="29">
        <v>15</v>
      </c>
      <c r="T1176" s="32">
        <v>0.23333333333299999</v>
      </c>
      <c r="U1176" s="32">
        <v>0</v>
      </c>
      <c r="V1176" s="40">
        <v>1101.42857142857</v>
      </c>
      <c r="W1176" s="39">
        <v>47188</v>
      </c>
      <c r="X1176" s="39">
        <v>47189</v>
      </c>
    </row>
    <row r="1177" spans="1:24" ht="15.75" thickBot="1" x14ac:dyDescent="0.3">
      <c r="A1177" t="str">
        <f t="shared" si="18"/>
        <v>KB3B 2102223 AC</v>
      </c>
      <c r="B1177" s="22" t="s">
        <v>5485</v>
      </c>
      <c r="C1177" s="22" t="s">
        <v>5486</v>
      </c>
      <c r="D1177" s="22" t="s">
        <v>5487</v>
      </c>
      <c r="E1177" s="21"/>
      <c r="F1177" s="22" t="s">
        <v>5488</v>
      </c>
      <c r="G1177" s="28" t="s">
        <v>2012</v>
      </c>
      <c r="H1177" s="22" t="s">
        <v>2080</v>
      </c>
      <c r="I1177" s="21"/>
      <c r="J1177" s="22" t="s">
        <v>494</v>
      </c>
      <c r="K1177" s="22" t="s">
        <v>262</v>
      </c>
      <c r="L1177" s="21"/>
      <c r="M1177" s="22" t="s">
        <v>2014</v>
      </c>
      <c r="N1177" s="28" t="s">
        <v>2015</v>
      </c>
      <c r="O1177" s="28" t="s">
        <v>2016</v>
      </c>
      <c r="P1177" s="29">
        <v>555</v>
      </c>
      <c r="Q1177" s="28" t="s">
        <v>2017</v>
      </c>
      <c r="R1177" s="40">
        <v>1114.9553571428601</v>
      </c>
      <c r="S1177" s="29">
        <v>32</v>
      </c>
      <c r="T1177" s="32">
        <v>0.497777777777</v>
      </c>
      <c r="U1177" s="32">
        <v>0</v>
      </c>
      <c r="V1177" s="40">
        <v>1114.9553571428601</v>
      </c>
      <c r="W1177" s="39">
        <v>47201</v>
      </c>
      <c r="X1177" s="39">
        <v>47203</v>
      </c>
    </row>
    <row r="1178" spans="1:24" ht="15.75" thickBot="1" x14ac:dyDescent="0.3">
      <c r="A1178" t="str">
        <f t="shared" si="18"/>
        <v>KB3B 2102348 AD3ZHE</v>
      </c>
      <c r="B1178" s="22" t="s">
        <v>5489</v>
      </c>
      <c r="C1178" s="22" t="s">
        <v>5490</v>
      </c>
      <c r="D1178" s="22" t="s">
        <v>5491</v>
      </c>
      <c r="E1178" s="21"/>
      <c r="F1178" s="22" t="s">
        <v>5492</v>
      </c>
      <c r="G1178" s="28" t="s">
        <v>2012</v>
      </c>
      <c r="H1178" s="22" t="s">
        <v>2080</v>
      </c>
      <c r="I1178" s="21"/>
      <c r="J1178" s="22" t="s">
        <v>494</v>
      </c>
      <c r="K1178" s="22" t="s">
        <v>262</v>
      </c>
      <c r="L1178" s="21"/>
      <c r="M1178" s="22" t="s">
        <v>2014</v>
      </c>
      <c r="N1178" s="28" t="s">
        <v>2015</v>
      </c>
      <c r="O1178" s="28" t="s">
        <v>2016</v>
      </c>
      <c r="P1178" s="29">
        <v>140</v>
      </c>
      <c r="Q1178" s="28" t="s">
        <v>2017</v>
      </c>
      <c r="R1178" s="40">
        <v>1125</v>
      </c>
      <c r="S1178" s="29">
        <v>8</v>
      </c>
      <c r="T1178" s="32">
        <v>0.124444444444</v>
      </c>
      <c r="U1178" s="32">
        <v>0</v>
      </c>
      <c r="V1178" s="40">
        <v>1125</v>
      </c>
      <c r="W1178" s="39">
        <v>47212</v>
      </c>
      <c r="X1178" s="39">
        <v>47212</v>
      </c>
    </row>
    <row r="1179" spans="1:24" ht="15.75" thickBot="1" x14ac:dyDescent="0.3">
      <c r="A1179" t="str">
        <f t="shared" si="18"/>
        <v>KB3B 2129265 AA</v>
      </c>
      <c r="B1179" s="22" t="s">
        <v>5493</v>
      </c>
      <c r="C1179" s="22" t="s">
        <v>5494</v>
      </c>
      <c r="D1179" s="22" t="s">
        <v>5495</v>
      </c>
      <c r="E1179" s="21"/>
      <c r="F1179" s="22" t="s">
        <v>2030</v>
      </c>
      <c r="G1179" s="28" t="s">
        <v>2012</v>
      </c>
      <c r="H1179" s="22" t="s">
        <v>2080</v>
      </c>
      <c r="I1179" s="21"/>
      <c r="J1179" s="22" t="s">
        <v>494</v>
      </c>
      <c r="K1179" s="22" t="s">
        <v>924</v>
      </c>
      <c r="L1179" s="21"/>
      <c r="M1179" s="22" t="s">
        <v>2014</v>
      </c>
      <c r="N1179" s="28" t="s">
        <v>2015</v>
      </c>
      <c r="O1179" s="28" t="s">
        <v>2016</v>
      </c>
      <c r="P1179" s="29">
        <v>89</v>
      </c>
      <c r="Q1179" s="28" t="s">
        <v>2017</v>
      </c>
      <c r="R1179" s="40">
        <v>1144.2857142857099</v>
      </c>
      <c r="S1179" s="29">
        <v>5</v>
      </c>
      <c r="T1179" s="32">
        <v>7.7777777776999998E-2</v>
      </c>
      <c r="U1179" s="32">
        <v>0</v>
      </c>
      <c r="V1179" s="40">
        <v>1144.2857142857099</v>
      </c>
      <c r="W1179" s="39">
        <v>47231</v>
      </c>
      <c r="X1179" s="39">
        <v>47231</v>
      </c>
    </row>
    <row r="1180" spans="1:24" ht="15.75" thickBot="1" x14ac:dyDescent="0.3">
      <c r="A1180" t="str">
        <f t="shared" si="18"/>
        <v>KB3B 2628253 AE</v>
      </c>
      <c r="B1180" s="22" t="s">
        <v>5496</v>
      </c>
      <c r="C1180" s="22" t="s">
        <v>5497</v>
      </c>
      <c r="D1180" s="22" t="s">
        <v>5498</v>
      </c>
      <c r="E1180" s="21"/>
      <c r="F1180" s="22" t="s">
        <v>2030</v>
      </c>
      <c r="G1180" s="28" t="s">
        <v>5499</v>
      </c>
      <c r="H1180" s="22" t="s">
        <v>2080</v>
      </c>
      <c r="I1180" s="21"/>
      <c r="J1180" s="22" t="s">
        <v>494</v>
      </c>
      <c r="K1180" s="22" t="s">
        <v>924</v>
      </c>
      <c r="L1180" s="21"/>
      <c r="M1180" s="22" t="s">
        <v>2014</v>
      </c>
      <c r="N1180" s="28" t="s">
        <v>2015</v>
      </c>
      <c r="O1180" s="28" t="s">
        <v>2016</v>
      </c>
      <c r="P1180" s="29">
        <v>66</v>
      </c>
      <c r="Q1180" s="28" t="s">
        <v>2017</v>
      </c>
      <c r="R1180" s="40">
        <v>1414.2857142857099</v>
      </c>
      <c r="S1180" s="29">
        <v>3</v>
      </c>
      <c r="T1180" s="32">
        <v>4.6666666666000001E-2</v>
      </c>
      <c r="U1180" s="32">
        <v>0</v>
      </c>
      <c r="V1180" s="40">
        <v>1414.2857142857099</v>
      </c>
      <c r="W1180" s="39">
        <v>47501</v>
      </c>
      <c r="X1180" s="39">
        <v>47501</v>
      </c>
    </row>
    <row r="1181" spans="1:24" ht="15.75" thickBot="1" x14ac:dyDescent="0.3">
      <c r="A1181" t="str">
        <f t="shared" si="18"/>
        <v>MLD2623943MAP00</v>
      </c>
      <c r="B1181" s="22" t="s">
        <v>5500</v>
      </c>
      <c r="C1181" s="22" t="s">
        <v>5128</v>
      </c>
      <c r="D1181" s="22" t="s">
        <v>5501</v>
      </c>
      <c r="E1181" s="21"/>
      <c r="F1181" s="22" t="s">
        <v>5502</v>
      </c>
      <c r="G1181" s="28" t="s">
        <v>2012</v>
      </c>
      <c r="H1181" s="22" t="s">
        <v>2013</v>
      </c>
      <c r="I1181" s="21"/>
      <c r="J1181" s="22" t="s">
        <v>494</v>
      </c>
      <c r="K1181" s="22" t="s">
        <v>262</v>
      </c>
      <c r="L1181" s="21"/>
      <c r="M1181" s="22" t="s">
        <v>2130</v>
      </c>
      <c r="N1181" s="28" t="s">
        <v>2015</v>
      </c>
      <c r="O1181" s="28" t="s">
        <v>2016</v>
      </c>
      <c r="P1181" s="29">
        <v>627</v>
      </c>
      <c r="Q1181" s="28" t="s">
        <v>2017</v>
      </c>
      <c r="R1181" s="40">
        <v>1439.5408163265299</v>
      </c>
      <c r="S1181" s="29">
        <v>28</v>
      </c>
      <c r="T1181" s="32">
        <v>0.43555555555499997</v>
      </c>
      <c r="U1181" s="32">
        <v>0</v>
      </c>
      <c r="V1181" s="40">
        <v>1439.5408163265299</v>
      </c>
      <c r="W1181" s="39">
        <v>47526</v>
      </c>
      <c r="X1181" s="39">
        <v>47526</v>
      </c>
    </row>
    <row r="1182" spans="1:24" ht="15.75" thickBot="1" x14ac:dyDescent="0.3">
      <c r="A1182" t="str">
        <f t="shared" si="18"/>
        <v>KB3B 21020A26 AB</v>
      </c>
      <c r="B1182" s="22" t="s">
        <v>5503</v>
      </c>
      <c r="C1182" s="22" t="s">
        <v>5504</v>
      </c>
      <c r="D1182" s="22" t="s">
        <v>5505</v>
      </c>
      <c r="E1182" s="21"/>
      <c r="F1182" s="22" t="s">
        <v>5506</v>
      </c>
      <c r="G1182" s="28" t="s">
        <v>2012</v>
      </c>
      <c r="H1182" s="22" t="s">
        <v>2080</v>
      </c>
      <c r="I1182" s="21"/>
      <c r="J1182" s="22" t="s">
        <v>494</v>
      </c>
      <c r="K1182" s="22" t="s">
        <v>262</v>
      </c>
      <c r="L1182" s="21"/>
      <c r="M1182" s="22" t="s">
        <v>2014</v>
      </c>
      <c r="N1182" s="28" t="s">
        <v>2015</v>
      </c>
      <c r="O1182" s="28" t="s">
        <v>2016</v>
      </c>
      <c r="P1182" s="29">
        <v>2751</v>
      </c>
      <c r="Q1182" s="28" t="s">
        <v>2017</v>
      </c>
      <c r="R1182" s="40">
        <v>1461.57024793388</v>
      </c>
      <c r="S1182" s="29">
        <v>121</v>
      </c>
      <c r="T1182" s="32">
        <v>1.882222222222</v>
      </c>
      <c r="U1182" s="32">
        <v>0</v>
      </c>
      <c r="V1182" s="40">
        <v>1461.57024793388</v>
      </c>
      <c r="W1182" s="39">
        <v>47548</v>
      </c>
      <c r="X1182" s="39">
        <v>47548</v>
      </c>
    </row>
    <row r="1183" spans="1:24" ht="15.75" thickBot="1" x14ac:dyDescent="0.3">
      <c r="A1183" t="str">
        <f t="shared" si="18"/>
        <v>PCP2123942FS00</v>
      </c>
      <c r="B1183" s="22" t="s">
        <v>5507</v>
      </c>
      <c r="C1183" s="22" t="s">
        <v>5508</v>
      </c>
      <c r="D1183" s="22" t="s">
        <v>5509</v>
      </c>
      <c r="E1183" s="21"/>
      <c r="F1183" s="22" t="s">
        <v>2030</v>
      </c>
      <c r="G1183" s="28" t="s">
        <v>2012</v>
      </c>
      <c r="H1183" s="22" t="s">
        <v>3856</v>
      </c>
      <c r="I1183" s="22" t="s">
        <v>3857</v>
      </c>
      <c r="J1183" s="22" t="s">
        <v>261</v>
      </c>
      <c r="K1183" s="22" t="s">
        <v>262</v>
      </c>
      <c r="L1183" s="22" t="s">
        <v>3858</v>
      </c>
      <c r="M1183" s="22" t="s">
        <v>2130</v>
      </c>
      <c r="N1183" s="28" t="s">
        <v>2494</v>
      </c>
      <c r="O1183" s="28" t="s">
        <v>2016</v>
      </c>
      <c r="P1183" s="29">
        <v>1936</v>
      </c>
      <c r="Q1183" s="28" t="s">
        <v>2017</v>
      </c>
      <c r="R1183" s="40">
        <v>1536.50793650794</v>
      </c>
      <c r="S1183" s="29">
        <v>81</v>
      </c>
      <c r="T1183" s="32">
        <v>1.26</v>
      </c>
      <c r="U1183" s="32">
        <v>0</v>
      </c>
      <c r="V1183" s="40">
        <v>1536.50793650794</v>
      </c>
      <c r="W1183" s="39">
        <v>47623</v>
      </c>
      <c r="X1183" s="39">
        <v>47623</v>
      </c>
    </row>
    <row r="1184" spans="1:24" ht="15.75" thickBot="1" x14ac:dyDescent="0.3">
      <c r="A1184" t="str">
        <f t="shared" si="18"/>
        <v>MLD2623943BOL00</v>
      </c>
      <c r="B1184" s="22" t="s">
        <v>5510</v>
      </c>
      <c r="C1184" s="22" t="s">
        <v>5128</v>
      </c>
      <c r="D1184" s="22" t="s">
        <v>5511</v>
      </c>
      <c r="E1184" s="21"/>
      <c r="F1184" s="22" t="s">
        <v>5512</v>
      </c>
      <c r="G1184" s="28" t="s">
        <v>2012</v>
      </c>
      <c r="H1184" s="22" t="s">
        <v>2013</v>
      </c>
      <c r="I1184" s="21"/>
      <c r="J1184" s="22" t="s">
        <v>494</v>
      </c>
      <c r="K1184" s="22" t="s">
        <v>262</v>
      </c>
      <c r="L1184" s="21"/>
      <c r="M1184" s="22" t="s">
        <v>2034</v>
      </c>
      <c r="N1184" s="28" t="s">
        <v>2015</v>
      </c>
      <c r="O1184" s="28" t="s">
        <v>2016</v>
      </c>
      <c r="P1184" s="29">
        <v>688</v>
      </c>
      <c r="Q1184" s="28" t="s">
        <v>2017</v>
      </c>
      <c r="R1184" s="40">
        <v>1579.5918367346901</v>
      </c>
      <c r="S1184" s="29">
        <v>28</v>
      </c>
      <c r="T1184" s="32">
        <v>0.43555555555499997</v>
      </c>
      <c r="U1184" s="32">
        <v>0</v>
      </c>
      <c r="V1184" s="40">
        <v>1579.5918367346901</v>
      </c>
      <c r="W1184" s="39">
        <v>47666</v>
      </c>
      <c r="X1184" s="39">
        <v>47666</v>
      </c>
    </row>
    <row r="1185" spans="1:24" ht="15.75" thickBot="1" x14ac:dyDescent="0.3">
      <c r="A1185" t="str">
        <f t="shared" si="18"/>
        <v>RMPGM13S91JQE</v>
      </c>
      <c r="B1185" s="22" t="s">
        <v>5513</v>
      </c>
      <c r="C1185" s="21"/>
      <c r="D1185" s="22" t="s">
        <v>5514</v>
      </c>
      <c r="E1185" s="21"/>
      <c r="F1185" s="22" t="s">
        <v>2030</v>
      </c>
      <c r="G1185" s="28" t="s">
        <v>2012</v>
      </c>
      <c r="H1185" s="22" t="s">
        <v>4817</v>
      </c>
      <c r="I1185" s="22" t="s">
        <v>4818</v>
      </c>
      <c r="J1185" s="22" t="s">
        <v>404</v>
      </c>
      <c r="K1185" s="22" t="s">
        <v>262</v>
      </c>
      <c r="L1185" s="22" t="s">
        <v>4925</v>
      </c>
      <c r="M1185" s="22" t="s">
        <v>4830</v>
      </c>
      <c r="N1185" s="28" t="s">
        <v>2494</v>
      </c>
      <c r="O1185" s="28" t="s">
        <v>2016</v>
      </c>
      <c r="P1185" s="29">
        <v>282.89980000000003</v>
      </c>
      <c r="Q1185" s="28" t="s">
        <v>1164</v>
      </c>
      <c r="R1185" s="40">
        <v>1617.7638359221201</v>
      </c>
      <c r="S1185" s="34">
        <v>11.2417</v>
      </c>
      <c r="T1185" s="32">
        <v>0.17487088888800001</v>
      </c>
      <c r="U1185" s="32">
        <v>0</v>
      </c>
      <c r="V1185" s="40">
        <v>1617.7638359221201</v>
      </c>
      <c r="W1185" s="39">
        <v>47704</v>
      </c>
      <c r="X1185" s="39">
        <v>47704</v>
      </c>
    </row>
    <row r="1186" spans="1:24" ht="15.75" thickBot="1" x14ac:dyDescent="0.3">
      <c r="A1186" t="str">
        <f t="shared" si="18"/>
        <v>KB3B 8A297 AJ</v>
      </c>
      <c r="B1186" s="22" t="s">
        <v>5515</v>
      </c>
      <c r="C1186" s="22" t="s">
        <v>5516</v>
      </c>
      <c r="D1186" s="22" t="s">
        <v>5517</v>
      </c>
      <c r="E1186" s="22" t="s">
        <v>5518</v>
      </c>
      <c r="F1186" s="22" t="s">
        <v>2030</v>
      </c>
      <c r="G1186" s="28" t="s">
        <v>2012</v>
      </c>
      <c r="H1186" s="22" t="s">
        <v>2080</v>
      </c>
      <c r="I1186" s="21"/>
      <c r="J1186" s="22" t="s">
        <v>494</v>
      </c>
      <c r="K1186" s="22" t="s">
        <v>924</v>
      </c>
      <c r="L1186" s="21"/>
      <c r="M1186" s="22" t="s">
        <v>2014</v>
      </c>
      <c r="N1186" s="28" t="s">
        <v>2015</v>
      </c>
      <c r="O1186" s="28" t="s">
        <v>2016</v>
      </c>
      <c r="P1186" s="29">
        <v>1445</v>
      </c>
      <c r="Q1186" s="28" t="s">
        <v>2017</v>
      </c>
      <c r="R1186" s="40">
        <v>1658.80102040816</v>
      </c>
      <c r="S1186" s="29">
        <v>56</v>
      </c>
      <c r="T1186" s="32">
        <v>0.87111111111100004</v>
      </c>
      <c r="U1186" s="32">
        <v>0</v>
      </c>
      <c r="V1186" s="40">
        <v>1658.80102040816</v>
      </c>
      <c r="W1186" s="39">
        <v>47745</v>
      </c>
      <c r="X1186" s="39">
        <v>47745</v>
      </c>
    </row>
    <row r="1187" spans="1:24" ht="15.75" thickBot="1" x14ac:dyDescent="0.3">
      <c r="A1187" t="str">
        <f t="shared" si="18"/>
        <v>KB3B 21020A27 AB</v>
      </c>
      <c r="B1187" s="22" t="s">
        <v>5519</v>
      </c>
      <c r="C1187" s="22" t="s">
        <v>5520</v>
      </c>
      <c r="D1187" s="22" t="s">
        <v>5521</v>
      </c>
      <c r="E1187" s="21"/>
      <c r="F1187" s="22" t="s">
        <v>5506</v>
      </c>
      <c r="G1187" s="28" t="s">
        <v>2012</v>
      </c>
      <c r="H1187" s="22" t="s">
        <v>2080</v>
      </c>
      <c r="I1187" s="21"/>
      <c r="J1187" s="22" t="s">
        <v>494</v>
      </c>
      <c r="K1187" s="22" t="s">
        <v>262</v>
      </c>
      <c r="L1187" s="21"/>
      <c r="M1187" s="22" t="s">
        <v>2014</v>
      </c>
      <c r="N1187" s="28" t="s">
        <v>2015</v>
      </c>
      <c r="O1187" s="28" t="s">
        <v>2016</v>
      </c>
      <c r="P1187" s="29">
        <v>2984</v>
      </c>
      <c r="Q1187" s="28" t="s">
        <v>2017</v>
      </c>
      <c r="R1187" s="40">
        <v>1712.75510204082</v>
      </c>
      <c r="S1187" s="29">
        <v>112</v>
      </c>
      <c r="T1187" s="32">
        <v>1.7422222222220001</v>
      </c>
      <c r="U1187" s="32">
        <v>0</v>
      </c>
      <c r="V1187" s="40">
        <v>1712.75510204082</v>
      </c>
      <c r="W1187" s="39">
        <v>47799</v>
      </c>
      <c r="X1187" s="39">
        <v>47799</v>
      </c>
    </row>
    <row r="1188" spans="1:24" ht="15.75" thickBot="1" x14ac:dyDescent="0.3">
      <c r="A1188" t="str">
        <f t="shared" si="18"/>
        <v>68426550</v>
      </c>
      <c r="B1188" s="22" t="s">
        <v>5522</v>
      </c>
      <c r="C1188" s="22" t="s">
        <v>4303</v>
      </c>
      <c r="D1188" s="22" t="s">
        <v>5523</v>
      </c>
      <c r="E1188" s="21"/>
      <c r="F1188" s="22" t="s">
        <v>5524</v>
      </c>
      <c r="G1188" s="28" t="s">
        <v>5499</v>
      </c>
      <c r="H1188" s="22" t="s">
        <v>2022</v>
      </c>
      <c r="I1188" s="21"/>
      <c r="J1188" s="22" t="s">
        <v>1117</v>
      </c>
      <c r="K1188" s="22" t="s">
        <v>924</v>
      </c>
      <c r="L1188" s="21"/>
      <c r="M1188" s="22" t="s">
        <v>2014</v>
      </c>
      <c r="N1188" s="28" t="s">
        <v>2015</v>
      </c>
      <c r="O1188" s="28" t="s">
        <v>2016</v>
      </c>
      <c r="P1188" s="29">
        <v>0</v>
      </c>
      <c r="Q1188" s="28" t="s">
        <v>2017</v>
      </c>
      <c r="R1188" s="21"/>
      <c r="S1188" s="21"/>
      <c r="T1188" s="21"/>
      <c r="U1188" s="21"/>
      <c r="V1188" s="21"/>
      <c r="W1188" s="21"/>
      <c r="X1188" s="21"/>
    </row>
    <row r="1189" spans="1:24" ht="15.75" thickBot="1" x14ac:dyDescent="0.3">
      <c r="A1189" t="str">
        <f t="shared" si="18"/>
        <v>85070888</v>
      </c>
      <c r="B1189" s="22" t="s">
        <v>5525</v>
      </c>
      <c r="C1189" s="22" t="s">
        <v>5526</v>
      </c>
      <c r="D1189" s="22" t="s">
        <v>3164</v>
      </c>
      <c r="E1189" s="22" t="s">
        <v>3165</v>
      </c>
      <c r="F1189" s="22" t="s">
        <v>2026</v>
      </c>
      <c r="G1189" s="28" t="s">
        <v>2012</v>
      </c>
      <c r="H1189" s="22" t="s">
        <v>2027</v>
      </c>
      <c r="I1189" s="21"/>
      <c r="J1189" s="22" t="s">
        <v>404</v>
      </c>
      <c r="K1189" s="22" t="s">
        <v>262</v>
      </c>
      <c r="L1189" s="21"/>
      <c r="M1189" s="22" t="s">
        <v>2014</v>
      </c>
      <c r="N1189" s="28" t="s">
        <v>2015</v>
      </c>
      <c r="O1189" s="28" t="s">
        <v>2016</v>
      </c>
      <c r="P1189" s="29">
        <v>0</v>
      </c>
      <c r="Q1189" s="28" t="s">
        <v>2017</v>
      </c>
      <c r="R1189" s="21"/>
      <c r="S1189" s="21"/>
      <c r="T1189" s="21"/>
      <c r="U1189" s="21"/>
      <c r="V1189" s="21"/>
      <c r="W1189" s="21"/>
      <c r="X1189" s="21"/>
    </row>
    <row r="1190" spans="1:24" ht="15.75" thickBot="1" x14ac:dyDescent="0.3">
      <c r="A1190" t="str">
        <f t="shared" si="18"/>
        <v>85636195</v>
      </c>
      <c r="B1190" s="22" t="s">
        <v>5527</v>
      </c>
      <c r="C1190" s="22" t="s">
        <v>5528</v>
      </c>
      <c r="D1190" s="22" t="s">
        <v>5529</v>
      </c>
      <c r="E1190" s="22" t="s">
        <v>3496</v>
      </c>
      <c r="F1190" s="22" t="s">
        <v>5202</v>
      </c>
      <c r="G1190" s="28" t="s">
        <v>2012</v>
      </c>
      <c r="H1190" s="22" t="s">
        <v>4266</v>
      </c>
      <c r="I1190" s="21"/>
      <c r="J1190" s="22" t="s">
        <v>404</v>
      </c>
      <c r="K1190" s="22" t="s">
        <v>262</v>
      </c>
      <c r="L1190" s="21"/>
      <c r="M1190" s="22" t="s">
        <v>2014</v>
      </c>
      <c r="N1190" s="28" t="s">
        <v>2015</v>
      </c>
      <c r="O1190" s="28" t="s">
        <v>2016</v>
      </c>
      <c r="P1190" s="29">
        <v>440</v>
      </c>
      <c r="Q1190" s="28" t="s">
        <v>2017</v>
      </c>
      <c r="R1190" s="21"/>
      <c r="S1190" s="21"/>
      <c r="T1190" s="21"/>
      <c r="U1190" s="21"/>
      <c r="V1190" s="21"/>
      <c r="W1190" s="21"/>
      <c r="X1190" s="21"/>
    </row>
    <row r="1191" spans="1:24" ht="15.75" thickBot="1" x14ac:dyDescent="0.3">
      <c r="A1191" t="str">
        <f t="shared" si="18"/>
        <v>85652722</v>
      </c>
      <c r="B1191" s="22" t="s">
        <v>5530</v>
      </c>
      <c r="C1191" s="22" t="s">
        <v>5531</v>
      </c>
      <c r="D1191" s="22" t="s">
        <v>5532</v>
      </c>
      <c r="E1191" s="22" t="s">
        <v>3496</v>
      </c>
      <c r="F1191" s="22" t="s">
        <v>5533</v>
      </c>
      <c r="G1191" s="28" t="s">
        <v>2012</v>
      </c>
      <c r="H1191" s="22" t="s">
        <v>2027</v>
      </c>
      <c r="I1191" s="21"/>
      <c r="J1191" s="22" t="s">
        <v>404</v>
      </c>
      <c r="K1191" s="22" t="s">
        <v>262</v>
      </c>
      <c r="L1191" s="21"/>
      <c r="M1191" s="22" t="s">
        <v>2014</v>
      </c>
      <c r="N1191" s="28" t="s">
        <v>2015</v>
      </c>
      <c r="O1191" s="28" t="s">
        <v>2016</v>
      </c>
      <c r="P1191" s="29">
        <v>4500</v>
      </c>
      <c r="Q1191" s="28" t="s">
        <v>2017</v>
      </c>
      <c r="R1191" s="21"/>
      <c r="S1191" s="21"/>
      <c r="T1191" s="21"/>
      <c r="U1191" s="21"/>
      <c r="V1191" s="21"/>
      <c r="W1191" s="21"/>
      <c r="X1191" s="21"/>
    </row>
    <row r="1192" spans="1:24" ht="15.75" thickBot="1" x14ac:dyDescent="0.3">
      <c r="A1192" t="str">
        <f t="shared" si="18"/>
        <v>AB39 21226B06 AA3JA6</v>
      </c>
      <c r="B1192" s="22" t="s">
        <v>5534</v>
      </c>
      <c r="C1192" s="22" t="s">
        <v>5535</v>
      </c>
      <c r="D1192" s="22" t="s">
        <v>5536</v>
      </c>
      <c r="E1192" s="21"/>
      <c r="F1192" s="22" t="s">
        <v>2030</v>
      </c>
      <c r="G1192" s="28" t="s">
        <v>2012</v>
      </c>
      <c r="H1192" s="22" t="s">
        <v>2080</v>
      </c>
      <c r="I1192" s="21"/>
      <c r="J1192" s="22" t="s">
        <v>494</v>
      </c>
      <c r="K1192" s="22" t="s">
        <v>262</v>
      </c>
      <c r="L1192" s="21"/>
      <c r="M1192" s="22" t="s">
        <v>2014</v>
      </c>
      <c r="N1192" s="28" t="s">
        <v>2015</v>
      </c>
      <c r="O1192" s="28" t="s">
        <v>2016</v>
      </c>
      <c r="P1192" s="29">
        <v>924</v>
      </c>
      <c r="Q1192" s="28" t="s">
        <v>2017</v>
      </c>
      <c r="R1192" s="21"/>
      <c r="S1192" s="21"/>
      <c r="T1192" s="21"/>
      <c r="U1192" s="21"/>
      <c r="V1192" s="21"/>
      <c r="W1192" s="21"/>
      <c r="X1192" s="21"/>
    </row>
    <row r="1193" spans="1:24" ht="15.75" thickBot="1" x14ac:dyDescent="0.3">
      <c r="A1193" t="str">
        <f t="shared" si="18"/>
        <v>AB39 21226B07 AA3JA6</v>
      </c>
      <c r="B1193" s="22" t="s">
        <v>5537</v>
      </c>
      <c r="C1193" s="22" t="s">
        <v>5538</v>
      </c>
      <c r="D1193" s="22" t="s">
        <v>5539</v>
      </c>
      <c r="E1193" s="21"/>
      <c r="F1193" s="22" t="s">
        <v>2030</v>
      </c>
      <c r="G1193" s="28" t="s">
        <v>2012</v>
      </c>
      <c r="H1193" s="22" t="s">
        <v>2055</v>
      </c>
      <c r="I1193" s="21"/>
      <c r="J1193" s="22" t="s">
        <v>494</v>
      </c>
      <c r="K1193" s="22" t="s">
        <v>262</v>
      </c>
      <c r="L1193" s="21"/>
      <c r="M1193" s="22" t="s">
        <v>2014</v>
      </c>
      <c r="N1193" s="28" t="s">
        <v>2015</v>
      </c>
      <c r="O1193" s="28" t="s">
        <v>2016</v>
      </c>
      <c r="P1193" s="29">
        <v>325</v>
      </c>
      <c r="Q1193" s="28" t="s">
        <v>2017</v>
      </c>
      <c r="R1193" s="21"/>
      <c r="S1193" s="21"/>
      <c r="T1193" s="21"/>
      <c r="U1193" s="21"/>
      <c r="V1193" s="21"/>
      <c r="W1193" s="21"/>
      <c r="X1193" s="21"/>
    </row>
    <row r="1194" spans="1:24" ht="15.75" thickBot="1" x14ac:dyDescent="0.3">
      <c r="A1194" t="str">
        <f t="shared" si="18"/>
        <v>ASY17E810B</v>
      </c>
      <c r="B1194" s="22" t="s">
        <v>5540</v>
      </c>
      <c r="C1194" s="22" t="s">
        <v>3256</v>
      </c>
      <c r="D1194" s="22" t="s">
        <v>3257</v>
      </c>
      <c r="E1194" s="21"/>
      <c r="F1194" s="22" t="s">
        <v>3258</v>
      </c>
      <c r="G1194" s="28" t="s">
        <v>2012</v>
      </c>
      <c r="H1194" s="22" t="s">
        <v>2080</v>
      </c>
      <c r="I1194" s="21"/>
      <c r="J1194" s="22" t="s">
        <v>364</v>
      </c>
      <c r="K1194" s="22" t="s">
        <v>262</v>
      </c>
      <c r="L1194" s="21"/>
      <c r="M1194" s="22" t="s">
        <v>2034</v>
      </c>
      <c r="N1194" s="28" t="s">
        <v>2015</v>
      </c>
      <c r="O1194" s="28" t="s">
        <v>2016</v>
      </c>
      <c r="P1194" s="29">
        <v>33</v>
      </c>
      <c r="Q1194" s="28" t="s">
        <v>2017</v>
      </c>
      <c r="R1194" s="21"/>
      <c r="S1194" s="21"/>
      <c r="T1194" s="21"/>
      <c r="U1194" s="21"/>
      <c r="V1194" s="21"/>
      <c r="W1194" s="21"/>
      <c r="X1194" s="21"/>
    </row>
    <row r="1195" spans="1:24" ht="15.75" thickBot="1" x14ac:dyDescent="0.3">
      <c r="A1195" t="str">
        <f t="shared" si="18"/>
        <v>ASY17E811B</v>
      </c>
      <c r="B1195" s="22" t="s">
        <v>5541</v>
      </c>
      <c r="C1195" s="22" t="s">
        <v>2648</v>
      </c>
      <c r="D1195" s="22" t="s">
        <v>2649</v>
      </c>
      <c r="E1195" s="21"/>
      <c r="F1195" s="22" t="s">
        <v>2232</v>
      </c>
      <c r="G1195" s="28" t="s">
        <v>2012</v>
      </c>
      <c r="H1195" s="22" t="s">
        <v>2080</v>
      </c>
      <c r="I1195" s="21"/>
      <c r="J1195" s="22" t="s">
        <v>364</v>
      </c>
      <c r="K1195" s="22" t="s">
        <v>262</v>
      </c>
      <c r="L1195" s="21"/>
      <c r="M1195" s="22" t="s">
        <v>2034</v>
      </c>
      <c r="N1195" s="28" t="s">
        <v>2015</v>
      </c>
      <c r="O1195" s="28" t="s">
        <v>2016</v>
      </c>
      <c r="P1195" s="29">
        <v>1</v>
      </c>
      <c r="Q1195" s="28" t="s">
        <v>2017</v>
      </c>
      <c r="R1195" s="21"/>
      <c r="S1195" s="21"/>
      <c r="T1195" s="21"/>
      <c r="U1195" s="21"/>
      <c r="V1195" s="21"/>
      <c r="W1195" s="21"/>
      <c r="X1195" s="21"/>
    </row>
    <row r="1196" spans="1:24" ht="15.75" thickBot="1" x14ac:dyDescent="0.3">
      <c r="A1196" t="str">
        <f t="shared" si="18"/>
        <v>ASYE025B84B1NB</v>
      </c>
      <c r="B1196" s="22" t="s">
        <v>342</v>
      </c>
      <c r="C1196" s="22" t="s">
        <v>2575</v>
      </c>
      <c r="D1196" s="22" t="s">
        <v>2576</v>
      </c>
      <c r="E1196" s="21"/>
      <c r="F1196" s="22" t="s">
        <v>2030</v>
      </c>
      <c r="G1196" s="28" t="s">
        <v>2012</v>
      </c>
      <c r="H1196" s="22" t="s">
        <v>2037</v>
      </c>
      <c r="I1196" s="21"/>
      <c r="J1196" s="22" t="s">
        <v>261</v>
      </c>
      <c r="K1196" s="22" t="s">
        <v>262</v>
      </c>
      <c r="L1196" s="21"/>
      <c r="M1196" s="22" t="s">
        <v>2034</v>
      </c>
      <c r="N1196" s="28" t="s">
        <v>2015</v>
      </c>
      <c r="O1196" s="28" t="s">
        <v>2016</v>
      </c>
      <c r="P1196" s="29">
        <v>-38</v>
      </c>
      <c r="Q1196" s="28" t="s">
        <v>2017</v>
      </c>
      <c r="R1196" s="41">
        <v>-0.97636176772799999</v>
      </c>
      <c r="S1196" s="29">
        <v>2502</v>
      </c>
      <c r="T1196" s="32">
        <v>38.92</v>
      </c>
      <c r="U1196" s="32">
        <v>0</v>
      </c>
      <c r="V1196" s="41">
        <v>0</v>
      </c>
      <c r="W1196" s="21"/>
      <c r="X1196" s="21"/>
    </row>
    <row r="1197" spans="1:24" ht="15.75" thickBot="1" x14ac:dyDescent="0.3">
      <c r="A1197" t="str">
        <f t="shared" si="18"/>
        <v>ASYE025B85B1NB</v>
      </c>
      <c r="B1197" s="22" t="s">
        <v>290</v>
      </c>
      <c r="C1197" s="22" t="s">
        <v>2035</v>
      </c>
      <c r="D1197" s="22" t="s">
        <v>2036</v>
      </c>
      <c r="E1197" s="21"/>
      <c r="F1197" s="22" t="s">
        <v>2030</v>
      </c>
      <c r="G1197" s="28" t="s">
        <v>2012</v>
      </c>
      <c r="H1197" s="22" t="s">
        <v>2037</v>
      </c>
      <c r="I1197" s="21"/>
      <c r="J1197" s="22" t="s">
        <v>261</v>
      </c>
      <c r="K1197" s="22" t="s">
        <v>262</v>
      </c>
      <c r="L1197" s="21"/>
      <c r="M1197" s="22" t="s">
        <v>2034</v>
      </c>
      <c r="N1197" s="28" t="s">
        <v>2015</v>
      </c>
      <c r="O1197" s="28" t="s">
        <v>2016</v>
      </c>
      <c r="P1197" s="29">
        <v>-483</v>
      </c>
      <c r="Q1197" s="28" t="s">
        <v>2017</v>
      </c>
      <c r="R1197" s="41">
        <v>-6.1521696057059998</v>
      </c>
      <c r="S1197" s="29">
        <v>5047</v>
      </c>
      <c r="T1197" s="32">
        <v>78.508888888887995</v>
      </c>
      <c r="U1197" s="32">
        <v>0</v>
      </c>
      <c r="V1197" s="41">
        <v>0</v>
      </c>
      <c r="W1197" s="21"/>
      <c r="X1197" s="21"/>
    </row>
    <row r="1198" spans="1:24" ht="15.75" thickBot="1" x14ac:dyDescent="0.3">
      <c r="A1198" t="str">
        <f t="shared" si="18"/>
        <v>ASYE23900ADSG</v>
      </c>
      <c r="B1198" s="22" t="s">
        <v>353</v>
      </c>
      <c r="C1198" s="22" t="s">
        <v>5542</v>
      </c>
      <c r="D1198" s="22" t="s">
        <v>5543</v>
      </c>
      <c r="E1198" s="22" t="s">
        <v>5544</v>
      </c>
      <c r="F1198" s="22" t="s">
        <v>2040</v>
      </c>
      <c r="G1198" s="28" t="s">
        <v>2012</v>
      </c>
      <c r="H1198" s="22" t="s">
        <v>2013</v>
      </c>
      <c r="I1198" s="21"/>
      <c r="J1198" s="22" t="s">
        <v>261</v>
      </c>
      <c r="K1198" s="22" t="s">
        <v>262</v>
      </c>
      <c r="L1198" s="21"/>
      <c r="M1198" s="22" t="s">
        <v>2034</v>
      </c>
      <c r="N1198" s="28" t="s">
        <v>2015</v>
      </c>
      <c r="O1198" s="28" t="s">
        <v>2016</v>
      </c>
      <c r="P1198" s="29">
        <v>0</v>
      </c>
      <c r="Q1198" s="28" t="s">
        <v>2017</v>
      </c>
      <c r="R1198" s="41">
        <v>0</v>
      </c>
      <c r="S1198" s="29">
        <v>6</v>
      </c>
      <c r="T1198" s="32">
        <v>9.3333333332999993E-2</v>
      </c>
      <c r="U1198" s="32">
        <v>0</v>
      </c>
      <c r="V1198" s="41">
        <v>0</v>
      </c>
      <c r="W1198" s="21"/>
      <c r="X1198" s="21"/>
    </row>
    <row r="1199" spans="1:24" ht="15.75" thickBot="1" x14ac:dyDescent="0.3">
      <c r="A1199" t="str">
        <f t="shared" si="18"/>
        <v>ASYE23900AMIC</v>
      </c>
      <c r="B1199" s="22" t="s">
        <v>355</v>
      </c>
      <c r="C1199" s="22" t="s">
        <v>5545</v>
      </c>
      <c r="D1199" s="22" t="s">
        <v>5546</v>
      </c>
      <c r="E1199" s="22" t="s">
        <v>5547</v>
      </c>
      <c r="F1199" s="22" t="s">
        <v>2040</v>
      </c>
      <c r="G1199" s="28" t="s">
        <v>2012</v>
      </c>
      <c r="H1199" s="22" t="s">
        <v>2013</v>
      </c>
      <c r="I1199" s="21"/>
      <c r="J1199" s="22" t="s">
        <v>261</v>
      </c>
      <c r="K1199" s="22" t="s">
        <v>262</v>
      </c>
      <c r="L1199" s="21"/>
      <c r="M1199" s="22" t="s">
        <v>2034</v>
      </c>
      <c r="N1199" s="28" t="s">
        <v>2015</v>
      </c>
      <c r="O1199" s="28" t="s">
        <v>2016</v>
      </c>
      <c r="P1199" s="29">
        <v>164</v>
      </c>
      <c r="Q1199" s="28" t="s">
        <v>2017</v>
      </c>
      <c r="R1199" s="41">
        <v>0.84329364444499999</v>
      </c>
      <c r="S1199" s="29">
        <v>12502</v>
      </c>
      <c r="T1199" s="32">
        <v>194.47555555555601</v>
      </c>
      <c r="U1199" s="32">
        <v>0</v>
      </c>
      <c r="V1199" s="41">
        <v>0.84329364444499999</v>
      </c>
      <c r="W1199" s="21"/>
      <c r="X1199" s="21"/>
    </row>
    <row r="1200" spans="1:24" ht="15.75" thickBot="1" x14ac:dyDescent="0.3">
      <c r="A1200" t="str">
        <f t="shared" si="18"/>
        <v>ASYE23900ATS</v>
      </c>
      <c r="B1200" s="22" t="s">
        <v>357</v>
      </c>
      <c r="C1200" s="22" t="s">
        <v>5542</v>
      </c>
      <c r="D1200" s="22" t="s">
        <v>2050</v>
      </c>
      <c r="E1200" s="22" t="s">
        <v>5548</v>
      </c>
      <c r="F1200" s="22" t="s">
        <v>2040</v>
      </c>
      <c r="G1200" s="28" t="s">
        <v>2012</v>
      </c>
      <c r="H1200" s="22" t="s">
        <v>2013</v>
      </c>
      <c r="I1200" s="21"/>
      <c r="J1200" s="22" t="s">
        <v>261</v>
      </c>
      <c r="K1200" s="22" t="s">
        <v>262</v>
      </c>
      <c r="L1200" s="21"/>
      <c r="M1200" s="22" t="s">
        <v>2034</v>
      </c>
      <c r="N1200" s="28" t="s">
        <v>2015</v>
      </c>
      <c r="O1200" s="28" t="s">
        <v>2016</v>
      </c>
      <c r="P1200" s="29">
        <v>-9</v>
      </c>
      <c r="Q1200" s="28" t="s">
        <v>2017</v>
      </c>
      <c r="R1200" s="41">
        <v>-0.22425249169399999</v>
      </c>
      <c r="S1200" s="29">
        <v>2580</v>
      </c>
      <c r="T1200" s="32">
        <v>40.133333333332999</v>
      </c>
      <c r="U1200" s="32">
        <v>0</v>
      </c>
      <c r="V1200" s="41">
        <v>0</v>
      </c>
      <c r="W1200" s="21"/>
      <c r="X1200" s="21"/>
    </row>
    <row r="1201" spans="1:24" ht="15.75" thickBot="1" x14ac:dyDescent="0.3">
      <c r="A1201" t="str">
        <f t="shared" si="18"/>
        <v>ASYE23901ADSG</v>
      </c>
      <c r="B1201" s="22" t="s">
        <v>311</v>
      </c>
      <c r="C1201" s="22" t="s">
        <v>2049</v>
      </c>
      <c r="D1201" s="22" t="s">
        <v>312</v>
      </c>
      <c r="E1201" s="22" t="s">
        <v>5549</v>
      </c>
      <c r="F1201" s="22" t="s">
        <v>2040</v>
      </c>
      <c r="G1201" s="28" t="s">
        <v>2012</v>
      </c>
      <c r="H1201" s="22" t="s">
        <v>2013</v>
      </c>
      <c r="I1201" s="21"/>
      <c r="J1201" s="22" t="s">
        <v>261</v>
      </c>
      <c r="K1201" s="22" t="s">
        <v>262</v>
      </c>
      <c r="L1201" s="21"/>
      <c r="M1201" s="22" t="s">
        <v>2034</v>
      </c>
      <c r="N1201" s="28" t="s">
        <v>2015</v>
      </c>
      <c r="O1201" s="28" t="s">
        <v>2016</v>
      </c>
      <c r="P1201" s="29">
        <v>0</v>
      </c>
      <c r="Q1201" s="28" t="s">
        <v>2017</v>
      </c>
      <c r="R1201" s="41">
        <v>0</v>
      </c>
      <c r="S1201" s="29">
        <v>12</v>
      </c>
      <c r="T1201" s="32">
        <v>0.18666666666599999</v>
      </c>
      <c r="U1201" s="32">
        <v>0</v>
      </c>
      <c r="V1201" s="41">
        <v>0</v>
      </c>
      <c r="W1201" s="21"/>
      <c r="X1201" s="21"/>
    </row>
    <row r="1202" spans="1:24" ht="15.75" thickBot="1" x14ac:dyDescent="0.3">
      <c r="A1202" t="str">
        <f t="shared" si="18"/>
        <v>ASYE23901AMIC</v>
      </c>
      <c r="B1202" s="22" t="s">
        <v>313</v>
      </c>
      <c r="C1202" s="22" t="s">
        <v>2044</v>
      </c>
      <c r="D1202" s="22" t="s">
        <v>5546</v>
      </c>
      <c r="E1202" s="22" t="s">
        <v>5550</v>
      </c>
      <c r="F1202" s="22" t="s">
        <v>2040</v>
      </c>
      <c r="G1202" s="28" t="s">
        <v>2012</v>
      </c>
      <c r="H1202" s="22" t="s">
        <v>2013</v>
      </c>
      <c r="I1202" s="21"/>
      <c r="J1202" s="22" t="s">
        <v>261</v>
      </c>
      <c r="K1202" s="22" t="s">
        <v>262</v>
      </c>
      <c r="L1202" s="21"/>
      <c r="M1202" s="22" t="s">
        <v>2034</v>
      </c>
      <c r="N1202" s="28" t="s">
        <v>2015</v>
      </c>
      <c r="O1202" s="28" t="s">
        <v>2016</v>
      </c>
      <c r="P1202" s="29">
        <v>178</v>
      </c>
      <c r="Q1202" s="28" t="s">
        <v>2017</v>
      </c>
      <c r="R1202" s="41">
        <v>0.91506254640999996</v>
      </c>
      <c r="S1202" s="29">
        <v>12505</v>
      </c>
      <c r="T1202" s="32">
        <v>194.52222222222201</v>
      </c>
      <c r="U1202" s="32">
        <v>0</v>
      </c>
      <c r="V1202" s="41">
        <v>0.91506254640999996</v>
      </c>
      <c r="W1202" s="21"/>
      <c r="X1202" s="21"/>
    </row>
    <row r="1203" spans="1:24" ht="15.75" thickBot="1" x14ac:dyDescent="0.3">
      <c r="A1203" t="str">
        <f t="shared" si="18"/>
        <v>ASYE23943FSUPERMATTE</v>
      </c>
      <c r="B1203" s="22" t="s">
        <v>5551</v>
      </c>
      <c r="C1203" s="22" t="s">
        <v>2049</v>
      </c>
      <c r="D1203" s="22" t="s">
        <v>5552</v>
      </c>
      <c r="E1203" s="22" t="s">
        <v>5553</v>
      </c>
      <c r="F1203" s="22" t="s">
        <v>5554</v>
      </c>
      <c r="G1203" s="28" t="s">
        <v>5499</v>
      </c>
      <c r="H1203" s="22" t="s">
        <v>2080</v>
      </c>
      <c r="I1203" s="21"/>
      <c r="J1203" s="22" t="s">
        <v>261</v>
      </c>
      <c r="K1203" s="22" t="s">
        <v>262</v>
      </c>
      <c r="L1203" s="21"/>
      <c r="M1203" s="22" t="s">
        <v>2034</v>
      </c>
      <c r="N1203" s="28" t="s">
        <v>2015</v>
      </c>
      <c r="O1203" s="28" t="s">
        <v>2016</v>
      </c>
      <c r="P1203" s="29">
        <v>0</v>
      </c>
      <c r="Q1203" s="28" t="s">
        <v>2017</v>
      </c>
      <c r="R1203" s="21"/>
      <c r="S1203" s="21"/>
      <c r="T1203" s="21"/>
      <c r="U1203" s="21"/>
      <c r="V1203" s="21"/>
      <c r="W1203" s="21"/>
      <c r="X1203" s="21"/>
    </row>
    <row r="1204" spans="1:24" ht="15.75" thickBot="1" x14ac:dyDescent="0.3">
      <c r="A1204" t="str">
        <f t="shared" si="18"/>
        <v>ASYHS16094W15</v>
      </c>
      <c r="B1204" s="22" t="s">
        <v>5555</v>
      </c>
      <c r="C1204" s="22" t="s">
        <v>5556</v>
      </c>
      <c r="D1204" s="22" t="s">
        <v>5557</v>
      </c>
      <c r="E1204" s="22" t="s">
        <v>5558</v>
      </c>
      <c r="F1204" s="22" t="s">
        <v>5559</v>
      </c>
      <c r="G1204" s="28" t="s">
        <v>2012</v>
      </c>
      <c r="H1204" s="22" t="s">
        <v>2055</v>
      </c>
      <c r="I1204" s="21"/>
      <c r="J1204" s="22" t="s">
        <v>494</v>
      </c>
      <c r="K1204" s="22" t="s">
        <v>924</v>
      </c>
      <c r="L1204" s="21"/>
      <c r="M1204" s="22" t="s">
        <v>2034</v>
      </c>
      <c r="N1204" s="28" t="s">
        <v>2015</v>
      </c>
      <c r="O1204" s="28" t="s">
        <v>2016</v>
      </c>
      <c r="P1204" s="29">
        <v>100</v>
      </c>
      <c r="Q1204" s="28" t="s">
        <v>2017</v>
      </c>
      <c r="R1204" s="21"/>
      <c r="S1204" s="21"/>
      <c r="T1204" s="21"/>
      <c r="U1204" s="21"/>
      <c r="V1204" s="21"/>
      <c r="W1204" s="21"/>
      <c r="X1204" s="21"/>
    </row>
    <row r="1205" spans="1:24" ht="15.75" thickBot="1" x14ac:dyDescent="0.3">
      <c r="A1205" t="str">
        <f t="shared" si="18"/>
        <v>ASYHS16095W15</v>
      </c>
      <c r="B1205" s="22" t="s">
        <v>5560</v>
      </c>
      <c r="C1205" s="22" t="s">
        <v>5561</v>
      </c>
      <c r="D1205" s="22" t="s">
        <v>5562</v>
      </c>
      <c r="E1205" s="22" t="s">
        <v>5563</v>
      </c>
      <c r="F1205" s="22" t="s">
        <v>5564</v>
      </c>
      <c r="G1205" s="28" t="s">
        <v>2012</v>
      </c>
      <c r="H1205" s="22" t="s">
        <v>2055</v>
      </c>
      <c r="I1205" s="21"/>
      <c r="J1205" s="22" t="s">
        <v>494</v>
      </c>
      <c r="K1205" s="22" t="s">
        <v>924</v>
      </c>
      <c r="L1205" s="21"/>
      <c r="M1205" s="22" t="s">
        <v>2034</v>
      </c>
      <c r="N1205" s="28" t="s">
        <v>2015</v>
      </c>
      <c r="O1205" s="28" t="s">
        <v>2016</v>
      </c>
      <c r="P1205" s="29">
        <v>600</v>
      </c>
      <c r="Q1205" s="28" t="s">
        <v>2017</v>
      </c>
      <c r="R1205" s="21"/>
      <c r="S1205" s="21"/>
      <c r="T1205" s="21"/>
      <c r="U1205" s="21"/>
      <c r="V1205" s="21"/>
      <c r="W1205" s="21"/>
      <c r="X1205" s="21"/>
    </row>
    <row r="1206" spans="1:24" ht="15.75" thickBot="1" x14ac:dyDescent="0.3">
      <c r="A1206" t="str">
        <f t="shared" si="18"/>
        <v>ASYHS1B410W3</v>
      </c>
      <c r="B1206" s="22" t="s">
        <v>5565</v>
      </c>
      <c r="C1206" s="22" t="s">
        <v>5566</v>
      </c>
      <c r="D1206" s="22" t="s">
        <v>5567</v>
      </c>
      <c r="E1206" s="22" t="s">
        <v>5568</v>
      </c>
      <c r="F1206" s="22" t="s">
        <v>5569</v>
      </c>
      <c r="G1206" s="28" t="s">
        <v>2012</v>
      </c>
      <c r="H1206" s="22" t="s">
        <v>2055</v>
      </c>
      <c r="I1206" s="21"/>
      <c r="J1206" s="22" t="s">
        <v>494</v>
      </c>
      <c r="K1206" s="22" t="s">
        <v>924</v>
      </c>
      <c r="L1206" s="21"/>
      <c r="M1206" s="22" t="s">
        <v>2034</v>
      </c>
      <c r="N1206" s="28" t="s">
        <v>2015</v>
      </c>
      <c r="O1206" s="28" t="s">
        <v>2016</v>
      </c>
      <c r="P1206" s="29">
        <v>744</v>
      </c>
      <c r="Q1206" s="28" t="s">
        <v>2017</v>
      </c>
      <c r="R1206" s="21"/>
      <c r="S1206" s="21"/>
      <c r="T1206" s="21"/>
      <c r="U1206" s="21"/>
      <c r="V1206" s="21"/>
      <c r="W1206" s="21"/>
      <c r="X1206" s="21"/>
    </row>
    <row r="1207" spans="1:24" ht="15.75" thickBot="1" x14ac:dyDescent="0.3">
      <c r="A1207" t="str">
        <f t="shared" si="18"/>
        <v>ASYHS1D381W3</v>
      </c>
      <c r="B1207" s="22" t="s">
        <v>5570</v>
      </c>
      <c r="C1207" s="22" t="s">
        <v>5566</v>
      </c>
      <c r="D1207" s="22" t="s">
        <v>5571</v>
      </c>
      <c r="E1207" s="22" t="s">
        <v>5572</v>
      </c>
      <c r="F1207" s="22" t="s">
        <v>5573</v>
      </c>
      <c r="G1207" s="28" t="s">
        <v>2012</v>
      </c>
      <c r="H1207" s="22" t="s">
        <v>2055</v>
      </c>
      <c r="I1207" s="21"/>
      <c r="J1207" s="22" t="s">
        <v>494</v>
      </c>
      <c r="K1207" s="22" t="s">
        <v>924</v>
      </c>
      <c r="L1207" s="21"/>
      <c r="M1207" s="22" t="s">
        <v>2034</v>
      </c>
      <c r="N1207" s="28" t="s">
        <v>2015</v>
      </c>
      <c r="O1207" s="28" t="s">
        <v>2016</v>
      </c>
      <c r="P1207" s="29">
        <v>9495</v>
      </c>
      <c r="Q1207" s="28" t="s">
        <v>2017</v>
      </c>
      <c r="R1207" s="21"/>
      <c r="S1207" s="21"/>
      <c r="T1207" s="21"/>
      <c r="U1207" s="21"/>
      <c r="V1207" s="21"/>
      <c r="W1207" s="21"/>
      <c r="X1207" s="21"/>
    </row>
    <row r="1208" spans="1:24" ht="15.75" thickBot="1" x14ac:dyDescent="0.3">
      <c r="A1208" t="str">
        <f t="shared" si="18"/>
        <v>ASYHS25A64W2</v>
      </c>
      <c r="B1208" s="22" t="s">
        <v>5574</v>
      </c>
      <c r="C1208" s="22" t="s">
        <v>5575</v>
      </c>
      <c r="D1208" s="22" t="s">
        <v>5576</v>
      </c>
      <c r="E1208" s="22" t="s">
        <v>5577</v>
      </c>
      <c r="F1208" s="22" t="s">
        <v>5578</v>
      </c>
      <c r="G1208" s="28" t="s">
        <v>2012</v>
      </c>
      <c r="H1208" s="22" t="s">
        <v>2080</v>
      </c>
      <c r="I1208" s="21"/>
      <c r="J1208" s="22" t="s">
        <v>494</v>
      </c>
      <c r="K1208" s="22" t="s">
        <v>924</v>
      </c>
      <c r="L1208" s="21"/>
      <c r="M1208" s="22" t="s">
        <v>2034</v>
      </c>
      <c r="N1208" s="28" t="s">
        <v>2015</v>
      </c>
      <c r="O1208" s="28" t="s">
        <v>2016</v>
      </c>
      <c r="P1208" s="29">
        <v>100</v>
      </c>
      <c r="Q1208" s="28" t="s">
        <v>2017</v>
      </c>
      <c r="R1208" s="21"/>
      <c r="S1208" s="21"/>
      <c r="T1208" s="21"/>
      <c r="U1208" s="21"/>
      <c r="V1208" s="21"/>
      <c r="W1208" s="21"/>
      <c r="X1208" s="21"/>
    </row>
    <row r="1209" spans="1:24" ht="15.75" thickBot="1" x14ac:dyDescent="0.3">
      <c r="A1209" t="str">
        <f t="shared" si="18"/>
        <v>ASYHS26332W5</v>
      </c>
      <c r="B1209" s="22" t="s">
        <v>5579</v>
      </c>
      <c r="C1209" s="22" t="s">
        <v>5580</v>
      </c>
      <c r="D1209" s="22" t="s">
        <v>5581</v>
      </c>
      <c r="E1209" s="22" t="s">
        <v>5582</v>
      </c>
      <c r="F1209" s="22" t="s">
        <v>5583</v>
      </c>
      <c r="G1209" s="28" t="s">
        <v>2012</v>
      </c>
      <c r="H1209" s="22" t="s">
        <v>2055</v>
      </c>
      <c r="I1209" s="21"/>
      <c r="J1209" s="22" t="s">
        <v>494</v>
      </c>
      <c r="K1209" s="22" t="s">
        <v>924</v>
      </c>
      <c r="L1209" s="21"/>
      <c r="M1209" s="22" t="s">
        <v>2034</v>
      </c>
      <c r="N1209" s="28" t="s">
        <v>2015</v>
      </c>
      <c r="O1209" s="28" t="s">
        <v>2016</v>
      </c>
      <c r="P1209" s="29">
        <v>1167</v>
      </c>
      <c r="Q1209" s="28" t="s">
        <v>2017</v>
      </c>
      <c r="R1209" s="21"/>
      <c r="S1209" s="21"/>
      <c r="T1209" s="21"/>
      <c r="U1209" s="21"/>
      <c r="V1209" s="21"/>
      <c r="W1209" s="21"/>
      <c r="X1209" s="21"/>
    </row>
    <row r="1210" spans="1:24" ht="15.75" thickBot="1" x14ac:dyDescent="0.3">
      <c r="A1210" t="str">
        <f t="shared" si="18"/>
        <v>ASYHS26924W3</v>
      </c>
      <c r="B1210" s="22" t="s">
        <v>5584</v>
      </c>
      <c r="C1210" s="22" t="s">
        <v>5566</v>
      </c>
      <c r="D1210" s="22" t="s">
        <v>5585</v>
      </c>
      <c r="E1210" s="22" t="s">
        <v>5586</v>
      </c>
      <c r="F1210" s="22" t="s">
        <v>5587</v>
      </c>
      <c r="G1210" s="28" t="s">
        <v>2012</v>
      </c>
      <c r="H1210" s="22" t="s">
        <v>2055</v>
      </c>
      <c r="I1210" s="21"/>
      <c r="J1210" s="22" t="s">
        <v>494</v>
      </c>
      <c r="K1210" s="22" t="s">
        <v>924</v>
      </c>
      <c r="L1210" s="21"/>
      <c r="M1210" s="22" t="s">
        <v>2034</v>
      </c>
      <c r="N1210" s="28" t="s">
        <v>2015</v>
      </c>
      <c r="O1210" s="28" t="s">
        <v>2016</v>
      </c>
      <c r="P1210" s="29">
        <v>365</v>
      </c>
      <c r="Q1210" s="28" t="s">
        <v>2017</v>
      </c>
      <c r="R1210" s="21"/>
      <c r="S1210" s="21"/>
      <c r="T1210" s="21"/>
      <c r="U1210" s="21"/>
      <c r="V1210" s="21"/>
      <c r="W1210" s="21"/>
      <c r="X1210" s="21"/>
    </row>
    <row r="1211" spans="1:24" ht="15.75" thickBot="1" x14ac:dyDescent="0.3">
      <c r="A1211" t="str">
        <f t="shared" si="18"/>
        <v>ASYHS28232W3</v>
      </c>
      <c r="B1211" s="22" t="s">
        <v>5588</v>
      </c>
      <c r="C1211" s="22" t="s">
        <v>5566</v>
      </c>
      <c r="D1211" s="22" t="s">
        <v>5589</v>
      </c>
      <c r="E1211" s="22" t="s">
        <v>5590</v>
      </c>
      <c r="F1211" s="22" t="s">
        <v>5591</v>
      </c>
      <c r="G1211" s="28" t="s">
        <v>2012</v>
      </c>
      <c r="H1211" s="22" t="s">
        <v>2055</v>
      </c>
      <c r="I1211" s="21"/>
      <c r="J1211" s="22" t="s">
        <v>494</v>
      </c>
      <c r="K1211" s="22" t="s">
        <v>924</v>
      </c>
      <c r="L1211" s="21"/>
      <c r="M1211" s="22" t="s">
        <v>2034</v>
      </c>
      <c r="N1211" s="28" t="s">
        <v>2015</v>
      </c>
      <c r="O1211" s="28" t="s">
        <v>2016</v>
      </c>
      <c r="P1211" s="29">
        <v>791</v>
      </c>
      <c r="Q1211" s="28" t="s">
        <v>2017</v>
      </c>
      <c r="R1211" s="21"/>
      <c r="S1211" s="21"/>
      <c r="T1211" s="21"/>
      <c r="U1211" s="21"/>
      <c r="V1211" s="21"/>
      <c r="W1211" s="21"/>
      <c r="X1211" s="21"/>
    </row>
    <row r="1212" spans="1:24" ht="15.75" thickBot="1" x14ac:dyDescent="0.3">
      <c r="A1212" t="str">
        <f t="shared" si="18"/>
        <v>ASYHS2A093W3</v>
      </c>
      <c r="B1212" s="22" t="s">
        <v>5592</v>
      </c>
      <c r="C1212" s="22" t="s">
        <v>5566</v>
      </c>
      <c r="D1212" s="22" t="s">
        <v>5593</v>
      </c>
      <c r="E1212" s="22" t="s">
        <v>5594</v>
      </c>
      <c r="F1212" s="22" t="s">
        <v>5595</v>
      </c>
      <c r="G1212" s="28" t="s">
        <v>2012</v>
      </c>
      <c r="H1212" s="22" t="s">
        <v>2055</v>
      </c>
      <c r="I1212" s="21"/>
      <c r="J1212" s="22" t="s">
        <v>494</v>
      </c>
      <c r="K1212" s="22" t="s">
        <v>924</v>
      </c>
      <c r="L1212" s="21"/>
      <c r="M1212" s="22" t="s">
        <v>2034</v>
      </c>
      <c r="N1212" s="28" t="s">
        <v>2015</v>
      </c>
      <c r="O1212" s="28" t="s">
        <v>2016</v>
      </c>
      <c r="P1212" s="29">
        <v>913</v>
      </c>
      <c r="Q1212" s="28" t="s">
        <v>2017</v>
      </c>
      <c r="R1212" s="21"/>
      <c r="S1212" s="21"/>
      <c r="T1212" s="21"/>
      <c r="U1212" s="21"/>
      <c r="V1212" s="21"/>
      <c r="W1212" s="21"/>
      <c r="X1212" s="21"/>
    </row>
    <row r="1213" spans="1:24" ht="15.75" thickBot="1" x14ac:dyDescent="0.3">
      <c r="A1213" t="str">
        <f t="shared" si="18"/>
        <v>ASYHS2D240W5</v>
      </c>
      <c r="B1213" s="22" t="s">
        <v>5596</v>
      </c>
      <c r="C1213" s="22" t="s">
        <v>5580</v>
      </c>
      <c r="D1213" s="22" t="s">
        <v>5597</v>
      </c>
      <c r="E1213" s="22" t="s">
        <v>5598</v>
      </c>
      <c r="F1213" s="22" t="s">
        <v>5599</v>
      </c>
      <c r="G1213" s="28" t="s">
        <v>2012</v>
      </c>
      <c r="H1213" s="22" t="s">
        <v>2055</v>
      </c>
      <c r="I1213" s="21"/>
      <c r="J1213" s="22" t="s">
        <v>494</v>
      </c>
      <c r="K1213" s="22" t="s">
        <v>924</v>
      </c>
      <c r="L1213" s="21"/>
      <c r="M1213" s="22" t="s">
        <v>2034</v>
      </c>
      <c r="N1213" s="28" t="s">
        <v>2015</v>
      </c>
      <c r="O1213" s="28" t="s">
        <v>2016</v>
      </c>
      <c r="P1213" s="29">
        <v>1146</v>
      </c>
      <c r="Q1213" s="28" t="s">
        <v>2017</v>
      </c>
      <c r="R1213" s="21"/>
      <c r="S1213" s="21"/>
      <c r="T1213" s="21"/>
      <c r="U1213" s="21"/>
      <c r="V1213" s="21"/>
      <c r="W1213" s="21"/>
      <c r="X1213" s="21"/>
    </row>
    <row r="1214" spans="1:24" ht="15.75" thickBot="1" x14ac:dyDescent="0.3">
      <c r="A1214" t="str">
        <f t="shared" si="18"/>
        <v>ASYHS34770W16</v>
      </c>
      <c r="B1214" s="22" t="s">
        <v>5600</v>
      </c>
      <c r="C1214" s="22" t="s">
        <v>5601</v>
      </c>
      <c r="D1214" s="22" t="s">
        <v>5602</v>
      </c>
      <c r="E1214" s="22" t="s">
        <v>5603</v>
      </c>
      <c r="F1214" s="22" t="s">
        <v>5604</v>
      </c>
      <c r="G1214" s="28" t="s">
        <v>2012</v>
      </c>
      <c r="H1214" s="22" t="s">
        <v>2080</v>
      </c>
      <c r="I1214" s="21"/>
      <c r="J1214" s="22" t="s">
        <v>494</v>
      </c>
      <c r="K1214" s="22" t="s">
        <v>924</v>
      </c>
      <c r="L1214" s="21"/>
      <c r="M1214" s="22" t="s">
        <v>2034</v>
      </c>
      <c r="N1214" s="28" t="s">
        <v>2015</v>
      </c>
      <c r="O1214" s="28" t="s">
        <v>2016</v>
      </c>
      <c r="P1214" s="29">
        <v>362</v>
      </c>
      <c r="Q1214" s="28" t="s">
        <v>2017</v>
      </c>
      <c r="R1214" s="21"/>
      <c r="S1214" s="21"/>
      <c r="T1214" s="21"/>
      <c r="U1214" s="21"/>
      <c r="V1214" s="21"/>
      <c r="W1214" s="21"/>
      <c r="X1214" s="21"/>
    </row>
    <row r="1215" spans="1:24" ht="15.75" thickBot="1" x14ac:dyDescent="0.3">
      <c r="A1215" t="str">
        <f t="shared" si="18"/>
        <v>ASYHS34771W16</v>
      </c>
      <c r="B1215" s="22" t="s">
        <v>5605</v>
      </c>
      <c r="C1215" s="22" t="s">
        <v>5601</v>
      </c>
      <c r="D1215" s="22" t="s">
        <v>5606</v>
      </c>
      <c r="E1215" s="22" t="s">
        <v>5607</v>
      </c>
      <c r="F1215" s="22" t="s">
        <v>5608</v>
      </c>
      <c r="G1215" s="28" t="s">
        <v>2012</v>
      </c>
      <c r="H1215" s="22" t="s">
        <v>2080</v>
      </c>
      <c r="I1215" s="21"/>
      <c r="J1215" s="22" t="s">
        <v>494</v>
      </c>
      <c r="K1215" s="22" t="s">
        <v>924</v>
      </c>
      <c r="L1215" s="21"/>
      <c r="M1215" s="22" t="s">
        <v>2034</v>
      </c>
      <c r="N1215" s="28" t="s">
        <v>2015</v>
      </c>
      <c r="O1215" s="28" t="s">
        <v>2016</v>
      </c>
      <c r="P1215" s="29">
        <v>0</v>
      </c>
      <c r="Q1215" s="28" t="s">
        <v>2017</v>
      </c>
      <c r="R1215" s="21"/>
      <c r="S1215" s="21"/>
      <c r="T1215" s="21"/>
      <c r="U1215" s="21"/>
      <c r="V1215" s="21"/>
      <c r="W1215" s="21"/>
      <c r="X1215" s="21"/>
    </row>
    <row r="1216" spans="1:24" ht="15.75" thickBot="1" x14ac:dyDescent="0.3">
      <c r="A1216" t="str">
        <f t="shared" si="18"/>
        <v>ASYHS39A30W15</v>
      </c>
      <c r="B1216" s="22" t="s">
        <v>5609</v>
      </c>
      <c r="C1216" s="22" t="s">
        <v>5610</v>
      </c>
      <c r="D1216" s="22" t="s">
        <v>5611</v>
      </c>
      <c r="E1216" s="22" t="s">
        <v>5612</v>
      </c>
      <c r="F1216" s="22" t="s">
        <v>5613</v>
      </c>
      <c r="G1216" s="28" t="s">
        <v>2012</v>
      </c>
      <c r="H1216" s="22" t="s">
        <v>2080</v>
      </c>
      <c r="I1216" s="21"/>
      <c r="J1216" s="22" t="s">
        <v>494</v>
      </c>
      <c r="K1216" s="22" t="s">
        <v>924</v>
      </c>
      <c r="L1216" s="21"/>
      <c r="M1216" s="22" t="s">
        <v>2034</v>
      </c>
      <c r="N1216" s="28" t="s">
        <v>2015</v>
      </c>
      <c r="O1216" s="28" t="s">
        <v>2016</v>
      </c>
      <c r="P1216" s="29">
        <v>832</v>
      </c>
      <c r="Q1216" s="28" t="s">
        <v>2017</v>
      </c>
      <c r="R1216" s="21"/>
      <c r="S1216" s="21"/>
      <c r="T1216" s="21"/>
      <c r="U1216" s="21"/>
      <c r="V1216" s="21"/>
      <c r="W1216" s="21"/>
      <c r="X1216" s="21"/>
    </row>
    <row r="1217" spans="1:24" ht="15.75" thickBot="1" x14ac:dyDescent="0.3">
      <c r="A1217" t="str">
        <f t="shared" si="18"/>
        <v>ASYHS39A31W15</v>
      </c>
      <c r="B1217" s="22" t="s">
        <v>5614</v>
      </c>
      <c r="C1217" s="22" t="s">
        <v>5615</v>
      </c>
      <c r="D1217" s="22" t="s">
        <v>5616</v>
      </c>
      <c r="E1217" s="22" t="s">
        <v>5617</v>
      </c>
      <c r="F1217" s="22" t="s">
        <v>5618</v>
      </c>
      <c r="G1217" s="28" t="s">
        <v>2012</v>
      </c>
      <c r="H1217" s="22" t="s">
        <v>2080</v>
      </c>
      <c r="I1217" s="21"/>
      <c r="J1217" s="22" t="s">
        <v>494</v>
      </c>
      <c r="K1217" s="22" t="s">
        <v>924</v>
      </c>
      <c r="L1217" s="21"/>
      <c r="M1217" s="22" t="s">
        <v>2034</v>
      </c>
      <c r="N1217" s="28" t="s">
        <v>2015</v>
      </c>
      <c r="O1217" s="28" t="s">
        <v>2016</v>
      </c>
      <c r="P1217" s="29">
        <v>682</v>
      </c>
      <c r="Q1217" s="28" t="s">
        <v>2017</v>
      </c>
      <c r="R1217" s="21"/>
      <c r="S1217" s="21"/>
      <c r="T1217" s="21"/>
      <c r="U1217" s="21"/>
      <c r="V1217" s="21"/>
      <c r="W1217" s="21"/>
      <c r="X1217" s="21"/>
    </row>
    <row r="1218" spans="1:24" ht="15.75" thickBot="1" x14ac:dyDescent="0.3">
      <c r="A1218" t="str">
        <f t="shared" si="18"/>
        <v>ASYHS3E41212W9</v>
      </c>
      <c r="B1218" s="22" t="s">
        <v>1685</v>
      </c>
      <c r="C1218" s="22" t="s">
        <v>5325</v>
      </c>
      <c r="D1218" s="22" t="s">
        <v>2725</v>
      </c>
      <c r="E1218" s="22" t="s">
        <v>5619</v>
      </c>
      <c r="F1218" s="22" t="s">
        <v>2727</v>
      </c>
      <c r="G1218" s="28" t="s">
        <v>2012</v>
      </c>
      <c r="H1218" s="22" t="s">
        <v>2080</v>
      </c>
      <c r="I1218" s="21"/>
      <c r="J1218" s="22" t="s">
        <v>261</v>
      </c>
      <c r="K1218" s="22" t="s">
        <v>924</v>
      </c>
      <c r="L1218" s="21"/>
      <c r="M1218" s="22" t="s">
        <v>2034</v>
      </c>
      <c r="N1218" s="28" t="s">
        <v>2015</v>
      </c>
      <c r="O1218" s="28" t="s">
        <v>2016</v>
      </c>
      <c r="P1218" s="29">
        <v>0</v>
      </c>
      <c r="Q1218" s="28" t="s">
        <v>2017</v>
      </c>
      <c r="R1218" s="41">
        <v>0</v>
      </c>
      <c r="S1218" s="29">
        <v>110</v>
      </c>
      <c r="T1218" s="32">
        <v>1.711111111111</v>
      </c>
      <c r="U1218" s="32">
        <v>0</v>
      </c>
      <c r="V1218" s="41">
        <v>0</v>
      </c>
      <c r="W1218" s="21"/>
      <c r="X1218" s="21"/>
    </row>
    <row r="1219" spans="1:24" ht="15.75" thickBot="1" x14ac:dyDescent="0.3">
      <c r="A1219" t="str">
        <f t="shared" si="18"/>
        <v>ASYHS3E41213W8</v>
      </c>
      <c r="B1219" s="22" t="s">
        <v>1686</v>
      </c>
      <c r="C1219" s="22" t="s">
        <v>5327</v>
      </c>
      <c r="D1219" s="22" t="s">
        <v>2729</v>
      </c>
      <c r="E1219" s="22" t="s">
        <v>5620</v>
      </c>
      <c r="F1219" s="22" t="s">
        <v>2731</v>
      </c>
      <c r="G1219" s="28" t="s">
        <v>2012</v>
      </c>
      <c r="H1219" s="22" t="s">
        <v>2080</v>
      </c>
      <c r="I1219" s="21"/>
      <c r="J1219" s="22" t="s">
        <v>261</v>
      </c>
      <c r="K1219" s="22" t="s">
        <v>924</v>
      </c>
      <c r="L1219" s="21"/>
      <c r="M1219" s="22" t="s">
        <v>2034</v>
      </c>
      <c r="N1219" s="28" t="s">
        <v>2015</v>
      </c>
      <c r="O1219" s="28" t="s">
        <v>2016</v>
      </c>
      <c r="P1219" s="29">
        <v>0</v>
      </c>
      <c r="Q1219" s="28" t="s">
        <v>2017</v>
      </c>
      <c r="R1219" s="41">
        <v>0</v>
      </c>
      <c r="S1219" s="29">
        <v>110</v>
      </c>
      <c r="T1219" s="32">
        <v>1.711111111111</v>
      </c>
      <c r="U1219" s="32">
        <v>0</v>
      </c>
      <c r="V1219" s="41">
        <v>0</v>
      </c>
      <c r="W1219" s="21"/>
      <c r="X1219" s="21"/>
    </row>
    <row r="1220" spans="1:24" ht="15.75" thickBot="1" x14ac:dyDescent="0.3">
      <c r="A1220" t="str">
        <f t="shared" si="18"/>
        <v>ASYHS40522W15W18</v>
      </c>
      <c r="B1220" s="22" t="s">
        <v>5621</v>
      </c>
      <c r="C1220" s="22" t="s">
        <v>4160</v>
      </c>
      <c r="D1220" s="22" t="s">
        <v>5622</v>
      </c>
      <c r="E1220" s="22" t="s">
        <v>5623</v>
      </c>
      <c r="F1220" s="22" t="s">
        <v>5624</v>
      </c>
      <c r="G1220" s="28" t="s">
        <v>2012</v>
      </c>
      <c r="H1220" s="22" t="s">
        <v>2055</v>
      </c>
      <c r="I1220" s="21"/>
      <c r="J1220" s="22" t="s">
        <v>494</v>
      </c>
      <c r="K1220" s="22" t="s">
        <v>924</v>
      </c>
      <c r="L1220" s="21"/>
      <c r="M1220" s="22" t="s">
        <v>2034</v>
      </c>
      <c r="N1220" s="28" t="s">
        <v>2015</v>
      </c>
      <c r="O1220" s="28" t="s">
        <v>2016</v>
      </c>
      <c r="P1220" s="29">
        <v>1523</v>
      </c>
      <c r="Q1220" s="28" t="s">
        <v>2017</v>
      </c>
      <c r="R1220" s="21"/>
      <c r="S1220" s="21"/>
      <c r="T1220" s="21"/>
      <c r="U1220" s="21"/>
      <c r="V1220" s="21"/>
      <c r="W1220" s="21"/>
      <c r="X1220" s="21"/>
    </row>
    <row r="1221" spans="1:24" ht="15.75" thickBot="1" x14ac:dyDescent="0.3">
      <c r="A1221" t="str">
        <f t="shared" ref="A1221:A1284" si="19">TRIM(B1221)</f>
        <v>ASYHS44644W6</v>
      </c>
      <c r="B1221" s="22" t="s">
        <v>5625</v>
      </c>
      <c r="C1221" s="22" t="s">
        <v>5626</v>
      </c>
      <c r="D1221" s="22" t="s">
        <v>5627</v>
      </c>
      <c r="E1221" s="22" t="s">
        <v>5628</v>
      </c>
      <c r="F1221" s="22" t="s">
        <v>5629</v>
      </c>
      <c r="G1221" s="28" t="s">
        <v>2012</v>
      </c>
      <c r="H1221" s="22" t="s">
        <v>2080</v>
      </c>
      <c r="I1221" s="21"/>
      <c r="J1221" s="22" t="s">
        <v>494</v>
      </c>
      <c r="K1221" s="22" t="s">
        <v>924</v>
      </c>
      <c r="L1221" s="21"/>
      <c r="M1221" s="22" t="s">
        <v>2034</v>
      </c>
      <c r="N1221" s="28" t="s">
        <v>2015</v>
      </c>
      <c r="O1221" s="28" t="s">
        <v>2016</v>
      </c>
      <c r="P1221" s="29">
        <v>108</v>
      </c>
      <c r="Q1221" s="28" t="s">
        <v>2017</v>
      </c>
      <c r="R1221" s="21"/>
      <c r="S1221" s="21"/>
      <c r="T1221" s="21"/>
      <c r="U1221" s="21"/>
      <c r="V1221" s="21"/>
      <c r="W1221" s="21"/>
      <c r="X1221" s="21"/>
    </row>
    <row r="1222" spans="1:24" ht="15.75" thickBot="1" x14ac:dyDescent="0.3">
      <c r="A1222" t="str">
        <f t="shared" si="19"/>
        <v>ASYHS44645W6</v>
      </c>
      <c r="B1222" s="22" t="s">
        <v>5630</v>
      </c>
      <c r="C1222" s="22" t="s">
        <v>5626</v>
      </c>
      <c r="D1222" s="22" t="s">
        <v>5631</v>
      </c>
      <c r="E1222" s="22" t="s">
        <v>5628</v>
      </c>
      <c r="F1222" s="22" t="s">
        <v>5629</v>
      </c>
      <c r="G1222" s="28" t="s">
        <v>2012</v>
      </c>
      <c r="H1222" s="22" t="s">
        <v>2080</v>
      </c>
      <c r="I1222" s="21"/>
      <c r="J1222" s="22" t="s">
        <v>494</v>
      </c>
      <c r="K1222" s="22" t="s">
        <v>924</v>
      </c>
      <c r="L1222" s="21"/>
      <c r="M1222" s="22" t="s">
        <v>2034</v>
      </c>
      <c r="N1222" s="28" t="s">
        <v>2015</v>
      </c>
      <c r="O1222" s="28" t="s">
        <v>2016</v>
      </c>
      <c r="P1222" s="29">
        <v>92</v>
      </c>
      <c r="Q1222" s="28" t="s">
        <v>2017</v>
      </c>
      <c r="R1222" s="21"/>
      <c r="S1222" s="21"/>
      <c r="T1222" s="21"/>
      <c r="U1222" s="21"/>
      <c r="V1222" s="21"/>
      <c r="W1222" s="21"/>
      <c r="X1222" s="21"/>
    </row>
    <row r="1223" spans="1:24" ht="15.75" thickBot="1" x14ac:dyDescent="0.3">
      <c r="A1223" t="str">
        <f t="shared" si="19"/>
        <v>ASYHS45A64W15</v>
      </c>
      <c r="B1223" s="22" t="s">
        <v>5632</v>
      </c>
      <c r="C1223" s="22" t="s">
        <v>5556</v>
      </c>
      <c r="D1223" s="22" t="s">
        <v>5633</v>
      </c>
      <c r="E1223" s="22" t="s">
        <v>5634</v>
      </c>
      <c r="F1223" s="22" t="s">
        <v>5635</v>
      </c>
      <c r="G1223" s="28" t="s">
        <v>2012</v>
      </c>
      <c r="H1223" s="22" t="s">
        <v>2055</v>
      </c>
      <c r="I1223" s="21"/>
      <c r="J1223" s="22" t="s">
        <v>494</v>
      </c>
      <c r="K1223" s="22" t="s">
        <v>924</v>
      </c>
      <c r="L1223" s="21"/>
      <c r="M1223" s="22" t="s">
        <v>2034</v>
      </c>
      <c r="N1223" s="28" t="s">
        <v>2015</v>
      </c>
      <c r="O1223" s="28" t="s">
        <v>2016</v>
      </c>
      <c r="P1223" s="29">
        <v>187</v>
      </c>
      <c r="Q1223" s="28" t="s">
        <v>2017</v>
      </c>
      <c r="R1223" s="21"/>
      <c r="S1223" s="21"/>
      <c r="T1223" s="21"/>
      <c r="U1223" s="21"/>
      <c r="V1223" s="21"/>
      <c r="W1223" s="21"/>
      <c r="X1223" s="21"/>
    </row>
    <row r="1224" spans="1:24" ht="15.75" thickBot="1" x14ac:dyDescent="0.3">
      <c r="A1224" t="str">
        <f t="shared" si="19"/>
        <v>ASYHS45A65W15</v>
      </c>
      <c r="B1224" s="22" t="s">
        <v>5636</v>
      </c>
      <c r="C1224" s="22" t="s">
        <v>5561</v>
      </c>
      <c r="D1224" s="22" t="s">
        <v>5637</v>
      </c>
      <c r="E1224" s="22" t="s">
        <v>5638</v>
      </c>
      <c r="F1224" s="22" t="s">
        <v>5639</v>
      </c>
      <c r="G1224" s="28" t="s">
        <v>2012</v>
      </c>
      <c r="H1224" s="22" t="s">
        <v>2055</v>
      </c>
      <c r="I1224" s="21"/>
      <c r="J1224" s="22" t="s">
        <v>494</v>
      </c>
      <c r="K1224" s="22" t="s">
        <v>924</v>
      </c>
      <c r="L1224" s="21"/>
      <c r="M1224" s="22" t="s">
        <v>2034</v>
      </c>
      <c r="N1224" s="28" t="s">
        <v>2015</v>
      </c>
      <c r="O1224" s="28" t="s">
        <v>2016</v>
      </c>
      <c r="P1224" s="29">
        <v>100</v>
      </c>
      <c r="Q1224" s="28" t="s">
        <v>2017</v>
      </c>
      <c r="R1224" s="21"/>
      <c r="S1224" s="21"/>
      <c r="T1224" s="21"/>
      <c r="U1224" s="21"/>
      <c r="V1224" s="21"/>
      <c r="W1224" s="21"/>
      <c r="X1224" s="21"/>
    </row>
    <row r="1225" spans="1:24" ht="15.75" thickBot="1" x14ac:dyDescent="0.3">
      <c r="A1225" t="str">
        <f t="shared" si="19"/>
        <v>ASYHS49D58W18</v>
      </c>
      <c r="B1225" s="22" t="s">
        <v>5640</v>
      </c>
      <c r="C1225" s="22" t="s">
        <v>4160</v>
      </c>
      <c r="D1225" s="22" t="s">
        <v>5641</v>
      </c>
      <c r="E1225" s="22" t="s">
        <v>5642</v>
      </c>
      <c r="F1225" s="22" t="s">
        <v>5643</v>
      </c>
      <c r="G1225" s="28" t="s">
        <v>2012</v>
      </c>
      <c r="H1225" s="22" t="s">
        <v>2055</v>
      </c>
      <c r="I1225" s="21"/>
      <c r="J1225" s="22" t="s">
        <v>494</v>
      </c>
      <c r="K1225" s="22" t="s">
        <v>924</v>
      </c>
      <c r="L1225" s="21"/>
      <c r="M1225" s="22" t="s">
        <v>2034</v>
      </c>
      <c r="N1225" s="28" t="s">
        <v>2015</v>
      </c>
      <c r="O1225" s="28" t="s">
        <v>2016</v>
      </c>
      <c r="P1225" s="29">
        <v>594</v>
      </c>
      <c r="Q1225" s="28" t="s">
        <v>2017</v>
      </c>
      <c r="R1225" s="21"/>
      <c r="S1225" s="21"/>
      <c r="T1225" s="21"/>
      <c r="U1225" s="21"/>
      <c r="V1225" s="21"/>
      <c r="W1225" s="21"/>
      <c r="X1225" s="21"/>
    </row>
    <row r="1226" spans="1:24" ht="15.75" thickBot="1" x14ac:dyDescent="0.3">
      <c r="A1226" t="str">
        <f t="shared" si="19"/>
        <v>ASYHS49D58W22</v>
      </c>
      <c r="B1226" s="22" t="s">
        <v>5644</v>
      </c>
      <c r="C1226" s="22" t="s">
        <v>5645</v>
      </c>
      <c r="D1226" s="22" t="s">
        <v>1705</v>
      </c>
      <c r="E1226" s="22" t="s">
        <v>5646</v>
      </c>
      <c r="F1226" s="22" t="s">
        <v>5647</v>
      </c>
      <c r="G1226" s="28" t="s">
        <v>2012</v>
      </c>
      <c r="H1226" s="22" t="s">
        <v>2055</v>
      </c>
      <c r="I1226" s="21"/>
      <c r="J1226" s="22" t="s">
        <v>261</v>
      </c>
      <c r="K1226" s="22" t="s">
        <v>924</v>
      </c>
      <c r="L1226" s="21"/>
      <c r="M1226" s="22" t="s">
        <v>2034</v>
      </c>
      <c r="N1226" s="28" t="s">
        <v>2015</v>
      </c>
      <c r="O1226" s="28" t="s">
        <v>2016</v>
      </c>
      <c r="P1226" s="29">
        <v>323</v>
      </c>
      <c r="Q1226" s="28" t="s">
        <v>2017</v>
      </c>
      <c r="R1226" s="21"/>
      <c r="S1226" s="21"/>
      <c r="T1226" s="21"/>
      <c r="U1226" s="21"/>
      <c r="V1226" s="21"/>
      <c r="W1226" s="21"/>
      <c r="X1226" s="21"/>
    </row>
    <row r="1227" spans="1:24" ht="15.75" thickBot="1" x14ac:dyDescent="0.3">
      <c r="A1227" t="str">
        <f t="shared" si="19"/>
        <v>ASYHS49D59W15W18</v>
      </c>
      <c r="B1227" s="22" t="s">
        <v>5648</v>
      </c>
      <c r="C1227" s="22" t="s">
        <v>5649</v>
      </c>
      <c r="D1227" s="22" t="s">
        <v>5650</v>
      </c>
      <c r="E1227" s="22" t="s">
        <v>5651</v>
      </c>
      <c r="F1227" s="22" t="s">
        <v>5652</v>
      </c>
      <c r="G1227" s="28" t="s">
        <v>2012</v>
      </c>
      <c r="H1227" s="22" t="s">
        <v>2055</v>
      </c>
      <c r="I1227" s="21"/>
      <c r="J1227" s="22" t="s">
        <v>494</v>
      </c>
      <c r="K1227" s="22" t="s">
        <v>924</v>
      </c>
      <c r="L1227" s="21"/>
      <c r="M1227" s="22" t="s">
        <v>2034</v>
      </c>
      <c r="N1227" s="28" t="s">
        <v>2015</v>
      </c>
      <c r="O1227" s="28" t="s">
        <v>2016</v>
      </c>
      <c r="P1227" s="29">
        <v>256</v>
      </c>
      <c r="Q1227" s="28" t="s">
        <v>2017</v>
      </c>
      <c r="R1227" s="21"/>
      <c r="S1227" s="21"/>
      <c r="T1227" s="21"/>
      <c r="U1227" s="21"/>
      <c r="V1227" s="21"/>
      <c r="W1227" s="21"/>
      <c r="X1227" s="21"/>
    </row>
    <row r="1228" spans="1:24" ht="15.75" thickBot="1" x14ac:dyDescent="0.3">
      <c r="A1228" t="str">
        <f t="shared" si="19"/>
        <v>ASYHS49D59W21</v>
      </c>
      <c r="B1228" s="22" t="s">
        <v>5653</v>
      </c>
      <c r="C1228" s="22" t="s">
        <v>5654</v>
      </c>
      <c r="D1228" s="22" t="s">
        <v>1707</v>
      </c>
      <c r="E1228" s="22" t="s">
        <v>5655</v>
      </c>
      <c r="F1228" s="22" t="s">
        <v>5656</v>
      </c>
      <c r="G1228" s="28" t="s">
        <v>2012</v>
      </c>
      <c r="H1228" s="22" t="s">
        <v>2055</v>
      </c>
      <c r="I1228" s="21"/>
      <c r="J1228" s="22" t="s">
        <v>261</v>
      </c>
      <c r="K1228" s="22" t="s">
        <v>924</v>
      </c>
      <c r="L1228" s="21"/>
      <c r="M1228" s="22" t="s">
        <v>2034</v>
      </c>
      <c r="N1228" s="28" t="s">
        <v>2015</v>
      </c>
      <c r="O1228" s="28" t="s">
        <v>2016</v>
      </c>
      <c r="P1228" s="29">
        <v>0</v>
      </c>
      <c r="Q1228" s="28" t="s">
        <v>2017</v>
      </c>
      <c r="R1228" s="21"/>
      <c r="S1228" s="21"/>
      <c r="T1228" s="21"/>
      <c r="U1228" s="21"/>
      <c r="V1228" s="21"/>
      <c r="W1228" s="21"/>
      <c r="X1228" s="21"/>
    </row>
    <row r="1229" spans="1:24" ht="15.75" thickBot="1" x14ac:dyDescent="0.3">
      <c r="A1229" t="str">
        <f t="shared" si="19"/>
        <v>ASYHS4C142W3</v>
      </c>
      <c r="B1229" s="22" t="s">
        <v>5657</v>
      </c>
      <c r="C1229" s="22" t="s">
        <v>5566</v>
      </c>
      <c r="D1229" s="22" t="s">
        <v>5658</v>
      </c>
      <c r="E1229" s="22" t="s">
        <v>5659</v>
      </c>
      <c r="F1229" s="22" t="s">
        <v>5660</v>
      </c>
      <c r="G1229" s="28" t="s">
        <v>2012</v>
      </c>
      <c r="H1229" s="22" t="s">
        <v>2055</v>
      </c>
      <c r="I1229" s="21"/>
      <c r="J1229" s="22" t="s">
        <v>494</v>
      </c>
      <c r="K1229" s="22" t="s">
        <v>924</v>
      </c>
      <c r="L1229" s="21"/>
      <c r="M1229" s="22" t="s">
        <v>2034</v>
      </c>
      <c r="N1229" s="28" t="s">
        <v>2015</v>
      </c>
      <c r="O1229" s="28" t="s">
        <v>2016</v>
      </c>
      <c r="P1229" s="29">
        <v>200</v>
      </c>
      <c r="Q1229" s="28" t="s">
        <v>2017</v>
      </c>
      <c r="R1229" s="21"/>
      <c r="S1229" s="21"/>
      <c r="T1229" s="21"/>
      <c r="U1229" s="21"/>
      <c r="V1229" s="21"/>
      <c r="W1229" s="21"/>
      <c r="X1229" s="21"/>
    </row>
    <row r="1230" spans="1:24" ht="15.75" thickBot="1" x14ac:dyDescent="0.3">
      <c r="A1230" t="str">
        <f t="shared" si="19"/>
        <v>ASYHS4C143W3</v>
      </c>
      <c r="B1230" s="22" t="s">
        <v>5661</v>
      </c>
      <c r="C1230" s="22" t="s">
        <v>5566</v>
      </c>
      <c r="D1230" s="22" t="s">
        <v>5662</v>
      </c>
      <c r="E1230" s="22" t="s">
        <v>5663</v>
      </c>
      <c r="F1230" s="22" t="s">
        <v>5664</v>
      </c>
      <c r="G1230" s="28" t="s">
        <v>2012</v>
      </c>
      <c r="H1230" s="22" t="s">
        <v>2055</v>
      </c>
      <c r="I1230" s="21"/>
      <c r="J1230" s="22" t="s">
        <v>494</v>
      </c>
      <c r="K1230" s="22" t="s">
        <v>924</v>
      </c>
      <c r="L1230" s="21"/>
      <c r="M1230" s="22" t="s">
        <v>2034</v>
      </c>
      <c r="N1230" s="28" t="s">
        <v>2015</v>
      </c>
      <c r="O1230" s="28" t="s">
        <v>2016</v>
      </c>
      <c r="P1230" s="29">
        <v>328</v>
      </c>
      <c r="Q1230" s="28" t="s">
        <v>2017</v>
      </c>
      <c r="R1230" s="21"/>
      <c r="S1230" s="21"/>
      <c r="T1230" s="21"/>
      <c r="U1230" s="21"/>
      <c r="V1230" s="21"/>
      <c r="W1230" s="21"/>
      <c r="X1230" s="21"/>
    </row>
    <row r="1231" spans="1:24" ht="15.75" thickBot="1" x14ac:dyDescent="0.3">
      <c r="A1231" t="str">
        <f t="shared" si="19"/>
        <v>ASYHS50W66W18</v>
      </c>
      <c r="B1231" s="22" t="s">
        <v>5665</v>
      </c>
      <c r="C1231" s="22" t="s">
        <v>4160</v>
      </c>
      <c r="D1231" s="22" t="s">
        <v>5666</v>
      </c>
      <c r="E1231" s="22" t="s">
        <v>4160</v>
      </c>
      <c r="F1231" s="22" t="s">
        <v>5667</v>
      </c>
      <c r="G1231" s="28" t="s">
        <v>2012</v>
      </c>
      <c r="H1231" s="22" t="s">
        <v>2055</v>
      </c>
      <c r="I1231" s="21"/>
      <c r="J1231" s="22" t="s">
        <v>494</v>
      </c>
      <c r="K1231" s="22" t="s">
        <v>924</v>
      </c>
      <c r="L1231" s="21"/>
      <c r="M1231" s="22" t="s">
        <v>2034</v>
      </c>
      <c r="N1231" s="28" t="s">
        <v>2015</v>
      </c>
      <c r="O1231" s="28" t="s">
        <v>2016</v>
      </c>
      <c r="P1231" s="29">
        <v>712</v>
      </c>
      <c r="Q1231" s="28" t="s">
        <v>2017</v>
      </c>
      <c r="R1231" s="21"/>
      <c r="S1231" s="21"/>
      <c r="T1231" s="21"/>
      <c r="U1231" s="21"/>
      <c r="V1231" s="21"/>
      <c r="W1231" s="21"/>
      <c r="X1231" s="21"/>
    </row>
    <row r="1232" spans="1:24" ht="15.75" thickBot="1" x14ac:dyDescent="0.3">
      <c r="A1232" t="str">
        <f t="shared" si="19"/>
        <v>ASYHS50W67W18</v>
      </c>
      <c r="B1232" s="22" t="s">
        <v>5668</v>
      </c>
      <c r="C1232" s="22" t="s">
        <v>5649</v>
      </c>
      <c r="D1232" s="22" t="s">
        <v>5669</v>
      </c>
      <c r="E1232" s="22" t="s">
        <v>5649</v>
      </c>
      <c r="F1232" s="22" t="s">
        <v>5670</v>
      </c>
      <c r="G1232" s="28" t="s">
        <v>2012</v>
      </c>
      <c r="H1232" s="22" t="s">
        <v>2055</v>
      </c>
      <c r="I1232" s="21"/>
      <c r="J1232" s="22" t="s">
        <v>494</v>
      </c>
      <c r="K1232" s="22" t="s">
        <v>924</v>
      </c>
      <c r="L1232" s="21"/>
      <c r="M1232" s="22" t="s">
        <v>2034</v>
      </c>
      <c r="N1232" s="28" t="s">
        <v>2015</v>
      </c>
      <c r="O1232" s="28" t="s">
        <v>2016</v>
      </c>
      <c r="P1232" s="29">
        <v>676</v>
      </c>
      <c r="Q1232" s="28" t="s">
        <v>2017</v>
      </c>
      <c r="R1232" s="21"/>
      <c r="S1232" s="21"/>
      <c r="T1232" s="21"/>
      <c r="U1232" s="21"/>
      <c r="V1232" s="21"/>
      <c r="W1232" s="21"/>
      <c r="X1232" s="21"/>
    </row>
    <row r="1233" spans="1:24" ht="15.75" thickBot="1" x14ac:dyDescent="0.3">
      <c r="A1233" t="str">
        <f t="shared" si="19"/>
        <v>ASYHS51A40W16</v>
      </c>
      <c r="B1233" s="22" t="s">
        <v>5671</v>
      </c>
      <c r="C1233" s="22" t="s">
        <v>5601</v>
      </c>
      <c r="D1233" s="22" t="s">
        <v>5672</v>
      </c>
      <c r="E1233" s="22" t="s">
        <v>5673</v>
      </c>
      <c r="F1233" s="22" t="s">
        <v>5674</v>
      </c>
      <c r="G1233" s="28" t="s">
        <v>2012</v>
      </c>
      <c r="H1233" s="22" t="s">
        <v>2080</v>
      </c>
      <c r="I1233" s="21"/>
      <c r="J1233" s="22" t="s">
        <v>494</v>
      </c>
      <c r="K1233" s="22" t="s">
        <v>924</v>
      </c>
      <c r="L1233" s="21"/>
      <c r="M1233" s="22" t="s">
        <v>2034</v>
      </c>
      <c r="N1233" s="28" t="s">
        <v>2015</v>
      </c>
      <c r="O1233" s="28" t="s">
        <v>2016</v>
      </c>
      <c r="P1233" s="29">
        <v>100</v>
      </c>
      <c r="Q1233" s="28" t="s">
        <v>2017</v>
      </c>
      <c r="R1233" s="21"/>
      <c r="S1233" s="21"/>
      <c r="T1233" s="21"/>
      <c r="U1233" s="21"/>
      <c r="V1233" s="21"/>
      <c r="W1233" s="21"/>
      <c r="X1233" s="21"/>
    </row>
    <row r="1234" spans="1:24" ht="15.75" thickBot="1" x14ac:dyDescent="0.3">
      <c r="A1234" t="str">
        <f t="shared" si="19"/>
        <v>ASYHS51A41W16</v>
      </c>
      <c r="B1234" s="22" t="s">
        <v>5675</v>
      </c>
      <c r="C1234" s="22" t="s">
        <v>5601</v>
      </c>
      <c r="D1234" s="22" t="s">
        <v>5676</v>
      </c>
      <c r="E1234" s="22" t="s">
        <v>5677</v>
      </c>
      <c r="F1234" s="22" t="s">
        <v>5678</v>
      </c>
      <c r="G1234" s="28" t="s">
        <v>2012</v>
      </c>
      <c r="H1234" s="22" t="s">
        <v>2080</v>
      </c>
      <c r="I1234" s="21"/>
      <c r="J1234" s="22" t="s">
        <v>494</v>
      </c>
      <c r="K1234" s="22" t="s">
        <v>924</v>
      </c>
      <c r="L1234" s="21"/>
      <c r="M1234" s="22" t="s">
        <v>2034</v>
      </c>
      <c r="N1234" s="28" t="s">
        <v>2015</v>
      </c>
      <c r="O1234" s="28" t="s">
        <v>2016</v>
      </c>
      <c r="P1234" s="29">
        <v>100</v>
      </c>
      <c r="Q1234" s="28" t="s">
        <v>2017</v>
      </c>
      <c r="R1234" s="21"/>
      <c r="S1234" s="21"/>
      <c r="T1234" s="21"/>
      <c r="U1234" s="21"/>
      <c r="V1234" s="21"/>
      <c r="W1234" s="21"/>
      <c r="X1234" s="21"/>
    </row>
    <row r="1235" spans="1:24" ht="15.75" thickBot="1" x14ac:dyDescent="0.3">
      <c r="A1235" t="str">
        <f t="shared" si="19"/>
        <v>ASYHS51C08W16</v>
      </c>
      <c r="B1235" s="22" t="s">
        <v>5679</v>
      </c>
      <c r="C1235" s="22" t="s">
        <v>5601</v>
      </c>
      <c r="D1235" s="22" t="s">
        <v>5680</v>
      </c>
      <c r="E1235" s="22" t="s">
        <v>5681</v>
      </c>
      <c r="F1235" s="22" t="s">
        <v>5682</v>
      </c>
      <c r="G1235" s="28" t="s">
        <v>2012</v>
      </c>
      <c r="H1235" s="22" t="s">
        <v>2080</v>
      </c>
      <c r="I1235" s="21"/>
      <c r="J1235" s="22" t="s">
        <v>494</v>
      </c>
      <c r="K1235" s="22" t="s">
        <v>924</v>
      </c>
      <c r="L1235" s="21"/>
      <c r="M1235" s="22" t="s">
        <v>2034</v>
      </c>
      <c r="N1235" s="28" t="s">
        <v>2015</v>
      </c>
      <c r="O1235" s="28" t="s">
        <v>2016</v>
      </c>
      <c r="P1235" s="29">
        <v>411</v>
      </c>
      <c r="Q1235" s="28" t="s">
        <v>2017</v>
      </c>
      <c r="R1235" s="21"/>
      <c r="S1235" s="21"/>
      <c r="T1235" s="21"/>
      <c r="U1235" s="21"/>
      <c r="V1235" s="21"/>
      <c r="W1235" s="21"/>
      <c r="X1235" s="21"/>
    </row>
    <row r="1236" spans="1:24" ht="15.75" thickBot="1" x14ac:dyDescent="0.3">
      <c r="A1236" t="str">
        <f t="shared" si="19"/>
        <v>ASYHS54B02W16</v>
      </c>
      <c r="B1236" s="22" t="s">
        <v>5683</v>
      </c>
      <c r="C1236" s="22" t="s">
        <v>4160</v>
      </c>
      <c r="D1236" s="22" t="s">
        <v>5684</v>
      </c>
      <c r="E1236" s="22" t="s">
        <v>5685</v>
      </c>
      <c r="F1236" s="22" t="s">
        <v>5686</v>
      </c>
      <c r="G1236" s="28" t="s">
        <v>2012</v>
      </c>
      <c r="H1236" s="22" t="s">
        <v>2055</v>
      </c>
      <c r="I1236" s="21"/>
      <c r="J1236" s="22" t="s">
        <v>494</v>
      </c>
      <c r="K1236" s="22" t="s">
        <v>924</v>
      </c>
      <c r="L1236" s="21"/>
      <c r="M1236" s="22" t="s">
        <v>2034</v>
      </c>
      <c r="N1236" s="28" t="s">
        <v>2015</v>
      </c>
      <c r="O1236" s="28" t="s">
        <v>2016</v>
      </c>
      <c r="P1236" s="29">
        <v>3871</v>
      </c>
      <c r="Q1236" s="28" t="s">
        <v>2017</v>
      </c>
      <c r="R1236" s="21"/>
      <c r="S1236" s="21"/>
      <c r="T1236" s="21"/>
      <c r="U1236" s="21"/>
      <c r="V1236" s="21"/>
      <c r="W1236" s="21"/>
      <c r="X1236" s="21"/>
    </row>
    <row r="1237" spans="1:24" ht="15.75" thickBot="1" x14ac:dyDescent="0.3">
      <c r="A1237" t="str">
        <f t="shared" si="19"/>
        <v>ASYHS58226W3</v>
      </c>
      <c r="B1237" s="22" t="s">
        <v>5687</v>
      </c>
      <c r="C1237" s="22" t="s">
        <v>5566</v>
      </c>
      <c r="D1237" s="22" t="s">
        <v>5688</v>
      </c>
      <c r="E1237" s="22" t="s">
        <v>5689</v>
      </c>
      <c r="F1237" s="22" t="s">
        <v>5690</v>
      </c>
      <c r="G1237" s="28" t="s">
        <v>2012</v>
      </c>
      <c r="H1237" s="22" t="s">
        <v>2055</v>
      </c>
      <c r="I1237" s="21"/>
      <c r="J1237" s="22" t="s">
        <v>494</v>
      </c>
      <c r="K1237" s="22" t="s">
        <v>924</v>
      </c>
      <c r="L1237" s="21"/>
      <c r="M1237" s="22" t="s">
        <v>2034</v>
      </c>
      <c r="N1237" s="28" t="s">
        <v>2015</v>
      </c>
      <c r="O1237" s="28" t="s">
        <v>2016</v>
      </c>
      <c r="P1237" s="29">
        <v>786</v>
      </c>
      <c r="Q1237" s="28" t="s">
        <v>2017</v>
      </c>
      <c r="R1237" s="21"/>
      <c r="S1237" s="21"/>
      <c r="T1237" s="21"/>
      <c r="U1237" s="21"/>
      <c r="V1237" s="21"/>
      <c r="W1237" s="21"/>
      <c r="X1237" s="21"/>
    </row>
    <row r="1238" spans="1:24" ht="15.75" thickBot="1" x14ac:dyDescent="0.3">
      <c r="A1238" t="str">
        <f t="shared" si="19"/>
        <v>ASYHS58227W3</v>
      </c>
      <c r="B1238" s="22" t="s">
        <v>5691</v>
      </c>
      <c r="C1238" s="22" t="s">
        <v>5566</v>
      </c>
      <c r="D1238" s="22" t="s">
        <v>5692</v>
      </c>
      <c r="E1238" s="22" t="s">
        <v>5693</v>
      </c>
      <c r="F1238" s="22" t="s">
        <v>5694</v>
      </c>
      <c r="G1238" s="28" t="s">
        <v>2012</v>
      </c>
      <c r="H1238" s="22" t="s">
        <v>2055</v>
      </c>
      <c r="I1238" s="21"/>
      <c r="J1238" s="22" t="s">
        <v>494</v>
      </c>
      <c r="K1238" s="22" t="s">
        <v>924</v>
      </c>
      <c r="L1238" s="21"/>
      <c r="M1238" s="22" t="s">
        <v>2034</v>
      </c>
      <c r="N1238" s="28" t="s">
        <v>2015</v>
      </c>
      <c r="O1238" s="28" t="s">
        <v>2016</v>
      </c>
      <c r="P1238" s="29">
        <v>2962</v>
      </c>
      <c r="Q1238" s="28" t="s">
        <v>2017</v>
      </c>
      <c r="R1238" s="21"/>
      <c r="S1238" s="21"/>
      <c r="T1238" s="21"/>
      <c r="U1238" s="21"/>
      <c r="V1238" s="21"/>
      <c r="W1238" s="21"/>
      <c r="X1238" s="21"/>
    </row>
    <row r="1239" spans="1:24" ht="15.75" thickBot="1" x14ac:dyDescent="0.3">
      <c r="A1239" t="str">
        <f t="shared" si="19"/>
        <v>ASYHS60A36W7</v>
      </c>
      <c r="B1239" s="22" t="s">
        <v>5695</v>
      </c>
      <c r="C1239" s="22" t="s">
        <v>5626</v>
      </c>
      <c r="D1239" s="22" t="s">
        <v>5696</v>
      </c>
      <c r="E1239" s="22" t="s">
        <v>5697</v>
      </c>
      <c r="F1239" s="22" t="s">
        <v>5698</v>
      </c>
      <c r="G1239" s="28" t="s">
        <v>2012</v>
      </c>
      <c r="H1239" s="22" t="s">
        <v>2080</v>
      </c>
      <c r="I1239" s="21"/>
      <c r="J1239" s="22" t="s">
        <v>494</v>
      </c>
      <c r="K1239" s="22" t="s">
        <v>924</v>
      </c>
      <c r="L1239" s="21"/>
      <c r="M1239" s="22" t="s">
        <v>2034</v>
      </c>
      <c r="N1239" s="28" t="s">
        <v>2015</v>
      </c>
      <c r="O1239" s="28" t="s">
        <v>2016</v>
      </c>
      <c r="P1239" s="29">
        <v>315</v>
      </c>
      <c r="Q1239" s="28" t="s">
        <v>2017</v>
      </c>
      <c r="R1239" s="21"/>
      <c r="S1239" s="21"/>
      <c r="T1239" s="21"/>
      <c r="U1239" s="21"/>
      <c r="V1239" s="21"/>
      <c r="W1239" s="21"/>
      <c r="X1239" s="21"/>
    </row>
    <row r="1240" spans="1:24" ht="15.75" thickBot="1" x14ac:dyDescent="0.3">
      <c r="A1240" t="str">
        <f t="shared" si="19"/>
        <v>ASYHS61022W16</v>
      </c>
      <c r="B1240" s="22" t="s">
        <v>5699</v>
      </c>
      <c r="C1240" s="22" t="s">
        <v>4160</v>
      </c>
      <c r="D1240" s="22" t="s">
        <v>5700</v>
      </c>
      <c r="E1240" s="22" t="s">
        <v>5701</v>
      </c>
      <c r="F1240" s="22" t="s">
        <v>5702</v>
      </c>
      <c r="G1240" s="28" t="s">
        <v>2012</v>
      </c>
      <c r="H1240" s="22" t="s">
        <v>2055</v>
      </c>
      <c r="I1240" s="21"/>
      <c r="J1240" s="22" t="s">
        <v>494</v>
      </c>
      <c r="K1240" s="22" t="s">
        <v>924</v>
      </c>
      <c r="L1240" s="21"/>
      <c r="M1240" s="22" t="s">
        <v>2034</v>
      </c>
      <c r="N1240" s="28" t="s">
        <v>2015</v>
      </c>
      <c r="O1240" s="28" t="s">
        <v>2016</v>
      </c>
      <c r="P1240" s="29">
        <v>436</v>
      </c>
      <c r="Q1240" s="28" t="s">
        <v>2017</v>
      </c>
      <c r="R1240" s="21"/>
      <c r="S1240" s="21"/>
      <c r="T1240" s="21"/>
      <c r="U1240" s="21"/>
      <c r="V1240" s="21"/>
      <c r="W1240" s="21"/>
      <c r="X1240" s="21"/>
    </row>
    <row r="1241" spans="1:24" ht="15.75" thickBot="1" x14ac:dyDescent="0.3">
      <c r="A1241" t="str">
        <f t="shared" si="19"/>
        <v>ASYHS61023W16</v>
      </c>
      <c r="B1241" s="22" t="s">
        <v>5703</v>
      </c>
      <c r="C1241" s="22" t="s">
        <v>5649</v>
      </c>
      <c r="D1241" s="22" t="s">
        <v>5704</v>
      </c>
      <c r="E1241" s="22" t="s">
        <v>5705</v>
      </c>
      <c r="F1241" s="22" t="s">
        <v>5706</v>
      </c>
      <c r="G1241" s="28" t="s">
        <v>2012</v>
      </c>
      <c r="H1241" s="22" t="s">
        <v>2055</v>
      </c>
      <c r="I1241" s="21"/>
      <c r="J1241" s="22" t="s">
        <v>494</v>
      </c>
      <c r="K1241" s="22" t="s">
        <v>924</v>
      </c>
      <c r="L1241" s="21"/>
      <c r="M1241" s="22" t="s">
        <v>2034</v>
      </c>
      <c r="N1241" s="28" t="s">
        <v>2015</v>
      </c>
      <c r="O1241" s="28" t="s">
        <v>2016</v>
      </c>
      <c r="P1241" s="29">
        <v>188</v>
      </c>
      <c r="Q1241" s="28" t="s">
        <v>2017</v>
      </c>
      <c r="R1241" s="21"/>
      <c r="S1241" s="21"/>
      <c r="T1241" s="21"/>
      <c r="U1241" s="21"/>
      <c r="V1241" s="21"/>
      <c r="W1241" s="21"/>
      <c r="X1241" s="21"/>
    </row>
    <row r="1242" spans="1:24" ht="15.75" thickBot="1" x14ac:dyDescent="0.3">
      <c r="A1242" t="str">
        <f t="shared" si="19"/>
        <v>ASYHS61057W16</v>
      </c>
      <c r="B1242" s="22" t="s">
        <v>5707</v>
      </c>
      <c r="C1242" s="22" t="s">
        <v>5649</v>
      </c>
      <c r="D1242" s="22" t="s">
        <v>5708</v>
      </c>
      <c r="E1242" s="22" t="s">
        <v>5709</v>
      </c>
      <c r="F1242" s="22" t="s">
        <v>5710</v>
      </c>
      <c r="G1242" s="28" t="s">
        <v>2012</v>
      </c>
      <c r="H1242" s="22" t="s">
        <v>2055</v>
      </c>
      <c r="I1242" s="21"/>
      <c r="J1242" s="22" t="s">
        <v>494</v>
      </c>
      <c r="K1242" s="22" t="s">
        <v>924</v>
      </c>
      <c r="L1242" s="21"/>
      <c r="M1242" s="22" t="s">
        <v>2034</v>
      </c>
      <c r="N1242" s="28" t="s">
        <v>2015</v>
      </c>
      <c r="O1242" s="28" t="s">
        <v>2016</v>
      </c>
      <c r="P1242" s="29">
        <v>362</v>
      </c>
      <c r="Q1242" s="28" t="s">
        <v>2017</v>
      </c>
      <c r="R1242" s="21"/>
      <c r="S1242" s="21"/>
      <c r="T1242" s="21"/>
      <c r="U1242" s="21"/>
      <c r="V1242" s="21"/>
      <c r="W1242" s="21"/>
      <c r="X1242" s="21"/>
    </row>
    <row r="1243" spans="1:24" ht="15.75" thickBot="1" x14ac:dyDescent="0.3">
      <c r="A1243" t="str">
        <f t="shared" si="19"/>
        <v>ASYHS61A30W9AA</v>
      </c>
      <c r="B1243" s="22" t="s">
        <v>1727</v>
      </c>
      <c r="C1243" s="22" t="s">
        <v>5325</v>
      </c>
      <c r="D1243" s="22" t="s">
        <v>5711</v>
      </c>
      <c r="E1243" s="22" t="s">
        <v>5712</v>
      </c>
      <c r="F1243" s="22" t="s">
        <v>3003</v>
      </c>
      <c r="G1243" s="28" t="s">
        <v>2012</v>
      </c>
      <c r="H1243" s="22" t="s">
        <v>2080</v>
      </c>
      <c r="I1243" s="21"/>
      <c r="J1243" s="22" t="s">
        <v>261</v>
      </c>
      <c r="K1243" s="22" t="s">
        <v>924</v>
      </c>
      <c r="L1243" s="21"/>
      <c r="M1243" s="22" t="s">
        <v>2034</v>
      </c>
      <c r="N1243" s="28" t="s">
        <v>2015</v>
      </c>
      <c r="O1243" s="28" t="s">
        <v>2016</v>
      </c>
      <c r="P1243" s="29">
        <v>0</v>
      </c>
      <c r="Q1243" s="28" t="s">
        <v>2017</v>
      </c>
      <c r="R1243" s="41">
        <v>0</v>
      </c>
      <c r="S1243" s="29">
        <v>110</v>
      </c>
      <c r="T1243" s="32">
        <v>1.711111111111</v>
      </c>
      <c r="U1243" s="32">
        <v>0</v>
      </c>
      <c r="V1243" s="41">
        <v>0</v>
      </c>
      <c r="W1243" s="21"/>
      <c r="X1243" s="21"/>
    </row>
    <row r="1244" spans="1:24" ht="15.75" thickBot="1" x14ac:dyDescent="0.3">
      <c r="A1244" t="str">
        <f t="shared" si="19"/>
        <v>ASYHS61A31W8AA</v>
      </c>
      <c r="B1244" s="22" t="s">
        <v>1731</v>
      </c>
      <c r="C1244" s="22" t="s">
        <v>5327</v>
      </c>
      <c r="D1244" s="22" t="s">
        <v>5713</v>
      </c>
      <c r="E1244" s="22" t="s">
        <v>5712</v>
      </c>
      <c r="F1244" s="22" t="s">
        <v>5714</v>
      </c>
      <c r="G1244" s="28" t="s">
        <v>2012</v>
      </c>
      <c r="H1244" s="22" t="s">
        <v>2080</v>
      </c>
      <c r="I1244" s="21"/>
      <c r="J1244" s="22" t="s">
        <v>261</v>
      </c>
      <c r="K1244" s="22" t="s">
        <v>924</v>
      </c>
      <c r="L1244" s="21"/>
      <c r="M1244" s="22" t="s">
        <v>2034</v>
      </c>
      <c r="N1244" s="28" t="s">
        <v>2015</v>
      </c>
      <c r="O1244" s="28" t="s">
        <v>2016</v>
      </c>
      <c r="P1244" s="29">
        <v>0</v>
      </c>
      <c r="Q1244" s="28" t="s">
        <v>2017</v>
      </c>
      <c r="R1244" s="41">
        <v>0</v>
      </c>
      <c r="S1244" s="29">
        <v>110</v>
      </c>
      <c r="T1244" s="32">
        <v>1.711111111111</v>
      </c>
      <c r="U1244" s="32">
        <v>0</v>
      </c>
      <c r="V1244" s="41">
        <v>0</v>
      </c>
      <c r="W1244" s="21"/>
      <c r="X1244" s="21"/>
    </row>
    <row r="1245" spans="1:24" ht="15.75" thickBot="1" x14ac:dyDescent="0.3">
      <c r="A1245" t="str">
        <f t="shared" si="19"/>
        <v>ASYHS65K02W18</v>
      </c>
      <c r="B1245" s="22" t="s">
        <v>5715</v>
      </c>
      <c r="C1245" s="22" t="s">
        <v>5716</v>
      </c>
      <c r="D1245" s="22" t="s">
        <v>5717</v>
      </c>
      <c r="E1245" s="22" t="s">
        <v>5718</v>
      </c>
      <c r="F1245" s="22" t="s">
        <v>5719</v>
      </c>
      <c r="G1245" s="28" t="s">
        <v>2012</v>
      </c>
      <c r="H1245" s="22" t="s">
        <v>2055</v>
      </c>
      <c r="I1245" s="21"/>
      <c r="J1245" s="22" t="s">
        <v>494</v>
      </c>
      <c r="K1245" s="22" t="s">
        <v>924</v>
      </c>
      <c r="L1245" s="21"/>
      <c r="M1245" s="22" t="s">
        <v>2034</v>
      </c>
      <c r="N1245" s="28" t="s">
        <v>2015</v>
      </c>
      <c r="O1245" s="28" t="s">
        <v>2016</v>
      </c>
      <c r="P1245" s="29">
        <v>454</v>
      </c>
      <c r="Q1245" s="28" t="s">
        <v>2017</v>
      </c>
      <c r="R1245" s="21"/>
      <c r="S1245" s="21"/>
      <c r="T1245" s="21"/>
      <c r="U1245" s="21"/>
      <c r="V1245" s="21"/>
      <c r="W1245" s="21"/>
      <c r="X1245" s="21"/>
    </row>
    <row r="1246" spans="1:24" ht="15.75" thickBot="1" x14ac:dyDescent="0.3">
      <c r="A1246" t="str">
        <f t="shared" si="19"/>
        <v>ASYHS70744W17</v>
      </c>
      <c r="B1246" s="22" t="s">
        <v>5720</v>
      </c>
      <c r="C1246" s="22" t="s">
        <v>5721</v>
      </c>
      <c r="D1246" s="22" t="s">
        <v>5722</v>
      </c>
      <c r="E1246" s="22" t="s">
        <v>5723</v>
      </c>
      <c r="F1246" s="22" t="s">
        <v>5724</v>
      </c>
      <c r="G1246" s="28" t="s">
        <v>2012</v>
      </c>
      <c r="H1246" s="22" t="s">
        <v>2080</v>
      </c>
      <c r="I1246" s="21"/>
      <c r="J1246" s="22" t="s">
        <v>494</v>
      </c>
      <c r="K1246" s="22" t="s">
        <v>924</v>
      </c>
      <c r="L1246" s="21"/>
      <c r="M1246" s="22" t="s">
        <v>2034</v>
      </c>
      <c r="N1246" s="28" t="s">
        <v>2015</v>
      </c>
      <c r="O1246" s="28" t="s">
        <v>2016</v>
      </c>
      <c r="P1246" s="29">
        <v>230</v>
      </c>
      <c r="Q1246" s="28" t="s">
        <v>2017</v>
      </c>
      <c r="R1246" s="21"/>
      <c r="S1246" s="21"/>
      <c r="T1246" s="21"/>
      <c r="U1246" s="21"/>
      <c r="V1246" s="21"/>
      <c r="W1246" s="21"/>
      <c r="X1246" s="21"/>
    </row>
    <row r="1247" spans="1:24" ht="15.75" thickBot="1" x14ac:dyDescent="0.3">
      <c r="A1247" t="str">
        <f t="shared" si="19"/>
        <v>ASYHS71212W7</v>
      </c>
      <c r="B1247" s="22" t="s">
        <v>5725</v>
      </c>
      <c r="C1247" s="22" t="s">
        <v>5626</v>
      </c>
      <c r="D1247" s="22" t="s">
        <v>5726</v>
      </c>
      <c r="E1247" s="22" t="s">
        <v>5727</v>
      </c>
      <c r="F1247" s="22" t="s">
        <v>5728</v>
      </c>
      <c r="G1247" s="28" t="s">
        <v>2012</v>
      </c>
      <c r="H1247" s="22" t="s">
        <v>2080</v>
      </c>
      <c r="I1247" s="21"/>
      <c r="J1247" s="22" t="s">
        <v>494</v>
      </c>
      <c r="K1247" s="22" t="s">
        <v>924</v>
      </c>
      <c r="L1247" s="21"/>
      <c r="M1247" s="22" t="s">
        <v>2034</v>
      </c>
      <c r="N1247" s="28" t="s">
        <v>2015</v>
      </c>
      <c r="O1247" s="28" t="s">
        <v>2016</v>
      </c>
      <c r="P1247" s="29">
        <v>196</v>
      </c>
      <c r="Q1247" s="28" t="s">
        <v>2017</v>
      </c>
      <c r="R1247" s="21"/>
      <c r="S1247" s="21"/>
      <c r="T1247" s="21"/>
      <c r="U1247" s="21"/>
      <c r="V1247" s="21"/>
      <c r="W1247" s="21"/>
      <c r="X1247" s="21"/>
    </row>
    <row r="1248" spans="1:24" ht="15.75" thickBot="1" x14ac:dyDescent="0.3">
      <c r="A1248" t="str">
        <f t="shared" si="19"/>
        <v>ASYHS71213W6</v>
      </c>
      <c r="B1248" s="22" t="s">
        <v>5729</v>
      </c>
      <c r="C1248" s="22" t="s">
        <v>5730</v>
      </c>
      <c r="D1248" s="22" t="s">
        <v>5731</v>
      </c>
      <c r="E1248" s="22" t="s">
        <v>5732</v>
      </c>
      <c r="F1248" s="22" t="s">
        <v>5733</v>
      </c>
      <c r="G1248" s="28" t="s">
        <v>2012</v>
      </c>
      <c r="H1248" s="22" t="s">
        <v>2080</v>
      </c>
      <c r="I1248" s="21"/>
      <c r="J1248" s="22" t="s">
        <v>494</v>
      </c>
      <c r="K1248" s="22" t="s">
        <v>924</v>
      </c>
      <c r="L1248" s="21"/>
      <c r="M1248" s="22" t="s">
        <v>2034</v>
      </c>
      <c r="N1248" s="28" t="s">
        <v>2015</v>
      </c>
      <c r="O1248" s="28" t="s">
        <v>2016</v>
      </c>
      <c r="P1248" s="29">
        <v>108</v>
      </c>
      <c r="Q1248" s="28" t="s">
        <v>2017</v>
      </c>
      <c r="R1248" s="21"/>
      <c r="S1248" s="21"/>
      <c r="T1248" s="21"/>
      <c r="U1248" s="21"/>
      <c r="V1248" s="21"/>
      <c r="W1248" s="21"/>
      <c r="X1248" s="21"/>
    </row>
    <row r="1249" spans="1:24" ht="15.75" thickBot="1" x14ac:dyDescent="0.3">
      <c r="A1249" t="str">
        <f t="shared" si="19"/>
        <v>ASYHS77042BW2</v>
      </c>
      <c r="B1249" s="22" t="s">
        <v>5734</v>
      </c>
      <c r="C1249" s="22" t="s">
        <v>2063</v>
      </c>
      <c r="D1249" s="22" t="s">
        <v>5735</v>
      </c>
      <c r="E1249" s="22" t="s">
        <v>5736</v>
      </c>
      <c r="F1249" s="22" t="s">
        <v>5737</v>
      </c>
      <c r="G1249" s="28" t="s">
        <v>2012</v>
      </c>
      <c r="H1249" s="22" t="s">
        <v>2055</v>
      </c>
      <c r="I1249" s="21"/>
      <c r="J1249" s="22" t="s">
        <v>494</v>
      </c>
      <c r="K1249" s="22" t="s">
        <v>924</v>
      </c>
      <c r="L1249" s="21"/>
      <c r="M1249" s="22" t="s">
        <v>2034</v>
      </c>
      <c r="N1249" s="28" t="s">
        <v>2015</v>
      </c>
      <c r="O1249" s="28" t="s">
        <v>2016</v>
      </c>
      <c r="P1249" s="29">
        <v>96</v>
      </c>
      <c r="Q1249" s="28" t="s">
        <v>2017</v>
      </c>
      <c r="R1249" s="21"/>
      <c r="S1249" s="21"/>
      <c r="T1249" s="21"/>
      <c r="U1249" s="21"/>
      <c r="V1249" s="21"/>
      <c r="W1249" s="21"/>
      <c r="X1249" s="21"/>
    </row>
    <row r="1250" spans="1:24" ht="15.75" thickBot="1" x14ac:dyDescent="0.3">
      <c r="A1250" t="str">
        <f t="shared" si="19"/>
        <v>ASYHS77A97W14</v>
      </c>
      <c r="B1250" s="22" t="s">
        <v>5738</v>
      </c>
      <c r="C1250" s="22" t="s">
        <v>5739</v>
      </c>
      <c r="D1250" s="22" t="s">
        <v>5740</v>
      </c>
      <c r="E1250" s="22" t="s">
        <v>5741</v>
      </c>
      <c r="F1250" s="22" t="s">
        <v>5742</v>
      </c>
      <c r="G1250" s="28" t="s">
        <v>2012</v>
      </c>
      <c r="H1250" s="22" t="s">
        <v>2080</v>
      </c>
      <c r="I1250" s="21"/>
      <c r="J1250" s="22" t="s">
        <v>494</v>
      </c>
      <c r="K1250" s="22" t="s">
        <v>924</v>
      </c>
      <c r="L1250" s="21"/>
      <c r="M1250" s="22" t="s">
        <v>2034</v>
      </c>
      <c r="N1250" s="28" t="s">
        <v>2015</v>
      </c>
      <c r="O1250" s="28" t="s">
        <v>2016</v>
      </c>
      <c r="P1250" s="29">
        <v>200</v>
      </c>
      <c r="Q1250" s="28" t="s">
        <v>2017</v>
      </c>
      <c r="R1250" s="21"/>
      <c r="S1250" s="21"/>
      <c r="T1250" s="21"/>
      <c r="U1250" s="21"/>
      <c r="V1250" s="21"/>
      <c r="W1250" s="21"/>
      <c r="X1250" s="21"/>
    </row>
    <row r="1251" spans="1:24" ht="15.75" thickBot="1" x14ac:dyDescent="0.3">
      <c r="A1251" t="str">
        <f t="shared" si="19"/>
        <v>ASYHS77A97W14P703</v>
      </c>
      <c r="B1251" s="22" t="s">
        <v>1738</v>
      </c>
      <c r="C1251" s="22" t="s">
        <v>2056</v>
      </c>
      <c r="D1251" s="22" t="s">
        <v>5743</v>
      </c>
      <c r="E1251" s="22" t="s">
        <v>3735</v>
      </c>
      <c r="F1251" s="22" t="s">
        <v>5744</v>
      </c>
      <c r="G1251" s="28" t="s">
        <v>2012</v>
      </c>
      <c r="H1251" s="22" t="s">
        <v>2080</v>
      </c>
      <c r="I1251" s="21"/>
      <c r="J1251" s="22" t="s">
        <v>261</v>
      </c>
      <c r="K1251" s="22" t="s">
        <v>924</v>
      </c>
      <c r="L1251" s="21"/>
      <c r="M1251" s="22" t="s">
        <v>2034</v>
      </c>
      <c r="N1251" s="28" t="s">
        <v>2015</v>
      </c>
      <c r="O1251" s="28" t="s">
        <v>2016</v>
      </c>
      <c r="P1251" s="29">
        <v>314</v>
      </c>
      <c r="Q1251" s="28" t="s">
        <v>2017</v>
      </c>
      <c r="R1251" s="41">
        <v>0.327334137962</v>
      </c>
      <c r="S1251" s="29">
        <v>61667</v>
      </c>
      <c r="T1251" s="32">
        <v>959.26444444444405</v>
      </c>
      <c r="U1251" s="32">
        <v>0</v>
      </c>
      <c r="V1251" s="41">
        <v>0.327334137962</v>
      </c>
      <c r="W1251" s="21"/>
      <c r="X1251" s="21"/>
    </row>
    <row r="1252" spans="1:24" ht="15.75" thickBot="1" x14ac:dyDescent="0.3">
      <c r="A1252" t="str">
        <f t="shared" si="19"/>
        <v>ASYHS80106W2</v>
      </c>
      <c r="B1252" s="22" t="s">
        <v>5745</v>
      </c>
      <c r="C1252" s="22" t="s">
        <v>5575</v>
      </c>
      <c r="D1252" s="22" t="s">
        <v>5746</v>
      </c>
      <c r="E1252" s="22" t="s">
        <v>5747</v>
      </c>
      <c r="F1252" s="22" t="s">
        <v>5748</v>
      </c>
      <c r="G1252" s="28" t="s">
        <v>2012</v>
      </c>
      <c r="H1252" s="22" t="s">
        <v>2055</v>
      </c>
      <c r="I1252" s="21"/>
      <c r="J1252" s="22" t="s">
        <v>494</v>
      </c>
      <c r="K1252" s="22" t="s">
        <v>924</v>
      </c>
      <c r="L1252" s="21"/>
      <c r="M1252" s="22" t="s">
        <v>2034</v>
      </c>
      <c r="N1252" s="28" t="s">
        <v>2015</v>
      </c>
      <c r="O1252" s="28" t="s">
        <v>2016</v>
      </c>
      <c r="P1252" s="29">
        <v>98</v>
      </c>
      <c r="Q1252" s="28" t="s">
        <v>2017</v>
      </c>
      <c r="R1252" s="21"/>
      <c r="S1252" s="21"/>
      <c r="T1252" s="21"/>
      <c r="U1252" s="21"/>
      <c r="V1252" s="21"/>
      <c r="W1252" s="21"/>
      <c r="X1252" s="21"/>
    </row>
    <row r="1253" spans="1:24" ht="15.75" thickBot="1" x14ac:dyDescent="0.3">
      <c r="A1253" t="str">
        <f t="shared" si="19"/>
        <v>ASYHS80107W2</v>
      </c>
      <c r="B1253" s="22" t="s">
        <v>5749</v>
      </c>
      <c r="C1253" s="22" t="s">
        <v>5575</v>
      </c>
      <c r="D1253" s="22" t="s">
        <v>5750</v>
      </c>
      <c r="E1253" s="22" t="s">
        <v>5751</v>
      </c>
      <c r="F1253" s="22" t="s">
        <v>5752</v>
      </c>
      <c r="G1253" s="28" t="s">
        <v>2012</v>
      </c>
      <c r="H1253" s="22" t="s">
        <v>2080</v>
      </c>
      <c r="I1253" s="21"/>
      <c r="J1253" s="22" t="s">
        <v>494</v>
      </c>
      <c r="K1253" s="22" t="s">
        <v>924</v>
      </c>
      <c r="L1253" s="21"/>
      <c r="M1253" s="22" t="s">
        <v>2034</v>
      </c>
      <c r="N1253" s="28" t="s">
        <v>2015</v>
      </c>
      <c r="O1253" s="28" t="s">
        <v>2016</v>
      </c>
      <c r="P1253" s="29">
        <v>128</v>
      </c>
      <c r="Q1253" s="28" t="s">
        <v>2017</v>
      </c>
      <c r="R1253" s="21"/>
      <c r="S1253" s="21"/>
      <c r="T1253" s="21"/>
      <c r="U1253" s="21"/>
      <c r="V1253" s="21"/>
      <c r="W1253" s="21"/>
      <c r="X1253" s="21"/>
    </row>
    <row r="1254" spans="1:24" ht="15.75" thickBot="1" x14ac:dyDescent="0.3">
      <c r="A1254" t="str">
        <f t="shared" si="19"/>
        <v>ASYHS87A60W11W19</v>
      </c>
      <c r="B1254" s="22" t="s">
        <v>5753</v>
      </c>
      <c r="C1254" s="22" t="s">
        <v>5754</v>
      </c>
      <c r="D1254" s="22" t="s">
        <v>5755</v>
      </c>
      <c r="E1254" s="22" t="s">
        <v>5756</v>
      </c>
      <c r="F1254" s="22" t="s">
        <v>5757</v>
      </c>
      <c r="G1254" s="28" t="s">
        <v>2012</v>
      </c>
      <c r="H1254" s="22" t="s">
        <v>2080</v>
      </c>
      <c r="I1254" s="21"/>
      <c r="J1254" s="22" t="s">
        <v>494</v>
      </c>
      <c r="K1254" s="22" t="s">
        <v>924</v>
      </c>
      <c r="L1254" s="21"/>
      <c r="M1254" s="22" t="s">
        <v>2034</v>
      </c>
      <c r="N1254" s="28" t="s">
        <v>2015</v>
      </c>
      <c r="O1254" s="28" t="s">
        <v>2016</v>
      </c>
      <c r="P1254" s="29">
        <v>152</v>
      </c>
      <c r="Q1254" s="28" t="s">
        <v>2017</v>
      </c>
      <c r="R1254" s="21"/>
      <c r="S1254" s="21"/>
      <c r="T1254" s="21"/>
      <c r="U1254" s="21"/>
      <c r="V1254" s="21"/>
      <c r="W1254" s="21"/>
      <c r="X1254" s="21"/>
    </row>
    <row r="1255" spans="1:24" ht="15.75" thickBot="1" x14ac:dyDescent="0.3">
      <c r="A1255" t="str">
        <f t="shared" si="19"/>
        <v>ASYMS10K60W2</v>
      </c>
      <c r="B1255" s="22" t="s">
        <v>5758</v>
      </c>
      <c r="C1255" s="22" t="s">
        <v>5575</v>
      </c>
      <c r="D1255" s="22" t="s">
        <v>5759</v>
      </c>
      <c r="E1255" s="22" t="s">
        <v>5760</v>
      </c>
      <c r="F1255" s="22" t="s">
        <v>5761</v>
      </c>
      <c r="G1255" s="28" t="s">
        <v>2012</v>
      </c>
      <c r="H1255" s="22" t="s">
        <v>2055</v>
      </c>
      <c r="I1255" s="21"/>
      <c r="J1255" s="22" t="s">
        <v>494</v>
      </c>
      <c r="K1255" s="22" t="s">
        <v>924</v>
      </c>
      <c r="L1255" s="21"/>
      <c r="M1255" s="22" t="s">
        <v>2034</v>
      </c>
      <c r="N1255" s="28" t="s">
        <v>2015</v>
      </c>
      <c r="O1255" s="28" t="s">
        <v>2016</v>
      </c>
      <c r="P1255" s="29">
        <v>101</v>
      </c>
      <c r="Q1255" s="28" t="s">
        <v>2017</v>
      </c>
      <c r="R1255" s="21"/>
      <c r="S1255" s="21"/>
      <c r="T1255" s="21"/>
      <c r="U1255" s="21"/>
      <c r="V1255" s="21"/>
      <c r="W1255" s="21"/>
      <c r="X1255" s="21"/>
    </row>
    <row r="1256" spans="1:24" ht="15.75" thickBot="1" x14ac:dyDescent="0.3">
      <c r="A1256" t="str">
        <f t="shared" si="19"/>
        <v>ASYPW16029W4</v>
      </c>
      <c r="B1256" s="22" t="s">
        <v>5762</v>
      </c>
      <c r="C1256" s="22" t="s">
        <v>5763</v>
      </c>
      <c r="D1256" s="22" t="s">
        <v>5764</v>
      </c>
      <c r="E1256" s="22" t="s">
        <v>5765</v>
      </c>
      <c r="F1256" s="22" t="s">
        <v>5766</v>
      </c>
      <c r="G1256" s="28" t="s">
        <v>2012</v>
      </c>
      <c r="H1256" s="22" t="s">
        <v>2055</v>
      </c>
      <c r="I1256" s="21"/>
      <c r="J1256" s="22" t="s">
        <v>494</v>
      </c>
      <c r="K1256" s="22" t="s">
        <v>924</v>
      </c>
      <c r="L1256" s="21"/>
      <c r="M1256" s="22" t="s">
        <v>2034</v>
      </c>
      <c r="N1256" s="28" t="s">
        <v>2015</v>
      </c>
      <c r="O1256" s="28" t="s">
        <v>2016</v>
      </c>
      <c r="P1256" s="29">
        <v>1311</v>
      </c>
      <c r="Q1256" s="28" t="s">
        <v>2017</v>
      </c>
      <c r="R1256" s="21"/>
      <c r="S1256" s="21"/>
      <c r="T1256" s="21"/>
      <c r="U1256" s="21"/>
      <c r="V1256" s="21"/>
      <c r="W1256" s="21"/>
      <c r="X1256" s="21"/>
    </row>
    <row r="1257" spans="1:24" ht="15.75" thickBot="1" x14ac:dyDescent="0.3">
      <c r="A1257" t="str">
        <f t="shared" si="19"/>
        <v>ASYPW1W996OS</v>
      </c>
      <c r="B1257" s="22" t="s">
        <v>5767</v>
      </c>
      <c r="C1257" s="22" t="s">
        <v>5768</v>
      </c>
      <c r="D1257" s="22" t="s">
        <v>5769</v>
      </c>
      <c r="E1257" s="21"/>
      <c r="F1257" s="22" t="s">
        <v>5770</v>
      </c>
      <c r="G1257" s="28" t="s">
        <v>2012</v>
      </c>
      <c r="H1257" s="22" t="s">
        <v>2013</v>
      </c>
      <c r="I1257" s="21"/>
      <c r="J1257" s="22" t="s">
        <v>494</v>
      </c>
      <c r="K1257" s="22" t="s">
        <v>924</v>
      </c>
      <c r="L1257" s="21"/>
      <c r="M1257" s="22" t="s">
        <v>2034</v>
      </c>
      <c r="N1257" s="28" t="s">
        <v>2015</v>
      </c>
      <c r="O1257" s="28" t="s">
        <v>2016</v>
      </c>
      <c r="P1257" s="29">
        <v>3864</v>
      </c>
      <c r="Q1257" s="28" t="s">
        <v>2017</v>
      </c>
      <c r="R1257" s="21"/>
      <c r="S1257" s="21"/>
      <c r="T1257" s="21"/>
      <c r="U1257" s="21"/>
      <c r="V1257" s="21"/>
      <c r="W1257" s="21"/>
      <c r="X1257" s="21"/>
    </row>
    <row r="1258" spans="1:24" ht="15.75" thickBot="1" x14ac:dyDescent="0.3">
      <c r="A1258" t="str">
        <f t="shared" si="19"/>
        <v>ASYPW1W997OS</v>
      </c>
      <c r="B1258" s="22" t="s">
        <v>5771</v>
      </c>
      <c r="C1258" s="22" t="s">
        <v>5772</v>
      </c>
      <c r="D1258" s="22" t="s">
        <v>5773</v>
      </c>
      <c r="E1258" s="21"/>
      <c r="F1258" s="22" t="s">
        <v>5770</v>
      </c>
      <c r="G1258" s="28" t="s">
        <v>2012</v>
      </c>
      <c r="H1258" s="22" t="s">
        <v>2013</v>
      </c>
      <c r="I1258" s="21"/>
      <c r="J1258" s="22" t="s">
        <v>494</v>
      </c>
      <c r="K1258" s="22" t="s">
        <v>924</v>
      </c>
      <c r="L1258" s="21"/>
      <c r="M1258" s="22" t="s">
        <v>2034</v>
      </c>
      <c r="N1258" s="28" t="s">
        <v>2015</v>
      </c>
      <c r="O1258" s="28" t="s">
        <v>2016</v>
      </c>
      <c r="P1258" s="29">
        <v>777</v>
      </c>
      <c r="Q1258" s="28" t="s">
        <v>2017</v>
      </c>
      <c r="R1258" s="21"/>
      <c r="S1258" s="21"/>
      <c r="T1258" s="21"/>
      <c r="U1258" s="21"/>
      <c r="V1258" s="21"/>
      <c r="W1258" s="21"/>
      <c r="X1258" s="21"/>
    </row>
    <row r="1259" spans="1:24" ht="15.75" thickBot="1" x14ac:dyDescent="0.3">
      <c r="A1259" t="str">
        <f t="shared" si="19"/>
        <v>ASYPW20117W13LV</v>
      </c>
      <c r="B1259" s="22" t="s">
        <v>5774</v>
      </c>
      <c r="C1259" s="22" t="s">
        <v>2152</v>
      </c>
      <c r="D1259" s="22" t="s">
        <v>1813</v>
      </c>
      <c r="E1259" s="22" t="s">
        <v>2739</v>
      </c>
      <c r="F1259" s="22" t="s">
        <v>5775</v>
      </c>
      <c r="G1259" s="28" t="s">
        <v>2012</v>
      </c>
      <c r="H1259" s="22" t="s">
        <v>2080</v>
      </c>
      <c r="I1259" s="21"/>
      <c r="J1259" s="22" t="s">
        <v>494</v>
      </c>
      <c r="K1259" s="22" t="s">
        <v>924</v>
      </c>
      <c r="L1259" s="21"/>
      <c r="M1259" s="22" t="s">
        <v>2034</v>
      </c>
      <c r="N1259" s="28" t="s">
        <v>2015</v>
      </c>
      <c r="O1259" s="28" t="s">
        <v>2016</v>
      </c>
      <c r="P1259" s="29">
        <v>0</v>
      </c>
      <c r="Q1259" s="28" t="s">
        <v>2017</v>
      </c>
      <c r="R1259" s="21"/>
      <c r="S1259" s="21"/>
      <c r="T1259" s="21"/>
      <c r="U1259" s="21"/>
      <c r="V1259" s="21"/>
      <c r="W1259" s="21"/>
      <c r="X1259" s="21"/>
    </row>
    <row r="1260" spans="1:24" ht="15.75" thickBot="1" x14ac:dyDescent="0.3">
      <c r="A1260" t="str">
        <f t="shared" si="19"/>
        <v>ASYPW20C46W16</v>
      </c>
      <c r="B1260" s="22" t="s">
        <v>5776</v>
      </c>
      <c r="C1260" s="22" t="s">
        <v>5777</v>
      </c>
      <c r="D1260" s="22" t="s">
        <v>5778</v>
      </c>
      <c r="E1260" s="22" t="s">
        <v>5779</v>
      </c>
      <c r="F1260" s="22" t="s">
        <v>5780</v>
      </c>
      <c r="G1260" s="28" t="s">
        <v>2012</v>
      </c>
      <c r="H1260" s="22" t="s">
        <v>2080</v>
      </c>
      <c r="I1260" s="21"/>
      <c r="J1260" s="22" t="s">
        <v>494</v>
      </c>
      <c r="K1260" s="22" t="s">
        <v>924</v>
      </c>
      <c r="L1260" s="21"/>
      <c r="M1260" s="22" t="s">
        <v>2034</v>
      </c>
      <c r="N1260" s="28" t="s">
        <v>2015</v>
      </c>
      <c r="O1260" s="28" t="s">
        <v>2016</v>
      </c>
      <c r="P1260" s="29">
        <v>1378</v>
      </c>
      <c r="Q1260" s="28" t="s">
        <v>2017</v>
      </c>
      <c r="R1260" s="21"/>
      <c r="S1260" s="21"/>
      <c r="T1260" s="21"/>
      <c r="U1260" s="21"/>
      <c r="V1260" s="21"/>
      <c r="W1260" s="21"/>
      <c r="X1260" s="21"/>
    </row>
    <row r="1261" spans="1:24" ht="15.75" thickBot="1" x14ac:dyDescent="0.3">
      <c r="A1261" t="str">
        <f t="shared" si="19"/>
        <v>ASYPW21A66W5</v>
      </c>
      <c r="B1261" s="22" t="s">
        <v>5781</v>
      </c>
      <c r="C1261" s="22" t="s">
        <v>5580</v>
      </c>
      <c r="D1261" s="22" t="s">
        <v>5782</v>
      </c>
      <c r="E1261" s="22" t="s">
        <v>5783</v>
      </c>
      <c r="F1261" s="22" t="s">
        <v>5784</v>
      </c>
      <c r="G1261" s="28" t="s">
        <v>2012</v>
      </c>
      <c r="H1261" s="22" t="s">
        <v>2055</v>
      </c>
      <c r="I1261" s="21"/>
      <c r="J1261" s="22" t="s">
        <v>494</v>
      </c>
      <c r="K1261" s="22" t="s">
        <v>924</v>
      </c>
      <c r="L1261" s="21"/>
      <c r="M1261" s="22" t="s">
        <v>2034</v>
      </c>
      <c r="N1261" s="28" t="s">
        <v>2015</v>
      </c>
      <c r="O1261" s="28" t="s">
        <v>2016</v>
      </c>
      <c r="P1261" s="29">
        <v>150</v>
      </c>
      <c r="Q1261" s="28" t="s">
        <v>2017</v>
      </c>
      <c r="R1261" s="21"/>
      <c r="S1261" s="21"/>
      <c r="T1261" s="21"/>
      <c r="U1261" s="21"/>
      <c r="V1261" s="21"/>
      <c r="W1261" s="21"/>
      <c r="X1261" s="21"/>
    </row>
    <row r="1262" spans="1:24" ht="15.75" thickBot="1" x14ac:dyDescent="0.3">
      <c r="A1262" t="str">
        <f t="shared" si="19"/>
        <v>ASYPW21B94W2</v>
      </c>
      <c r="B1262" s="22" t="s">
        <v>5785</v>
      </c>
      <c r="C1262" s="22" t="s">
        <v>2063</v>
      </c>
      <c r="D1262" s="22" t="s">
        <v>5786</v>
      </c>
      <c r="E1262" s="22" t="s">
        <v>5787</v>
      </c>
      <c r="F1262" s="22" t="s">
        <v>5788</v>
      </c>
      <c r="G1262" s="28" t="s">
        <v>2012</v>
      </c>
      <c r="H1262" s="22" t="s">
        <v>2055</v>
      </c>
      <c r="I1262" s="21"/>
      <c r="J1262" s="22" t="s">
        <v>494</v>
      </c>
      <c r="K1262" s="22" t="s">
        <v>924</v>
      </c>
      <c r="L1262" s="21"/>
      <c r="M1262" s="22" t="s">
        <v>2034</v>
      </c>
      <c r="N1262" s="28" t="s">
        <v>2015</v>
      </c>
      <c r="O1262" s="28" t="s">
        <v>2016</v>
      </c>
      <c r="P1262" s="29">
        <v>0</v>
      </c>
      <c r="Q1262" s="28" t="s">
        <v>2017</v>
      </c>
      <c r="R1262" s="21"/>
      <c r="S1262" s="21"/>
      <c r="T1262" s="21"/>
      <c r="U1262" s="21"/>
      <c r="V1262" s="21"/>
      <c r="W1262" s="21"/>
      <c r="X1262" s="21"/>
    </row>
    <row r="1263" spans="1:24" ht="15.75" thickBot="1" x14ac:dyDescent="0.3">
      <c r="A1263" t="str">
        <f t="shared" si="19"/>
        <v>ASYPW21C84W10</v>
      </c>
      <c r="B1263" s="22" t="s">
        <v>5789</v>
      </c>
      <c r="C1263" s="22" t="s">
        <v>5790</v>
      </c>
      <c r="D1263" s="22" t="s">
        <v>5791</v>
      </c>
      <c r="E1263" s="22" t="s">
        <v>5792</v>
      </c>
      <c r="F1263" s="22" t="s">
        <v>5793</v>
      </c>
      <c r="G1263" s="28" t="s">
        <v>2012</v>
      </c>
      <c r="H1263" s="22" t="s">
        <v>2080</v>
      </c>
      <c r="I1263" s="21"/>
      <c r="J1263" s="22" t="s">
        <v>494</v>
      </c>
      <c r="K1263" s="22" t="s">
        <v>924</v>
      </c>
      <c r="L1263" s="21"/>
      <c r="M1263" s="22" t="s">
        <v>2034</v>
      </c>
      <c r="N1263" s="28" t="s">
        <v>2015</v>
      </c>
      <c r="O1263" s="28" t="s">
        <v>2016</v>
      </c>
      <c r="P1263" s="29">
        <v>210</v>
      </c>
      <c r="Q1263" s="28" t="s">
        <v>2017</v>
      </c>
      <c r="R1263" s="21"/>
      <c r="S1263" s="21"/>
      <c r="T1263" s="21"/>
      <c r="U1263" s="21"/>
      <c r="V1263" s="21"/>
      <c r="W1263" s="21"/>
      <c r="X1263" s="21"/>
    </row>
    <row r="1264" spans="1:24" ht="15.75" thickBot="1" x14ac:dyDescent="0.3">
      <c r="A1264" t="str">
        <f t="shared" si="19"/>
        <v>ASYPW31K34W10</v>
      </c>
      <c r="B1264" s="22" t="s">
        <v>5794</v>
      </c>
      <c r="C1264" s="22" t="s">
        <v>5790</v>
      </c>
      <c r="D1264" s="22" t="s">
        <v>5795</v>
      </c>
      <c r="E1264" s="22" t="s">
        <v>5796</v>
      </c>
      <c r="F1264" s="22" t="s">
        <v>5797</v>
      </c>
      <c r="G1264" s="28" t="s">
        <v>2012</v>
      </c>
      <c r="H1264" s="22" t="s">
        <v>2080</v>
      </c>
      <c r="I1264" s="21"/>
      <c r="J1264" s="22" t="s">
        <v>494</v>
      </c>
      <c r="K1264" s="22" t="s">
        <v>924</v>
      </c>
      <c r="L1264" s="21"/>
      <c r="M1264" s="22" t="s">
        <v>2034</v>
      </c>
      <c r="N1264" s="28" t="s">
        <v>2015</v>
      </c>
      <c r="O1264" s="28" t="s">
        <v>2016</v>
      </c>
      <c r="P1264" s="29">
        <v>75</v>
      </c>
      <c r="Q1264" s="28" t="s">
        <v>2017</v>
      </c>
      <c r="R1264" s="21"/>
      <c r="S1264" s="21"/>
      <c r="T1264" s="21"/>
      <c r="U1264" s="21"/>
      <c r="V1264" s="21"/>
      <c r="W1264" s="21"/>
      <c r="X1264" s="21"/>
    </row>
    <row r="1265" spans="1:24" ht="15.75" thickBot="1" x14ac:dyDescent="0.3">
      <c r="A1265" t="str">
        <f t="shared" si="19"/>
        <v>ASYPW31K35W10</v>
      </c>
      <c r="B1265" s="22" t="s">
        <v>5798</v>
      </c>
      <c r="C1265" s="22" t="s">
        <v>5790</v>
      </c>
      <c r="D1265" s="22" t="s">
        <v>5799</v>
      </c>
      <c r="E1265" s="22" t="s">
        <v>5800</v>
      </c>
      <c r="F1265" s="22" t="s">
        <v>5801</v>
      </c>
      <c r="G1265" s="28" t="s">
        <v>2012</v>
      </c>
      <c r="H1265" s="22" t="s">
        <v>2080</v>
      </c>
      <c r="I1265" s="21"/>
      <c r="J1265" s="22" t="s">
        <v>494</v>
      </c>
      <c r="K1265" s="22" t="s">
        <v>924</v>
      </c>
      <c r="L1265" s="21"/>
      <c r="M1265" s="22" t="s">
        <v>2034</v>
      </c>
      <c r="N1265" s="28" t="s">
        <v>2015</v>
      </c>
      <c r="O1265" s="28" t="s">
        <v>2016</v>
      </c>
      <c r="P1265" s="29">
        <v>82</v>
      </c>
      <c r="Q1265" s="28" t="s">
        <v>2017</v>
      </c>
      <c r="R1265" s="21"/>
      <c r="S1265" s="21"/>
      <c r="T1265" s="21"/>
      <c r="U1265" s="21"/>
      <c r="V1265" s="21"/>
      <c r="W1265" s="21"/>
      <c r="X1265" s="21"/>
    </row>
    <row r="1266" spans="1:24" ht="15.75" thickBot="1" x14ac:dyDescent="0.3">
      <c r="A1266" t="str">
        <f t="shared" si="19"/>
        <v>ASYPW33B48W16</v>
      </c>
      <c r="B1266" s="22" t="s">
        <v>5802</v>
      </c>
      <c r="C1266" s="22" t="s">
        <v>2123</v>
      </c>
      <c r="D1266" s="22" t="s">
        <v>5803</v>
      </c>
      <c r="E1266" s="22" t="s">
        <v>5804</v>
      </c>
      <c r="F1266" s="22" t="s">
        <v>5805</v>
      </c>
      <c r="G1266" s="28" t="s">
        <v>2012</v>
      </c>
      <c r="H1266" s="22" t="s">
        <v>2080</v>
      </c>
      <c r="I1266" s="21"/>
      <c r="J1266" s="22" t="s">
        <v>494</v>
      </c>
      <c r="K1266" s="22" t="s">
        <v>924</v>
      </c>
      <c r="L1266" s="21"/>
      <c r="M1266" s="22" t="s">
        <v>2034</v>
      </c>
      <c r="N1266" s="28" t="s">
        <v>2015</v>
      </c>
      <c r="O1266" s="28" t="s">
        <v>2016</v>
      </c>
      <c r="P1266" s="29">
        <v>0</v>
      </c>
      <c r="Q1266" s="28" t="s">
        <v>2017</v>
      </c>
      <c r="R1266" s="21"/>
      <c r="S1266" s="21"/>
      <c r="T1266" s="21"/>
      <c r="U1266" s="21"/>
      <c r="V1266" s="21"/>
      <c r="W1266" s="21"/>
      <c r="X1266" s="21"/>
    </row>
    <row r="1267" spans="1:24" ht="15.75" thickBot="1" x14ac:dyDescent="0.3">
      <c r="A1267" t="str">
        <f t="shared" si="19"/>
        <v>ASYPW3C176W4</v>
      </c>
      <c r="B1267" s="22" t="s">
        <v>5806</v>
      </c>
      <c r="C1267" s="22" t="s">
        <v>5763</v>
      </c>
      <c r="D1267" s="22" t="s">
        <v>5807</v>
      </c>
      <c r="E1267" s="22" t="s">
        <v>5808</v>
      </c>
      <c r="F1267" s="22" t="s">
        <v>5809</v>
      </c>
      <c r="G1267" s="28" t="s">
        <v>2012</v>
      </c>
      <c r="H1267" s="22" t="s">
        <v>2055</v>
      </c>
      <c r="I1267" s="21"/>
      <c r="J1267" s="22" t="s">
        <v>494</v>
      </c>
      <c r="K1267" s="22" t="s">
        <v>924</v>
      </c>
      <c r="L1267" s="21"/>
      <c r="M1267" s="22" t="s">
        <v>2034</v>
      </c>
      <c r="N1267" s="28" t="s">
        <v>2015</v>
      </c>
      <c r="O1267" s="28" t="s">
        <v>2016</v>
      </c>
      <c r="P1267" s="29">
        <v>1650</v>
      </c>
      <c r="Q1267" s="28" t="s">
        <v>2017</v>
      </c>
      <c r="R1267" s="21"/>
      <c r="S1267" s="21"/>
      <c r="T1267" s="21"/>
      <c r="U1267" s="21"/>
      <c r="V1267" s="21"/>
      <c r="W1267" s="21"/>
      <c r="X1267" s="21"/>
    </row>
    <row r="1268" spans="1:24" ht="15.75" thickBot="1" x14ac:dyDescent="0.3">
      <c r="A1268" t="str">
        <f t="shared" si="19"/>
        <v>ASYPW50K20TB1R</v>
      </c>
      <c r="B1268" s="22" t="s">
        <v>5810</v>
      </c>
      <c r="C1268" s="22" t="s">
        <v>5610</v>
      </c>
      <c r="D1268" s="22" t="s">
        <v>5811</v>
      </c>
      <c r="E1268" s="22" t="s">
        <v>5812</v>
      </c>
      <c r="F1268" s="22" t="s">
        <v>5813</v>
      </c>
      <c r="G1268" s="28" t="s">
        <v>2012</v>
      </c>
      <c r="H1268" s="22" t="s">
        <v>2080</v>
      </c>
      <c r="I1268" s="21"/>
      <c r="J1268" s="22" t="s">
        <v>494</v>
      </c>
      <c r="K1268" s="22" t="s">
        <v>924</v>
      </c>
      <c r="L1268" s="21"/>
      <c r="M1268" s="22" t="s">
        <v>2034</v>
      </c>
      <c r="N1268" s="28" t="s">
        <v>2015</v>
      </c>
      <c r="O1268" s="28" t="s">
        <v>2016</v>
      </c>
      <c r="P1268" s="29">
        <v>10187</v>
      </c>
      <c r="Q1268" s="28" t="s">
        <v>2017</v>
      </c>
      <c r="R1268" s="21"/>
      <c r="S1268" s="21"/>
      <c r="T1268" s="21"/>
      <c r="U1268" s="21"/>
      <c r="V1268" s="21"/>
      <c r="W1268" s="21"/>
      <c r="X1268" s="21"/>
    </row>
    <row r="1269" spans="1:24" ht="15.75" thickBot="1" x14ac:dyDescent="0.3">
      <c r="A1269" t="str">
        <f t="shared" si="19"/>
        <v>ASYPW5C034W3</v>
      </c>
      <c r="B1269" s="22" t="s">
        <v>5814</v>
      </c>
      <c r="C1269" s="22" t="s">
        <v>5566</v>
      </c>
      <c r="D1269" s="22" t="s">
        <v>5815</v>
      </c>
      <c r="E1269" s="22" t="s">
        <v>5816</v>
      </c>
      <c r="F1269" s="22" t="s">
        <v>5817</v>
      </c>
      <c r="G1269" s="28" t="s">
        <v>2012</v>
      </c>
      <c r="H1269" s="22" t="s">
        <v>2055</v>
      </c>
      <c r="I1269" s="21"/>
      <c r="J1269" s="22" t="s">
        <v>494</v>
      </c>
      <c r="K1269" s="22" t="s">
        <v>924</v>
      </c>
      <c r="L1269" s="21"/>
      <c r="M1269" s="22" t="s">
        <v>2034</v>
      </c>
      <c r="N1269" s="28" t="s">
        <v>2015</v>
      </c>
      <c r="O1269" s="28" t="s">
        <v>2016</v>
      </c>
      <c r="P1269" s="29">
        <v>385</v>
      </c>
      <c r="Q1269" s="28" t="s">
        <v>2017</v>
      </c>
      <c r="R1269" s="21"/>
      <c r="S1269" s="21"/>
      <c r="T1269" s="21"/>
      <c r="U1269" s="21"/>
      <c r="V1269" s="21"/>
      <c r="W1269" s="21"/>
      <c r="X1269" s="21"/>
    </row>
    <row r="1270" spans="1:24" ht="15.75" thickBot="1" x14ac:dyDescent="0.3">
      <c r="A1270" t="str">
        <f t="shared" si="19"/>
        <v>ASYPW60777W14</v>
      </c>
      <c r="B1270" s="22" t="s">
        <v>5818</v>
      </c>
      <c r="C1270" s="22" t="s">
        <v>5739</v>
      </c>
      <c r="D1270" s="22" t="s">
        <v>5819</v>
      </c>
      <c r="E1270" s="22" t="s">
        <v>5820</v>
      </c>
      <c r="F1270" s="22" t="s">
        <v>5821</v>
      </c>
      <c r="G1270" s="28" t="s">
        <v>2012</v>
      </c>
      <c r="H1270" s="22" t="s">
        <v>2080</v>
      </c>
      <c r="I1270" s="21"/>
      <c r="J1270" s="22" t="s">
        <v>494</v>
      </c>
      <c r="K1270" s="22" t="s">
        <v>924</v>
      </c>
      <c r="L1270" s="21"/>
      <c r="M1270" s="22" t="s">
        <v>2034</v>
      </c>
      <c r="N1270" s="28" t="s">
        <v>2015</v>
      </c>
      <c r="O1270" s="28" t="s">
        <v>2016</v>
      </c>
      <c r="P1270" s="29">
        <v>196</v>
      </c>
      <c r="Q1270" s="28" t="s">
        <v>2017</v>
      </c>
      <c r="R1270" s="21"/>
      <c r="S1270" s="21"/>
      <c r="T1270" s="21"/>
      <c r="U1270" s="21"/>
      <c r="V1270" s="21"/>
      <c r="W1270" s="21"/>
      <c r="X1270" s="21"/>
    </row>
    <row r="1271" spans="1:24" ht="15.75" thickBot="1" x14ac:dyDescent="0.3">
      <c r="A1271" t="str">
        <f t="shared" si="19"/>
        <v>ASYPW61216W6W7</v>
      </c>
      <c r="B1271" s="22" t="s">
        <v>5822</v>
      </c>
      <c r="C1271" s="22" t="s">
        <v>5626</v>
      </c>
      <c r="D1271" s="22" t="s">
        <v>5823</v>
      </c>
      <c r="E1271" s="22" t="s">
        <v>5824</v>
      </c>
      <c r="F1271" s="22" t="s">
        <v>5825</v>
      </c>
      <c r="G1271" s="28" t="s">
        <v>2012</v>
      </c>
      <c r="H1271" s="22" t="s">
        <v>2080</v>
      </c>
      <c r="I1271" s="21"/>
      <c r="J1271" s="22" t="s">
        <v>494</v>
      </c>
      <c r="K1271" s="22" t="s">
        <v>924</v>
      </c>
      <c r="L1271" s="21"/>
      <c r="M1271" s="22" t="s">
        <v>2034</v>
      </c>
      <c r="N1271" s="28" t="s">
        <v>2015</v>
      </c>
      <c r="O1271" s="28" t="s">
        <v>2016</v>
      </c>
      <c r="P1271" s="29">
        <v>115</v>
      </c>
      <c r="Q1271" s="28" t="s">
        <v>2017</v>
      </c>
      <c r="R1271" s="21"/>
      <c r="S1271" s="21"/>
      <c r="T1271" s="21"/>
      <c r="U1271" s="21"/>
      <c r="V1271" s="21"/>
      <c r="W1271" s="21"/>
      <c r="X1271" s="21"/>
    </row>
    <row r="1272" spans="1:24" ht="15.75" thickBot="1" x14ac:dyDescent="0.3">
      <c r="A1272" t="str">
        <f t="shared" si="19"/>
        <v>ASYPW63B60W2-B</v>
      </c>
      <c r="B1272" s="22" t="s">
        <v>1839</v>
      </c>
      <c r="C1272" s="22" t="s">
        <v>2063</v>
      </c>
      <c r="D1272" s="22" t="s">
        <v>1838</v>
      </c>
      <c r="E1272" s="22" t="s">
        <v>3187</v>
      </c>
      <c r="F1272" s="22" t="s">
        <v>3188</v>
      </c>
      <c r="G1272" s="28" t="s">
        <v>2012</v>
      </c>
      <c r="H1272" s="22" t="s">
        <v>2055</v>
      </c>
      <c r="I1272" s="21"/>
      <c r="J1272" s="22" t="s">
        <v>494</v>
      </c>
      <c r="K1272" s="22" t="s">
        <v>924</v>
      </c>
      <c r="L1272" s="21"/>
      <c r="M1272" s="22" t="s">
        <v>2034</v>
      </c>
      <c r="N1272" s="28" t="s">
        <v>2015</v>
      </c>
      <c r="O1272" s="28" t="s">
        <v>2016</v>
      </c>
      <c r="P1272" s="29">
        <v>0</v>
      </c>
      <c r="Q1272" s="28" t="s">
        <v>2017</v>
      </c>
      <c r="R1272" s="41">
        <v>0</v>
      </c>
      <c r="S1272" s="29">
        <v>220</v>
      </c>
      <c r="T1272" s="32">
        <v>3.422222222222</v>
      </c>
      <c r="U1272" s="32">
        <v>0</v>
      </c>
      <c r="V1272" s="41">
        <v>0</v>
      </c>
      <c r="W1272" s="21"/>
      <c r="X1272" s="21"/>
    </row>
    <row r="1273" spans="1:24" ht="15.75" thickBot="1" x14ac:dyDescent="0.3">
      <c r="A1273" t="str">
        <f t="shared" si="19"/>
        <v>ASYPW88126OS</v>
      </c>
      <c r="B1273" s="22" t="s">
        <v>1854</v>
      </c>
      <c r="C1273" s="22" t="s">
        <v>2703</v>
      </c>
      <c r="D1273" s="22" t="s">
        <v>3418</v>
      </c>
      <c r="E1273" s="21"/>
      <c r="F1273" s="22" t="s">
        <v>5826</v>
      </c>
      <c r="G1273" s="28" t="s">
        <v>2012</v>
      </c>
      <c r="H1273" s="22" t="s">
        <v>2013</v>
      </c>
      <c r="I1273" s="21"/>
      <c r="J1273" s="22" t="s">
        <v>364</v>
      </c>
      <c r="K1273" s="22" t="s">
        <v>924</v>
      </c>
      <c r="L1273" s="21"/>
      <c r="M1273" s="22" t="s">
        <v>2034</v>
      </c>
      <c r="N1273" s="28" t="s">
        <v>2015</v>
      </c>
      <c r="O1273" s="28" t="s">
        <v>2016</v>
      </c>
      <c r="P1273" s="29">
        <v>103</v>
      </c>
      <c r="Q1273" s="28" t="s">
        <v>2017</v>
      </c>
      <c r="R1273" s="41">
        <v>0.71290143964499997</v>
      </c>
      <c r="S1273" s="29">
        <v>9288</v>
      </c>
      <c r="T1273" s="32">
        <v>144.47999999999999</v>
      </c>
      <c r="U1273" s="32">
        <v>0</v>
      </c>
      <c r="V1273" s="41">
        <v>0.71290143964499997</v>
      </c>
      <c r="W1273" s="21"/>
      <c r="X1273" s="21"/>
    </row>
    <row r="1274" spans="1:24" ht="15.75" thickBot="1" x14ac:dyDescent="0.3">
      <c r="A1274" t="str">
        <f t="shared" si="19"/>
        <v>ASYSR1D600W5</v>
      </c>
      <c r="B1274" s="22" t="s">
        <v>1866</v>
      </c>
      <c r="C1274" s="22" t="s">
        <v>5580</v>
      </c>
      <c r="D1274" s="22" t="s">
        <v>1867</v>
      </c>
      <c r="E1274" s="22" t="s">
        <v>5827</v>
      </c>
      <c r="F1274" s="22" t="s">
        <v>2030</v>
      </c>
      <c r="G1274" s="28" t="s">
        <v>2012</v>
      </c>
      <c r="H1274" s="22" t="s">
        <v>2055</v>
      </c>
      <c r="I1274" s="21"/>
      <c r="J1274" s="22" t="s">
        <v>494</v>
      </c>
      <c r="K1274" s="22" t="s">
        <v>924</v>
      </c>
      <c r="L1274" s="21"/>
      <c r="M1274" s="22" t="s">
        <v>2034</v>
      </c>
      <c r="N1274" s="28" t="s">
        <v>2015</v>
      </c>
      <c r="O1274" s="28" t="s">
        <v>2016</v>
      </c>
      <c r="P1274" s="29">
        <v>0</v>
      </c>
      <c r="Q1274" s="28" t="s">
        <v>2017</v>
      </c>
      <c r="R1274" s="21"/>
      <c r="S1274" s="21"/>
      <c r="T1274" s="21"/>
      <c r="U1274" s="21"/>
      <c r="V1274" s="21"/>
      <c r="W1274" s="21"/>
      <c r="X1274" s="21"/>
    </row>
    <row r="1275" spans="1:24" ht="15.75" thickBot="1" x14ac:dyDescent="0.3">
      <c r="A1275" t="str">
        <f t="shared" si="19"/>
        <v>ASYSR1D601W4</v>
      </c>
      <c r="B1275" s="22" t="s">
        <v>1868</v>
      </c>
      <c r="C1275" s="22" t="s">
        <v>5580</v>
      </c>
      <c r="D1275" s="22" t="s">
        <v>1869</v>
      </c>
      <c r="E1275" s="22" t="s">
        <v>5827</v>
      </c>
      <c r="F1275" s="22" t="s">
        <v>2030</v>
      </c>
      <c r="G1275" s="28" t="s">
        <v>2012</v>
      </c>
      <c r="H1275" s="22" t="s">
        <v>2055</v>
      </c>
      <c r="I1275" s="21"/>
      <c r="J1275" s="22" t="s">
        <v>494</v>
      </c>
      <c r="K1275" s="22" t="s">
        <v>924</v>
      </c>
      <c r="L1275" s="21"/>
      <c r="M1275" s="22" t="s">
        <v>2034</v>
      </c>
      <c r="N1275" s="28" t="s">
        <v>2015</v>
      </c>
      <c r="O1275" s="28" t="s">
        <v>2016</v>
      </c>
      <c r="P1275" s="29">
        <v>0</v>
      </c>
      <c r="Q1275" s="28" t="s">
        <v>2017</v>
      </c>
      <c r="R1275" s="21"/>
      <c r="S1275" s="21"/>
      <c r="T1275" s="21"/>
      <c r="U1275" s="21"/>
      <c r="V1275" s="21"/>
      <c r="W1275" s="21"/>
      <c r="X1275" s="21"/>
    </row>
    <row r="1276" spans="1:24" ht="15.75" thickBot="1" x14ac:dyDescent="0.3">
      <c r="A1276" t="str">
        <f t="shared" si="19"/>
        <v>ASYTB13488W15</v>
      </c>
      <c r="B1276" s="22" t="s">
        <v>5828</v>
      </c>
      <c r="C1276" s="22" t="s">
        <v>5610</v>
      </c>
      <c r="D1276" s="22" t="s">
        <v>5829</v>
      </c>
      <c r="E1276" s="22" t="s">
        <v>5830</v>
      </c>
      <c r="F1276" s="22" t="s">
        <v>5831</v>
      </c>
      <c r="G1276" s="28" t="s">
        <v>2012</v>
      </c>
      <c r="H1276" s="22" t="s">
        <v>2080</v>
      </c>
      <c r="I1276" s="21"/>
      <c r="J1276" s="22" t="s">
        <v>494</v>
      </c>
      <c r="K1276" s="22" t="s">
        <v>924</v>
      </c>
      <c r="L1276" s="21"/>
      <c r="M1276" s="22" t="s">
        <v>2034</v>
      </c>
      <c r="N1276" s="28" t="s">
        <v>2015</v>
      </c>
      <c r="O1276" s="28" t="s">
        <v>2016</v>
      </c>
      <c r="P1276" s="29">
        <v>216</v>
      </c>
      <c r="Q1276" s="28" t="s">
        <v>2017</v>
      </c>
      <c r="R1276" s="21"/>
      <c r="S1276" s="21"/>
      <c r="T1276" s="21"/>
      <c r="U1276" s="21"/>
      <c r="V1276" s="21"/>
      <c r="W1276" s="21"/>
      <c r="X1276" s="21"/>
    </row>
    <row r="1277" spans="1:24" ht="15.75" thickBot="1" x14ac:dyDescent="0.3">
      <c r="A1277" t="str">
        <f t="shared" si="19"/>
        <v>ASYTB13489W15</v>
      </c>
      <c r="B1277" s="22" t="s">
        <v>5832</v>
      </c>
      <c r="C1277" s="22" t="s">
        <v>5615</v>
      </c>
      <c r="D1277" s="22" t="s">
        <v>5833</v>
      </c>
      <c r="E1277" s="22" t="s">
        <v>5834</v>
      </c>
      <c r="F1277" s="22" t="s">
        <v>5835</v>
      </c>
      <c r="G1277" s="28" t="s">
        <v>2012</v>
      </c>
      <c r="H1277" s="22" t="s">
        <v>2080</v>
      </c>
      <c r="I1277" s="21"/>
      <c r="J1277" s="22" t="s">
        <v>494</v>
      </c>
      <c r="K1277" s="22" t="s">
        <v>924</v>
      </c>
      <c r="L1277" s="21"/>
      <c r="M1277" s="22" t="s">
        <v>2034</v>
      </c>
      <c r="N1277" s="28" t="s">
        <v>2015</v>
      </c>
      <c r="O1277" s="28" t="s">
        <v>2016</v>
      </c>
      <c r="P1277" s="29">
        <v>500</v>
      </c>
      <c r="Q1277" s="28" t="s">
        <v>2017</v>
      </c>
      <c r="R1277" s="21"/>
      <c r="S1277" s="21"/>
      <c r="T1277" s="21"/>
      <c r="U1277" s="21"/>
      <c r="V1277" s="21"/>
      <c r="W1277" s="21"/>
      <c r="X1277" s="21"/>
    </row>
    <row r="1278" spans="1:24" ht="15.75" thickBot="1" x14ac:dyDescent="0.3">
      <c r="A1278" t="str">
        <f t="shared" si="19"/>
        <v>ASYW150506W16</v>
      </c>
      <c r="B1278" s="22" t="s">
        <v>1911</v>
      </c>
      <c r="C1278" s="22" t="s">
        <v>2123</v>
      </c>
      <c r="D1278" s="22" t="s">
        <v>1912</v>
      </c>
      <c r="E1278" s="22" t="s">
        <v>2124</v>
      </c>
      <c r="F1278" s="22" t="s">
        <v>5836</v>
      </c>
      <c r="G1278" s="28" t="s">
        <v>2012</v>
      </c>
      <c r="H1278" s="22" t="s">
        <v>2080</v>
      </c>
      <c r="I1278" s="21"/>
      <c r="J1278" s="22" t="s">
        <v>494</v>
      </c>
      <c r="K1278" s="22" t="s">
        <v>924</v>
      </c>
      <c r="L1278" s="21"/>
      <c r="M1278" s="22" t="s">
        <v>2034</v>
      </c>
      <c r="N1278" s="28" t="s">
        <v>2015</v>
      </c>
      <c r="O1278" s="28" t="s">
        <v>2016</v>
      </c>
      <c r="P1278" s="29">
        <v>64</v>
      </c>
      <c r="Q1278" s="28" t="s">
        <v>2017</v>
      </c>
      <c r="R1278" s="41">
        <v>0.243074897452</v>
      </c>
      <c r="S1278" s="29">
        <v>16926</v>
      </c>
      <c r="T1278" s="32">
        <v>263.29333333333301</v>
      </c>
      <c r="U1278" s="32">
        <v>0</v>
      </c>
      <c r="V1278" s="41">
        <v>0.243074897452</v>
      </c>
      <c r="W1278" s="21"/>
      <c r="X1278" s="21"/>
    </row>
    <row r="1279" spans="1:24" ht="15.75" thickBot="1" x14ac:dyDescent="0.3">
      <c r="A1279" t="str">
        <f t="shared" si="19"/>
        <v>ASYW150522W18</v>
      </c>
      <c r="B1279" s="22" t="s">
        <v>5837</v>
      </c>
      <c r="C1279" s="22" t="s">
        <v>4160</v>
      </c>
      <c r="D1279" s="22" t="s">
        <v>5838</v>
      </c>
      <c r="E1279" s="22" t="s">
        <v>5839</v>
      </c>
      <c r="F1279" s="22" t="s">
        <v>5840</v>
      </c>
      <c r="G1279" s="28" t="s">
        <v>2012</v>
      </c>
      <c r="H1279" s="22" t="s">
        <v>2055</v>
      </c>
      <c r="I1279" s="21"/>
      <c r="J1279" s="22" t="s">
        <v>494</v>
      </c>
      <c r="K1279" s="22" t="s">
        <v>924</v>
      </c>
      <c r="L1279" s="21"/>
      <c r="M1279" s="22" t="s">
        <v>2034</v>
      </c>
      <c r="N1279" s="28" t="s">
        <v>2015</v>
      </c>
      <c r="O1279" s="28" t="s">
        <v>2016</v>
      </c>
      <c r="P1279" s="29">
        <v>407</v>
      </c>
      <c r="Q1279" s="28" t="s">
        <v>2017</v>
      </c>
      <c r="R1279" s="21"/>
      <c r="S1279" s="21"/>
      <c r="T1279" s="21"/>
      <c r="U1279" s="21"/>
      <c r="V1279" s="21"/>
      <c r="W1279" s="21"/>
      <c r="X1279" s="21"/>
    </row>
    <row r="1280" spans="1:24" ht="15.75" thickBot="1" x14ac:dyDescent="0.3">
      <c r="A1280" t="str">
        <f t="shared" si="19"/>
        <v>ASYW151040W18</v>
      </c>
      <c r="B1280" s="22" t="s">
        <v>5841</v>
      </c>
      <c r="C1280" s="22" t="s">
        <v>5842</v>
      </c>
      <c r="D1280" s="22" t="s">
        <v>5843</v>
      </c>
      <c r="E1280" s="22" t="s">
        <v>5844</v>
      </c>
      <c r="F1280" s="22" t="s">
        <v>5845</v>
      </c>
      <c r="G1280" s="28" t="s">
        <v>2012</v>
      </c>
      <c r="H1280" s="22" t="s">
        <v>2055</v>
      </c>
      <c r="I1280" s="21"/>
      <c r="J1280" s="22" t="s">
        <v>494</v>
      </c>
      <c r="K1280" s="22" t="s">
        <v>924</v>
      </c>
      <c r="L1280" s="21"/>
      <c r="M1280" s="22" t="s">
        <v>2034</v>
      </c>
      <c r="N1280" s="28" t="s">
        <v>2015</v>
      </c>
      <c r="O1280" s="28" t="s">
        <v>2016</v>
      </c>
      <c r="P1280" s="29">
        <v>358</v>
      </c>
      <c r="Q1280" s="28" t="s">
        <v>2017</v>
      </c>
      <c r="R1280" s="21"/>
      <c r="S1280" s="21"/>
      <c r="T1280" s="21"/>
      <c r="U1280" s="21"/>
      <c r="V1280" s="21"/>
      <c r="W1280" s="21"/>
      <c r="X1280" s="21"/>
    </row>
    <row r="1281" spans="1:24" ht="15.75" thickBot="1" x14ac:dyDescent="0.3">
      <c r="A1281" t="str">
        <f t="shared" si="19"/>
        <v>ASYW151041W18</v>
      </c>
      <c r="B1281" s="22" t="s">
        <v>5846</v>
      </c>
      <c r="C1281" s="22" t="s">
        <v>5847</v>
      </c>
      <c r="D1281" s="22" t="s">
        <v>5848</v>
      </c>
      <c r="E1281" s="22" t="s">
        <v>5649</v>
      </c>
      <c r="F1281" s="22" t="s">
        <v>5849</v>
      </c>
      <c r="G1281" s="28" t="s">
        <v>2012</v>
      </c>
      <c r="H1281" s="22" t="s">
        <v>2055</v>
      </c>
      <c r="I1281" s="21"/>
      <c r="J1281" s="22" t="s">
        <v>494</v>
      </c>
      <c r="K1281" s="22" t="s">
        <v>924</v>
      </c>
      <c r="L1281" s="21"/>
      <c r="M1281" s="22" t="s">
        <v>2034</v>
      </c>
      <c r="N1281" s="28" t="s">
        <v>2015</v>
      </c>
      <c r="O1281" s="28" t="s">
        <v>2016</v>
      </c>
      <c r="P1281" s="29">
        <v>39</v>
      </c>
      <c r="Q1281" s="28" t="s">
        <v>2017</v>
      </c>
      <c r="R1281" s="21"/>
      <c r="S1281" s="21"/>
      <c r="T1281" s="21"/>
      <c r="U1281" s="21"/>
      <c r="V1281" s="21"/>
      <c r="W1281" s="21"/>
      <c r="X1281" s="21"/>
    </row>
    <row r="1282" spans="1:24" ht="15.75" thickBot="1" x14ac:dyDescent="0.3">
      <c r="A1282" t="str">
        <f t="shared" si="19"/>
        <v>ASYW159D59W18</v>
      </c>
      <c r="B1282" s="22" t="s">
        <v>5850</v>
      </c>
      <c r="C1282" s="22" t="s">
        <v>5847</v>
      </c>
      <c r="D1282" s="22" t="s">
        <v>5851</v>
      </c>
      <c r="E1282" s="22" t="s">
        <v>5852</v>
      </c>
      <c r="F1282" s="22" t="s">
        <v>5853</v>
      </c>
      <c r="G1282" s="28" t="s">
        <v>2012</v>
      </c>
      <c r="H1282" s="22" t="s">
        <v>2055</v>
      </c>
      <c r="I1282" s="21"/>
      <c r="J1282" s="22" t="s">
        <v>494</v>
      </c>
      <c r="K1282" s="22" t="s">
        <v>924</v>
      </c>
      <c r="L1282" s="21"/>
      <c r="M1282" s="22" t="s">
        <v>2034</v>
      </c>
      <c r="N1282" s="28" t="s">
        <v>2015</v>
      </c>
      <c r="O1282" s="28" t="s">
        <v>2016</v>
      </c>
      <c r="P1282" s="29">
        <v>636</v>
      </c>
      <c r="Q1282" s="28" t="s">
        <v>2017</v>
      </c>
      <c r="R1282" s="21"/>
      <c r="S1282" s="21"/>
      <c r="T1282" s="21"/>
      <c r="U1282" s="21"/>
      <c r="V1282" s="21"/>
      <c r="W1282" s="21"/>
      <c r="X1282" s="21"/>
    </row>
    <row r="1283" spans="1:24" ht="15.75" thickBot="1" x14ac:dyDescent="0.3">
      <c r="A1283" t="str">
        <f t="shared" si="19"/>
        <v>ASYW160A24W22</v>
      </c>
      <c r="B1283" s="22" t="s">
        <v>1929</v>
      </c>
      <c r="C1283" s="22" t="s">
        <v>2185</v>
      </c>
      <c r="D1283" s="22" t="s">
        <v>5854</v>
      </c>
      <c r="E1283" s="22" t="s">
        <v>5855</v>
      </c>
      <c r="F1283" s="22" t="s">
        <v>5856</v>
      </c>
      <c r="G1283" s="28" t="s">
        <v>2012</v>
      </c>
      <c r="H1283" s="22" t="s">
        <v>2055</v>
      </c>
      <c r="I1283" s="21"/>
      <c r="J1283" s="22" t="s">
        <v>261</v>
      </c>
      <c r="K1283" s="22" t="s">
        <v>924</v>
      </c>
      <c r="L1283" s="21"/>
      <c r="M1283" s="22" t="s">
        <v>2034</v>
      </c>
      <c r="N1283" s="28" t="s">
        <v>2015</v>
      </c>
      <c r="O1283" s="28" t="s">
        <v>2016</v>
      </c>
      <c r="P1283" s="29">
        <v>251</v>
      </c>
      <c r="Q1283" s="28" t="s">
        <v>2017</v>
      </c>
      <c r="R1283" s="41">
        <v>0.85099489930399996</v>
      </c>
      <c r="S1283" s="29">
        <v>18961</v>
      </c>
      <c r="T1283" s="32">
        <v>294.94888888888897</v>
      </c>
      <c r="U1283" s="32">
        <v>0</v>
      </c>
      <c r="V1283" s="41">
        <v>0.85099489930399996</v>
      </c>
      <c r="W1283" s="21"/>
      <c r="X1283" s="21"/>
    </row>
    <row r="1284" spans="1:24" ht="15.75" thickBot="1" x14ac:dyDescent="0.3">
      <c r="A1284" t="str">
        <f t="shared" si="19"/>
        <v>ASYW161022W18</v>
      </c>
      <c r="B1284" s="22" t="s">
        <v>5857</v>
      </c>
      <c r="C1284" s="22" t="s">
        <v>5842</v>
      </c>
      <c r="D1284" s="22" t="s">
        <v>5858</v>
      </c>
      <c r="E1284" s="22" t="s">
        <v>5859</v>
      </c>
      <c r="F1284" s="22" t="s">
        <v>5860</v>
      </c>
      <c r="G1284" s="28" t="s">
        <v>2012</v>
      </c>
      <c r="H1284" s="22" t="s">
        <v>2055</v>
      </c>
      <c r="I1284" s="21"/>
      <c r="J1284" s="22" t="s">
        <v>494</v>
      </c>
      <c r="K1284" s="22" t="s">
        <v>924</v>
      </c>
      <c r="L1284" s="21"/>
      <c r="M1284" s="22" t="s">
        <v>2034</v>
      </c>
      <c r="N1284" s="28" t="s">
        <v>2015</v>
      </c>
      <c r="O1284" s="28" t="s">
        <v>2016</v>
      </c>
      <c r="P1284" s="29">
        <v>334</v>
      </c>
      <c r="Q1284" s="28" t="s">
        <v>2017</v>
      </c>
      <c r="R1284" s="21"/>
      <c r="S1284" s="21"/>
      <c r="T1284" s="21"/>
      <c r="U1284" s="21"/>
      <c r="V1284" s="21"/>
      <c r="W1284" s="21"/>
      <c r="X1284" s="21"/>
    </row>
    <row r="1285" spans="1:24" ht="15.75" thickBot="1" x14ac:dyDescent="0.3">
      <c r="A1285" t="str">
        <f t="shared" ref="A1285:A1348" si="20">TRIM(B1285)</f>
        <v>ASYW161023W18</v>
      </c>
      <c r="B1285" s="22" t="s">
        <v>5861</v>
      </c>
      <c r="C1285" s="22" t="s">
        <v>5847</v>
      </c>
      <c r="D1285" s="22" t="s">
        <v>5862</v>
      </c>
      <c r="E1285" s="22" t="s">
        <v>5863</v>
      </c>
      <c r="F1285" s="22" t="s">
        <v>5864</v>
      </c>
      <c r="G1285" s="28" t="s">
        <v>2012</v>
      </c>
      <c r="H1285" s="22" t="s">
        <v>2055</v>
      </c>
      <c r="I1285" s="21"/>
      <c r="J1285" s="22" t="s">
        <v>494</v>
      </c>
      <c r="K1285" s="22" t="s">
        <v>924</v>
      </c>
      <c r="L1285" s="21"/>
      <c r="M1285" s="22" t="s">
        <v>2034</v>
      </c>
      <c r="N1285" s="28" t="s">
        <v>2015</v>
      </c>
      <c r="O1285" s="28" t="s">
        <v>2016</v>
      </c>
      <c r="P1285" s="29">
        <v>504</v>
      </c>
      <c r="Q1285" s="28" t="s">
        <v>2017</v>
      </c>
      <c r="R1285" s="21"/>
      <c r="S1285" s="21"/>
      <c r="T1285" s="21"/>
      <c r="U1285" s="21"/>
      <c r="V1285" s="21"/>
      <c r="W1285" s="21"/>
      <c r="X1285" s="21"/>
    </row>
    <row r="1286" spans="1:24" ht="15.75" thickBot="1" x14ac:dyDescent="0.3">
      <c r="A1286" t="str">
        <f t="shared" si="20"/>
        <v>BLK16924</v>
      </c>
      <c r="B1286" s="22" t="s">
        <v>5865</v>
      </c>
      <c r="C1286" s="21"/>
      <c r="D1286" s="22" t="s">
        <v>5866</v>
      </c>
      <c r="E1286" s="22" t="s">
        <v>5867</v>
      </c>
      <c r="F1286" s="22" t="s">
        <v>5868</v>
      </c>
      <c r="G1286" s="28" t="s">
        <v>2012</v>
      </c>
      <c r="H1286" s="22" t="s">
        <v>2013</v>
      </c>
      <c r="I1286" s="21"/>
      <c r="J1286" s="22" t="s">
        <v>494</v>
      </c>
      <c r="K1286" s="22" t="s">
        <v>924</v>
      </c>
      <c r="L1286" s="21"/>
      <c r="M1286" s="22" t="s">
        <v>2130</v>
      </c>
      <c r="N1286" s="28" t="s">
        <v>2015</v>
      </c>
      <c r="O1286" s="28" t="s">
        <v>2016</v>
      </c>
      <c r="P1286" s="29">
        <v>921</v>
      </c>
      <c r="Q1286" s="28" t="s">
        <v>2017</v>
      </c>
      <c r="R1286" s="21"/>
      <c r="S1286" s="21"/>
      <c r="T1286" s="21"/>
      <c r="U1286" s="21"/>
      <c r="V1286" s="21"/>
      <c r="W1286" s="21"/>
      <c r="X1286" s="21"/>
    </row>
    <row r="1287" spans="1:24" ht="15.75" thickBot="1" x14ac:dyDescent="0.3">
      <c r="A1287" t="str">
        <f t="shared" si="20"/>
        <v>BLK2110130RLA</v>
      </c>
      <c r="B1287" s="22" t="s">
        <v>5869</v>
      </c>
      <c r="C1287" s="21"/>
      <c r="D1287" s="22" t="s">
        <v>5870</v>
      </c>
      <c r="E1287" s="22" t="s">
        <v>5871</v>
      </c>
      <c r="F1287" s="22" t="s">
        <v>3777</v>
      </c>
      <c r="G1287" s="28" t="s">
        <v>5499</v>
      </c>
      <c r="H1287" s="22" t="s">
        <v>2013</v>
      </c>
      <c r="I1287" s="21"/>
      <c r="J1287" s="22" t="s">
        <v>494</v>
      </c>
      <c r="K1287" s="22" t="s">
        <v>924</v>
      </c>
      <c r="L1287" s="21"/>
      <c r="M1287" s="22" t="s">
        <v>2130</v>
      </c>
      <c r="N1287" s="28" t="s">
        <v>2015</v>
      </c>
      <c r="O1287" s="28" t="s">
        <v>2016</v>
      </c>
      <c r="P1287" s="29">
        <v>0</v>
      </c>
      <c r="Q1287" s="28" t="s">
        <v>2017</v>
      </c>
      <c r="R1287" s="21"/>
      <c r="S1287" s="21"/>
      <c r="T1287" s="21"/>
      <c r="U1287" s="32">
        <v>109</v>
      </c>
      <c r="V1287" s="41">
        <v>0</v>
      </c>
      <c r="W1287" s="21"/>
      <c r="X1287" s="21"/>
    </row>
    <row r="1288" spans="1:24" ht="15.75" thickBot="1" x14ac:dyDescent="0.3">
      <c r="A1288" t="str">
        <f t="shared" si="20"/>
        <v>BLK2141040RLA</v>
      </c>
      <c r="B1288" s="22" t="s">
        <v>5872</v>
      </c>
      <c r="C1288" s="21"/>
      <c r="D1288" s="22" t="s">
        <v>5873</v>
      </c>
      <c r="E1288" s="22" t="s">
        <v>5874</v>
      </c>
      <c r="F1288" s="22" t="s">
        <v>5875</v>
      </c>
      <c r="G1288" s="28" t="s">
        <v>5499</v>
      </c>
      <c r="H1288" s="22" t="s">
        <v>2013</v>
      </c>
      <c r="I1288" s="21"/>
      <c r="J1288" s="22" t="s">
        <v>494</v>
      </c>
      <c r="K1288" s="22" t="s">
        <v>924</v>
      </c>
      <c r="L1288" s="21"/>
      <c r="M1288" s="22" t="s">
        <v>2130</v>
      </c>
      <c r="N1288" s="28" t="s">
        <v>2015</v>
      </c>
      <c r="O1288" s="28" t="s">
        <v>2016</v>
      </c>
      <c r="P1288" s="29">
        <v>0</v>
      </c>
      <c r="Q1288" s="28" t="s">
        <v>2017</v>
      </c>
      <c r="R1288" s="41">
        <v>0</v>
      </c>
      <c r="S1288" s="29">
        <v>15</v>
      </c>
      <c r="T1288" s="32">
        <v>0.23333333333299999</v>
      </c>
      <c r="U1288" s="32">
        <v>0</v>
      </c>
      <c r="V1288" s="41">
        <v>0</v>
      </c>
      <c r="W1288" s="21"/>
      <c r="X1288" s="21"/>
    </row>
    <row r="1289" spans="1:24" ht="15.75" thickBot="1" x14ac:dyDescent="0.3">
      <c r="A1289" t="str">
        <f t="shared" si="20"/>
        <v>C0240301</v>
      </c>
      <c r="B1289" s="22" t="s">
        <v>5876</v>
      </c>
      <c r="C1289" s="22" t="s">
        <v>2136</v>
      </c>
      <c r="D1289" s="22" t="s">
        <v>2137</v>
      </c>
      <c r="E1289" s="22" t="s">
        <v>2138</v>
      </c>
      <c r="F1289" s="22" t="s">
        <v>2139</v>
      </c>
      <c r="G1289" s="28" t="s">
        <v>5499</v>
      </c>
      <c r="H1289" s="22" t="s">
        <v>2140</v>
      </c>
      <c r="I1289" s="21"/>
      <c r="J1289" s="22" t="s">
        <v>404</v>
      </c>
      <c r="K1289" s="22" t="s">
        <v>924</v>
      </c>
      <c r="L1289" s="21"/>
      <c r="M1289" s="22" t="s">
        <v>2014</v>
      </c>
      <c r="N1289" s="28" t="s">
        <v>2015</v>
      </c>
      <c r="O1289" s="28" t="s">
        <v>2016</v>
      </c>
      <c r="P1289" s="29">
        <v>250</v>
      </c>
      <c r="Q1289" s="28" t="s">
        <v>2017</v>
      </c>
      <c r="R1289" s="21"/>
      <c r="S1289" s="21"/>
      <c r="T1289" s="21"/>
      <c r="U1289" s="21"/>
      <c r="V1289" s="21"/>
      <c r="W1289" s="21"/>
      <c r="X1289" s="21"/>
    </row>
    <row r="1290" spans="1:24" ht="15.75" thickBot="1" x14ac:dyDescent="0.3">
      <c r="A1290" t="str">
        <f t="shared" si="20"/>
        <v>CHINA AGS 16E166 BB</v>
      </c>
      <c r="B1290" s="22" t="s">
        <v>5877</v>
      </c>
      <c r="C1290" s="22" t="s">
        <v>2473</v>
      </c>
      <c r="D1290" s="22" t="s">
        <v>2474</v>
      </c>
      <c r="E1290" s="21"/>
      <c r="F1290" s="22" t="s">
        <v>5878</v>
      </c>
      <c r="G1290" s="28" t="s">
        <v>5499</v>
      </c>
      <c r="H1290" s="22" t="s">
        <v>5879</v>
      </c>
      <c r="I1290" s="21"/>
      <c r="J1290" s="22" t="s">
        <v>364</v>
      </c>
      <c r="K1290" s="22" t="s">
        <v>262</v>
      </c>
      <c r="L1290" s="21"/>
      <c r="M1290" s="22" t="s">
        <v>2014</v>
      </c>
      <c r="N1290" s="28" t="s">
        <v>2015</v>
      </c>
      <c r="O1290" s="28" t="s">
        <v>2016</v>
      </c>
      <c r="P1290" s="29">
        <v>0</v>
      </c>
      <c r="Q1290" s="28" t="s">
        <v>2017</v>
      </c>
      <c r="R1290" s="21"/>
      <c r="S1290" s="21"/>
      <c r="T1290" s="21"/>
      <c r="U1290" s="21"/>
      <c r="V1290" s="21"/>
      <c r="W1290" s="21"/>
      <c r="X1290" s="21"/>
    </row>
    <row r="1291" spans="1:24" ht="15.75" thickBot="1" x14ac:dyDescent="0.3">
      <c r="A1291" t="str">
        <f t="shared" si="20"/>
        <v>CONS-016-0017</v>
      </c>
      <c r="B1291" s="22" t="s">
        <v>5880</v>
      </c>
      <c r="C1291" s="22" t="s">
        <v>5881</v>
      </c>
      <c r="D1291" s="22" t="s">
        <v>5882</v>
      </c>
      <c r="E1291" s="22" t="s">
        <v>5883</v>
      </c>
      <c r="F1291" s="22" t="s">
        <v>5884</v>
      </c>
      <c r="G1291" s="28" t="s">
        <v>5499</v>
      </c>
      <c r="H1291" s="22" t="s">
        <v>5885</v>
      </c>
      <c r="I1291" s="22" t="s">
        <v>5886</v>
      </c>
      <c r="J1291" s="22" t="s">
        <v>5887</v>
      </c>
      <c r="K1291" s="22" t="s">
        <v>3324</v>
      </c>
      <c r="L1291" s="22" t="s">
        <v>5888</v>
      </c>
      <c r="M1291" s="22" t="s">
        <v>5889</v>
      </c>
      <c r="N1291" s="28" t="s">
        <v>2494</v>
      </c>
      <c r="O1291" s="28" t="s">
        <v>2016</v>
      </c>
      <c r="P1291" s="29">
        <v>1</v>
      </c>
      <c r="Q1291" s="28" t="s">
        <v>2017</v>
      </c>
      <c r="R1291" s="21"/>
      <c r="S1291" s="21"/>
      <c r="T1291" s="21"/>
      <c r="U1291" s="21"/>
      <c r="V1291" s="21"/>
      <c r="W1291" s="21"/>
      <c r="X1291" s="21"/>
    </row>
    <row r="1292" spans="1:24" ht="15.75" thickBot="1" x14ac:dyDescent="0.3">
      <c r="A1292" t="str">
        <f t="shared" si="20"/>
        <v>CONS-016-0040</v>
      </c>
      <c r="B1292" s="22" t="s">
        <v>5890</v>
      </c>
      <c r="C1292" s="22" t="s">
        <v>5891</v>
      </c>
      <c r="D1292" s="22" t="s">
        <v>5892</v>
      </c>
      <c r="E1292" s="22" t="s">
        <v>5893</v>
      </c>
      <c r="F1292" s="22" t="s">
        <v>5894</v>
      </c>
      <c r="G1292" s="28" t="s">
        <v>5499</v>
      </c>
      <c r="H1292" s="22" t="s">
        <v>5885</v>
      </c>
      <c r="I1292" s="22" t="s">
        <v>5886</v>
      </c>
      <c r="J1292" s="22" t="s">
        <v>5887</v>
      </c>
      <c r="K1292" s="22" t="s">
        <v>3324</v>
      </c>
      <c r="L1292" s="22" t="s">
        <v>5888</v>
      </c>
      <c r="M1292" s="22" t="s">
        <v>5889</v>
      </c>
      <c r="N1292" s="28" t="s">
        <v>2494</v>
      </c>
      <c r="O1292" s="28" t="s">
        <v>2016</v>
      </c>
      <c r="P1292" s="29">
        <v>8</v>
      </c>
      <c r="Q1292" s="28" t="s">
        <v>2017</v>
      </c>
      <c r="R1292" s="21"/>
      <c r="S1292" s="21"/>
      <c r="T1292" s="21"/>
      <c r="U1292" s="21"/>
      <c r="V1292" s="21"/>
      <c r="W1292" s="21"/>
      <c r="X1292" s="21"/>
    </row>
    <row r="1293" spans="1:24" ht="15.75" thickBot="1" x14ac:dyDescent="0.3">
      <c r="A1293" t="str">
        <f t="shared" si="20"/>
        <v>CONS-016-0090</v>
      </c>
      <c r="B1293" s="22" t="s">
        <v>5895</v>
      </c>
      <c r="C1293" s="22" t="s">
        <v>5896</v>
      </c>
      <c r="D1293" s="22" t="s">
        <v>5897</v>
      </c>
      <c r="E1293" s="22" t="s">
        <v>5898</v>
      </c>
      <c r="F1293" s="22" t="s">
        <v>5899</v>
      </c>
      <c r="G1293" s="28" t="s">
        <v>5499</v>
      </c>
      <c r="H1293" s="22" t="s">
        <v>5885</v>
      </c>
      <c r="I1293" s="22" t="s">
        <v>5886</v>
      </c>
      <c r="J1293" s="22" t="s">
        <v>5887</v>
      </c>
      <c r="K1293" s="22" t="s">
        <v>3324</v>
      </c>
      <c r="L1293" s="22" t="s">
        <v>5888</v>
      </c>
      <c r="M1293" s="22" t="s">
        <v>5889</v>
      </c>
      <c r="N1293" s="28" t="s">
        <v>2494</v>
      </c>
      <c r="O1293" s="28" t="s">
        <v>2016</v>
      </c>
      <c r="P1293" s="29">
        <v>2</v>
      </c>
      <c r="Q1293" s="28" t="s">
        <v>2017</v>
      </c>
      <c r="R1293" s="21"/>
      <c r="S1293" s="21"/>
      <c r="T1293" s="21"/>
      <c r="U1293" s="21"/>
      <c r="V1293" s="21"/>
      <c r="W1293" s="21"/>
      <c r="X1293" s="21"/>
    </row>
    <row r="1294" spans="1:24" ht="15.75" thickBot="1" x14ac:dyDescent="0.3">
      <c r="A1294" t="str">
        <f t="shared" si="20"/>
        <v>CONS-016-0093</v>
      </c>
      <c r="B1294" s="22" t="s">
        <v>5900</v>
      </c>
      <c r="C1294" s="22" t="s">
        <v>5901</v>
      </c>
      <c r="D1294" s="22" t="s">
        <v>5902</v>
      </c>
      <c r="E1294" s="22" t="s">
        <v>5903</v>
      </c>
      <c r="F1294" s="22" t="s">
        <v>2030</v>
      </c>
      <c r="G1294" s="28" t="s">
        <v>5499</v>
      </c>
      <c r="H1294" s="22" t="s">
        <v>5885</v>
      </c>
      <c r="I1294" s="22" t="s">
        <v>5886</v>
      </c>
      <c r="J1294" s="22" t="s">
        <v>5887</v>
      </c>
      <c r="K1294" s="22" t="s">
        <v>3324</v>
      </c>
      <c r="L1294" s="22" t="s">
        <v>5904</v>
      </c>
      <c r="M1294" s="22" t="s">
        <v>5889</v>
      </c>
      <c r="N1294" s="28" t="s">
        <v>2494</v>
      </c>
      <c r="O1294" s="28" t="s">
        <v>2016</v>
      </c>
      <c r="P1294" s="29">
        <v>7</v>
      </c>
      <c r="Q1294" s="28" t="s">
        <v>2017</v>
      </c>
      <c r="R1294" s="21"/>
      <c r="S1294" s="21"/>
      <c r="T1294" s="21"/>
      <c r="U1294" s="21"/>
      <c r="V1294" s="21"/>
      <c r="W1294" s="21"/>
      <c r="X1294" s="21"/>
    </row>
    <row r="1295" spans="1:24" ht="15.75" thickBot="1" x14ac:dyDescent="0.3">
      <c r="A1295" t="str">
        <f t="shared" si="20"/>
        <v>CONS-016-0112</v>
      </c>
      <c r="B1295" s="22" t="s">
        <v>5905</v>
      </c>
      <c r="C1295" s="22" t="s">
        <v>5906</v>
      </c>
      <c r="D1295" s="22" t="s">
        <v>5907</v>
      </c>
      <c r="E1295" s="22" t="s">
        <v>5908</v>
      </c>
      <c r="F1295" s="22" t="s">
        <v>5909</v>
      </c>
      <c r="G1295" s="28" t="s">
        <v>5499</v>
      </c>
      <c r="H1295" s="22" t="s">
        <v>5885</v>
      </c>
      <c r="I1295" s="22" t="s">
        <v>5886</v>
      </c>
      <c r="J1295" s="22" t="s">
        <v>5887</v>
      </c>
      <c r="K1295" s="22" t="s">
        <v>3324</v>
      </c>
      <c r="L1295" s="22" t="s">
        <v>5888</v>
      </c>
      <c r="M1295" s="22" t="s">
        <v>5889</v>
      </c>
      <c r="N1295" s="28" t="s">
        <v>2494</v>
      </c>
      <c r="O1295" s="28" t="s">
        <v>2016</v>
      </c>
      <c r="P1295" s="29">
        <v>7</v>
      </c>
      <c r="Q1295" s="28" t="s">
        <v>2017</v>
      </c>
      <c r="R1295" s="21"/>
      <c r="S1295" s="21"/>
      <c r="T1295" s="21"/>
      <c r="U1295" s="21"/>
      <c r="V1295" s="21"/>
      <c r="W1295" s="21"/>
      <c r="X1295" s="21"/>
    </row>
    <row r="1296" spans="1:24" ht="15.75" thickBot="1" x14ac:dyDescent="0.3">
      <c r="A1296" t="str">
        <f t="shared" si="20"/>
        <v>CONS-016-1070</v>
      </c>
      <c r="B1296" s="22" t="s">
        <v>5910</v>
      </c>
      <c r="C1296" s="22" t="s">
        <v>5911</v>
      </c>
      <c r="D1296" s="22" t="s">
        <v>5912</v>
      </c>
      <c r="E1296" s="22" t="s">
        <v>5913</v>
      </c>
      <c r="F1296" s="22" t="s">
        <v>5914</v>
      </c>
      <c r="G1296" s="28" t="s">
        <v>5499</v>
      </c>
      <c r="H1296" s="22" t="s">
        <v>5885</v>
      </c>
      <c r="I1296" s="22" t="s">
        <v>5886</v>
      </c>
      <c r="J1296" s="22" t="s">
        <v>5887</v>
      </c>
      <c r="K1296" s="22" t="s">
        <v>3324</v>
      </c>
      <c r="L1296" s="22" t="s">
        <v>5888</v>
      </c>
      <c r="M1296" s="22" t="s">
        <v>5889</v>
      </c>
      <c r="N1296" s="28" t="s">
        <v>2494</v>
      </c>
      <c r="O1296" s="28" t="s">
        <v>2016</v>
      </c>
      <c r="P1296" s="29">
        <v>3</v>
      </c>
      <c r="Q1296" s="28" t="s">
        <v>2017</v>
      </c>
      <c r="R1296" s="21"/>
      <c r="S1296" s="21"/>
      <c r="T1296" s="21"/>
      <c r="U1296" s="21"/>
      <c r="V1296" s="21"/>
      <c r="W1296" s="21"/>
      <c r="X1296" s="21"/>
    </row>
    <row r="1297" spans="1:24" ht="15.75" thickBot="1" x14ac:dyDescent="0.3">
      <c r="A1297" t="str">
        <f t="shared" si="20"/>
        <v>CONS-035-0003</v>
      </c>
      <c r="B1297" s="22" t="s">
        <v>5915</v>
      </c>
      <c r="C1297" s="22" t="s">
        <v>5916</v>
      </c>
      <c r="D1297" s="22" t="s">
        <v>5917</v>
      </c>
      <c r="E1297" s="22" t="s">
        <v>5918</v>
      </c>
      <c r="F1297" s="22" t="s">
        <v>5919</v>
      </c>
      <c r="G1297" s="28" t="s">
        <v>5499</v>
      </c>
      <c r="H1297" s="22" t="s">
        <v>5885</v>
      </c>
      <c r="I1297" s="22" t="s">
        <v>5886</v>
      </c>
      <c r="J1297" s="22" t="s">
        <v>5887</v>
      </c>
      <c r="K1297" s="22" t="s">
        <v>3324</v>
      </c>
      <c r="L1297" s="22" t="s">
        <v>5888</v>
      </c>
      <c r="M1297" s="22" t="s">
        <v>5889</v>
      </c>
      <c r="N1297" s="28" t="s">
        <v>2494</v>
      </c>
      <c r="O1297" s="28" t="s">
        <v>2016</v>
      </c>
      <c r="P1297" s="29">
        <v>1</v>
      </c>
      <c r="Q1297" s="28" t="s">
        <v>2017</v>
      </c>
      <c r="R1297" s="21"/>
      <c r="S1297" s="21"/>
      <c r="T1297" s="21"/>
      <c r="U1297" s="21"/>
      <c r="V1297" s="21"/>
      <c r="W1297" s="21"/>
      <c r="X1297" s="21"/>
    </row>
    <row r="1298" spans="1:24" ht="15.75" thickBot="1" x14ac:dyDescent="0.3">
      <c r="A1298" t="str">
        <f t="shared" si="20"/>
        <v>CONS-035-0008</v>
      </c>
      <c r="B1298" s="22" t="s">
        <v>5920</v>
      </c>
      <c r="C1298" s="22" t="s">
        <v>5921</v>
      </c>
      <c r="D1298" s="22" t="s">
        <v>5922</v>
      </c>
      <c r="E1298" s="22" t="s">
        <v>5923</v>
      </c>
      <c r="F1298" s="22" t="s">
        <v>5919</v>
      </c>
      <c r="G1298" s="28" t="s">
        <v>5499</v>
      </c>
      <c r="H1298" s="22" t="s">
        <v>5885</v>
      </c>
      <c r="I1298" s="22" t="s">
        <v>5886</v>
      </c>
      <c r="J1298" s="22" t="s">
        <v>5887</v>
      </c>
      <c r="K1298" s="22" t="s">
        <v>3324</v>
      </c>
      <c r="L1298" s="22" t="s">
        <v>5888</v>
      </c>
      <c r="M1298" s="22" t="s">
        <v>5889</v>
      </c>
      <c r="N1298" s="28" t="s">
        <v>2494</v>
      </c>
      <c r="O1298" s="28" t="s">
        <v>2016</v>
      </c>
      <c r="P1298" s="29">
        <v>1</v>
      </c>
      <c r="Q1298" s="28" t="s">
        <v>2017</v>
      </c>
      <c r="R1298" s="21"/>
      <c r="S1298" s="21"/>
      <c r="T1298" s="21"/>
      <c r="U1298" s="21"/>
      <c r="V1298" s="21"/>
      <c r="W1298" s="21"/>
      <c r="X1298" s="21"/>
    </row>
    <row r="1299" spans="1:24" ht="15.75" thickBot="1" x14ac:dyDescent="0.3">
      <c r="A1299" t="str">
        <f t="shared" si="20"/>
        <v>CONS-035-0009</v>
      </c>
      <c r="B1299" s="22" t="s">
        <v>5924</v>
      </c>
      <c r="C1299" s="22" t="s">
        <v>5925</v>
      </c>
      <c r="D1299" s="22" t="s">
        <v>5926</v>
      </c>
      <c r="E1299" s="22" t="s">
        <v>5927</v>
      </c>
      <c r="F1299" s="22" t="s">
        <v>2030</v>
      </c>
      <c r="G1299" s="28" t="s">
        <v>5499</v>
      </c>
      <c r="H1299" s="22" t="s">
        <v>5885</v>
      </c>
      <c r="I1299" s="22" t="s">
        <v>5886</v>
      </c>
      <c r="J1299" s="22" t="s">
        <v>5887</v>
      </c>
      <c r="K1299" s="22" t="s">
        <v>3324</v>
      </c>
      <c r="L1299" s="22" t="s">
        <v>5888</v>
      </c>
      <c r="M1299" s="22" t="s">
        <v>5889</v>
      </c>
      <c r="N1299" s="28" t="s">
        <v>2494</v>
      </c>
      <c r="O1299" s="28" t="s">
        <v>2016</v>
      </c>
      <c r="P1299" s="29">
        <v>7</v>
      </c>
      <c r="Q1299" s="28" t="s">
        <v>2017</v>
      </c>
      <c r="R1299" s="21"/>
      <c r="S1299" s="21"/>
      <c r="T1299" s="21"/>
      <c r="U1299" s="21"/>
      <c r="V1299" s="21"/>
      <c r="W1299" s="21"/>
      <c r="X1299" s="21"/>
    </row>
    <row r="1300" spans="1:24" ht="15.75" thickBot="1" x14ac:dyDescent="0.3">
      <c r="A1300" t="str">
        <f t="shared" si="20"/>
        <v>CONS-035-0010</v>
      </c>
      <c r="B1300" s="22" t="s">
        <v>5928</v>
      </c>
      <c r="C1300" s="22" t="s">
        <v>5929</v>
      </c>
      <c r="D1300" s="22" t="s">
        <v>5930</v>
      </c>
      <c r="E1300" s="22" t="s">
        <v>5931</v>
      </c>
      <c r="F1300" s="22" t="s">
        <v>5909</v>
      </c>
      <c r="G1300" s="28" t="s">
        <v>5499</v>
      </c>
      <c r="H1300" s="22" t="s">
        <v>5885</v>
      </c>
      <c r="I1300" s="22" t="s">
        <v>5886</v>
      </c>
      <c r="J1300" s="22" t="s">
        <v>5887</v>
      </c>
      <c r="K1300" s="22" t="s">
        <v>3324</v>
      </c>
      <c r="L1300" s="22" t="s">
        <v>5888</v>
      </c>
      <c r="M1300" s="22" t="s">
        <v>5889</v>
      </c>
      <c r="N1300" s="28" t="s">
        <v>2494</v>
      </c>
      <c r="O1300" s="28" t="s">
        <v>2016</v>
      </c>
      <c r="P1300" s="29">
        <v>12</v>
      </c>
      <c r="Q1300" s="28" t="s">
        <v>2017</v>
      </c>
      <c r="R1300" s="21"/>
      <c r="S1300" s="21"/>
      <c r="T1300" s="21"/>
      <c r="U1300" s="21"/>
      <c r="V1300" s="21"/>
      <c r="W1300" s="21"/>
      <c r="X1300" s="21"/>
    </row>
    <row r="1301" spans="1:24" ht="15.75" thickBot="1" x14ac:dyDescent="0.3">
      <c r="A1301" t="str">
        <f t="shared" si="20"/>
        <v>CONS-035-0068</v>
      </c>
      <c r="B1301" s="22" t="s">
        <v>5932</v>
      </c>
      <c r="C1301" s="22" t="s">
        <v>5933</v>
      </c>
      <c r="D1301" s="22" t="s">
        <v>5934</v>
      </c>
      <c r="E1301" s="22" t="s">
        <v>5935</v>
      </c>
      <c r="F1301" s="22" t="s">
        <v>5936</v>
      </c>
      <c r="G1301" s="28" t="s">
        <v>5499</v>
      </c>
      <c r="H1301" s="22" t="s">
        <v>5885</v>
      </c>
      <c r="I1301" s="22" t="s">
        <v>5886</v>
      </c>
      <c r="J1301" s="22" t="s">
        <v>5887</v>
      </c>
      <c r="K1301" s="22" t="s">
        <v>3324</v>
      </c>
      <c r="L1301" s="22" t="s">
        <v>5888</v>
      </c>
      <c r="M1301" s="22" t="s">
        <v>5889</v>
      </c>
      <c r="N1301" s="28" t="s">
        <v>2494</v>
      </c>
      <c r="O1301" s="28" t="s">
        <v>2016</v>
      </c>
      <c r="P1301" s="29">
        <v>2</v>
      </c>
      <c r="Q1301" s="28" t="s">
        <v>2017</v>
      </c>
      <c r="R1301" s="21"/>
      <c r="S1301" s="21"/>
      <c r="T1301" s="21"/>
      <c r="U1301" s="21"/>
      <c r="V1301" s="21"/>
      <c r="W1301" s="21"/>
      <c r="X1301" s="21"/>
    </row>
    <row r="1302" spans="1:24" ht="15.75" thickBot="1" x14ac:dyDescent="0.3">
      <c r="A1302" t="str">
        <f t="shared" si="20"/>
        <v>CONS-035-0400</v>
      </c>
      <c r="B1302" s="22" t="s">
        <v>5937</v>
      </c>
      <c r="C1302" s="22" t="s">
        <v>5938</v>
      </c>
      <c r="D1302" s="22" t="s">
        <v>5939</v>
      </c>
      <c r="E1302" s="22" t="s">
        <v>5940</v>
      </c>
      <c r="F1302" s="22" t="s">
        <v>5936</v>
      </c>
      <c r="G1302" s="28" t="s">
        <v>5499</v>
      </c>
      <c r="H1302" s="22" t="s">
        <v>5885</v>
      </c>
      <c r="I1302" s="22" t="s">
        <v>5886</v>
      </c>
      <c r="J1302" s="22" t="s">
        <v>5887</v>
      </c>
      <c r="K1302" s="22" t="s">
        <v>3324</v>
      </c>
      <c r="L1302" s="22" t="s">
        <v>5941</v>
      </c>
      <c r="M1302" s="22" t="s">
        <v>5889</v>
      </c>
      <c r="N1302" s="28" t="s">
        <v>2494</v>
      </c>
      <c r="O1302" s="28" t="s">
        <v>2016</v>
      </c>
      <c r="P1302" s="29">
        <v>2</v>
      </c>
      <c r="Q1302" s="28" t="s">
        <v>2017</v>
      </c>
      <c r="R1302" s="21"/>
      <c r="S1302" s="21"/>
      <c r="T1302" s="21"/>
      <c r="U1302" s="21"/>
      <c r="V1302" s="21"/>
      <c r="W1302" s="21"/>
      <c r="X1302" s="21"/>
    </row>
    <row r="1303" spans="1:24" ht="15.75" thickBot="1" x14ac:dyDescent="0.3">
      <c r="A1303" t="str">
        <f t="shared" si="20"/>
        <v>DET10764A</v>
      </c>
      <c r="B1303" s="22" t="s">
        <v>5942</v>
      </c>
      <c r="C1303" s="22" t="s">
        <v>5763</v>
      </c>
      <c r="D1303" s="22" t="s">
        <v>5943</v>
      </c>
      <c r="E1303" s="22" t="s">
        <v>5944</v>
      </c>
      <c r="F1303" s="22" t="s">
        <v>5945</v>
      </c>
      <c r="G1303" s="28" t="s">
        <v>2012</v>
      </c>
      <c r="H1303" s="22" t="s">
        <v>2055</v>
      </c>
      <c r="I1303" s="21"/>
      <c r="J1303" s="22" t="s">
        <v>494</v>
      </c>
      <c r="K1303" s="22" t="s">
        <v>924</v>
      </c>
      <c r="L1303" s="21"/>
      <c r="M1303" s="22" t="s">
        <v>2034</v>
      </c>
      <c r="N1303" s="28" t="s">
        <v>2015</v>
      </c>
      <c r="O1303" s="28" t="s">
        <v>2016</v>
      </c>
      <c r="P1303" s="29">
        <v>802</v>
      </c>
      <c r="Q1303" s="28" t="s">
        <v>2017</v>
      </c>
      <c r="R1303" s="21"/>
      <c r="S1303" s="21"/>
      <c r="T1303" s="21"/>
      <c r="U1303" s="21"/>
      <c r="V1303" s="21"/>
      <c r="W1303" s="21"/>
      <c r="X1303" s="21"/>
    </row>
    <row r="1304" spans="1:24" ht="15.75" thickBot="1" x14ac:dyDescent="0.3">
      <c r="A1304" t="str">
        <f t="shared" si="20"/>
        <v>DET14D381A</v>
      </c>
      <c r="B1304" s="22" t="s">
        <v>5946</v>
      </c>
      <c r="C1304" s="22" t="s">
        <v>5566</v>
      </c>
      <c r="D1304" s="22" t="s">
        <v>5947</v>
      </c>
      <c r="E1304" s="22" t="s">
        <v>5572</v>
      </c>
      <c r="F1304" s="22" t="s">
        <v>5948</v>
      </c>
      <c r="G1304" s="28" t="s">
        <v>2012</v>
      </c>
      <c r="H1304" s="22" t="s">
        <v>2055</v>
      </c>
      <c r="I1304" s="21"/>
      <c r="J1304" s="22" t="s">
        <v>494</v>
      </c>
      <c r="K1304" s="22" t="s">
        <v>924</v>
      </c>
      <c r="L1304" s="21"/>
      <c r="M1304" s="22" t="s">
        <v>2034</v>
      </c>
      <c r="N1304" s="28" t="s">
        <v>2015</v>
      </c>
      <c r="O1304" s="28" t="s">
        <v>2016</v>
      </c>
      <c r="P1304" s="29">
        <v>3595</v>
      </c>
      <c r="Q1304" s="28" t="s">
        <v>2017</v>
      </c>
      <c r="R1304" s="21"/>
      <c r="S1304" s="21"/>
      <c r="T1304" s="21"/>
      <c r="U1304" s="21"/>
      <c r="V1304" s="21"/>
      <c r="W1304" s="21"/>
      <c r="X1304" s="21"/>
    </row>
    <row r="1305" spans="1:24" ht="15.75" thickBot="1" x14ac:dyDescent="0.3">
      <c r="A1305" t="str">
        <f t="shared" si="20"/>
        <v>DET16095A</v>
      </c>
      <c r="B1305" s="22" t="s">
        <v>5949</v>
      </c>
      <c r="C1305" s="22" t="s">
        <v>5561</v>
      </c>
      <c r="D1305" s="22" t="s">
        <v>5950</v>
      </c>
      <c r="E1305" s="22" t="s">
        <v>5563</v>
      </c>
      <c r="F1305" s="22" t="s">
        <v>5951</v>
      </c>
      <c r="G1305" s="28" t="s">
        <v>2012</v>
      </c>
      <c r="H1305" s="22" t="s">
        <v>2080</v>
      </c>
      <c r="I1305" s="21"/>
      <c r="J1305" s="22" t="s">
        <v>494</v>
      </c>
      <c r="K1305" s="22" t="s">
        <v>924</v>
      </c>
      <c r="L1305" s="21"/>
      <c r="M1305" s="22" t="s">
        <v>2034</v>
      </c>
      <c r="N1305" s="28" t="s">
        <v>2015</v>
      </c>
      <c r="O1305" s="28" t="s">
        <v>2016</v>
      </c>
      <c r="P1305" s="29">
        <v>100</v>
      </c>
      <c r="Q1305" s="28" t="s">
        <v>2017</v>
      </c>
      <c r="R1305" s="21"/>
      <c r="S1305" s="21"/>
      <c r="T1305" s="21"/>
      <c r="U1305" s="21"/>
      <c r="V1305" s="21"/>
      <c r="W1305" s="21"/>
      <c r="X1305" s="21"/>
    </row>
    <row r="1306" spans="1:24" ht="15.75" thickBot="1" x14ac:dyDescent="0.3">
      <c r="A1306" t="str">
        <f t="shared" si="20"/>
        <v>DET16333A</v>
      </c>
      <c r="B1306" s="22" t="s">
        <v>5952</v>
      </c>
      <c r="C1306" s="22" t="s">
        <v>5763</v>
      </c>
      <c r="D1306" s="22" t="s">
        <v>5953</v>
      </c>
      <c r="E1306" s="22" t="s">
        <v>5954</v>
      </c>
      <c r="F1306" s="22" t="s">
        <v>5955</v>
      </c>
      <c r="G1306" s="28" t="s">
        <v>2012</v>
      </c>
      <c r="H1306" s="22" t="s">
        <v>2055</v>
      </c>
      <c r="I1306" s="21"/>
      <c r="J1306" s="22" t="s">
        <v>494</v>
      </c>
      <c r="K1306" s="22" t="s">
        <v>924</v>
      </c>
      <c r="L1306" s="21"/>
      <c r="M1306" s="22" t="s">
        <v>2034</v>
      </c>
      <c r="N1306" s="28" t="s">
        <v>2015</v>
      </c>
      <c r="O1306" s="28" t="s">
        <v>2016</v>
      </c>
      <c r="P1306" s="29">
        <v>4069</v>
      </c>
      <c r="Q1306" s="28" t="s">
        <v>2017</v>
      </c>
      <c r="R1306" s="21"/>
      <c r="S1306" s="21"/>
      <c r="T1306" s="21"/>
      <c r="U1306" s="21"/>
      <c r="V1306" s="21"/>
      <c r="W1306" s="21"/>
      <c r="X1306" s="21"/>
    </row>
    <row r="1307" spans="1:24" ht="15.75" thickBot="1" x14ac:dyDescent="0.3">
      <c r="A1307" t="str">
        <f t="shared" si="20"/>
        <v>DET16860A</v>
      </c>
      <c r="B1307" s="22" t="s">
        <v>5956</v>
      </c>
      <c r="C1307" s="22" t="s">
        <v>5566</v>
      </c>
      <c r="D1307" s="22" t="s">
        <v>5957</v>
      </c>
      <c r="E1307" s="22" t="s">
        <v>5958</v>
      </c>
      <c r="F1307" s="22" t="s">
        <v>5959</v>
      </c>
      <c r="G1307" s="28" t="s">
        <v>2012</v>
      </c>
      <c r="H1307" s="22" t="s">
        <v>2055</v>
      </c>
      <c r="I1307" s="21"/>
      <c r="J1307" s="22" t="s">
        <v>494</v>
      </c>
      <c r="K1307" s="22" t="s">
        <v>924</v>
      </c>
      <c r="L1307" s="21"/>
      <c r="M1307" s="22" t="s">
        <v>2034</v>
      </c>
      <c r="N1307" s="28" t="s">
        <v>2015</v>
      </c>
      <c r="O1307" s="28" t="s">
        <v>2016</v>
      </c>
      <c r="P1307" s="29">
        <v>750</v>
      </c>
      <c r="Q1307" s="28" t="s">
        <v>2017</v>
      </c>
      <c r="R1307" s="21"/>
      <c r="S1307" s="21"/>
      <c r="T1307" s="21"/>
      <c r="U1307" s="21"/>
      <c r="V1307" s="21"/>
      <c r="W1307" s="21"/>
      <c r="X1307" s="21"/>
    </row>
    <row r="1308" spans="1:24" ht="15.75" thickBot="1" x14ac:dyDescent="0.3">
      <c r="A1308" t="str">
        <f t="shared" si="20"/>
        <v>DET16A126A</v>
      </c>
      <c r="B1308" s="22" t="s">
        <v>5960</v>
      </c>
      <c r="C1308" s="22" t="s">
        <v>5580</v>
      </c>
      <c r="D1308" s="22" t="s">
        <v>5961</v>
      </c>
      <c r="E1308" s="22" t="s">
        <v>5962</v>
      </c>
      <c r="F1308" s="22" t="s">
        <v>5963</v>
      </c>
      <c r="G1308" s="28" t="s">
        <v>2012</v>
      </c>
      <c r="H1308" s="22" t="s">
        <v>2055</v>
      </c>
      <c r="I1308" s="21"/>
      <c r="J1308" s="22" t="s">
        <v>494</v>
      </c>
      <c r="K1308" s="22" t="s">
        <v>924</v>
      </c>
      <c r="L1308" s="21"/>
      <c r="M1308" s="22" t="s">
        <v>2034</v>
      </c>
      <c r="N1308" s="28" t="s">
        <v>2015</v>
      </c>
      <c r="O1308" s="28" t="s">
        <v>2016</v>
      </c>
      <c r="P1308" s="29">
        <v>450</v>
      </c>
      <c r="Q1308" s="28" t="s">
        <v>2017</v>
      </c>
      <c r="R1308" s="21"/>
      <c r="S1308" s="21"/>
      <c r="T1308" s="21"/>
      <c r="U1308" s="21"/>
      <c r="V1308" s="21"/>
      <c r="W1308" s="21"/>
      <c r="X1308" s="21"/>
    </row>
    <row r="1309" spans="1:24" ht="15.75" thickBot="1" x14ac:dyDescent="0.3">
      <c r="A1309" t="str">
        <f t="shared" si="20"/>
        <v>DET16A127A</v>
      </c>
      <c r="B1309" s="22" t="s">
        <v>5964</v>
      </c>
      <c r="C1309" s="22" t="s">
        <v>5763</v>
      </c>
      <c r="D1309" s="22" t="s">
        <v>5961</v>
      </c>
      <c r="E1309" s="22" t="s">
        <v>5965</v>
      </c>
      <c r="F1309" s="22" t="s">
        <v>5966</v>
      </c>
      <c r="G1309" s="28" t="s">
        <v>2012</v>
      </c>
      <c r="H1309" s="22" t="s">
        <v>2055</v>
      </c>
      <c r="I1309" s="21"/>
      <c r="J1309" s="22" t="s">
        <v>494</v>
      </c>
      <c r="K1309" s="22" t="s">
        <v>924</v>
      </c>
      <c r="L1309" s="21"/>
      <c r="M1309" s="22" t="s">
        <v>2034</v>
      </c>
      <c r="N1309" s="28" t="s">
        <v>2015</v>
      </c>
      <c r="O1309" s="28" t="s">
        <v>2016</v>
      </c>
      <c r="P1309" s="29">
        <v>1720</v>
      </c>
      <c r="Q1309" s="28" t="s">
        <v>2017</v>
      </c>
      <c r="R1309" s="21"/>
      <c r="S1309" s="21"/>
      <c r="T1309" s="21"/>
      <c r="U1309" s="21"/>
      <c r="V1309" s="21"/>
      <c r="W1309" s="21"/>
      <c r="X1309" s="21"/>
    </row>
    <row r="1310" spans="1:24" ht="15.75" thickBot="1" x14ac:dyDescent="0.3">
      <c r="A1310" t="str">
        <f t="shared" si="20"/>
        <v>DET16C116A</v>
      </c>
      <c r="B1310" s="22" t="s">
        <v>5967</v>
      </c>
      <c r="C1310" s="22" t="s">
        <v>5580</v>
      </c>
      <c r="D1310" s="22" t="s">
        <v>5968</v>
      </c>
      <c r="E1310" s="22" t="s">
        <v>5969</v>
      </c>
      <c r="F1310" s="22" t="s">
        <v>5970</v>
      </c>
      <c r="G1310" s="28" t="s">
        <v>2012</v>
      </c>
      <c r="H1310" s="22" t="s">
        <v>2055</v>
      </c>
      <c r="I1310" s="21"/>
      <c r="J1310" s="22" t="s">
        <v>494</v>
      </c>
      <c r="K1310" s="22" t="s">
        <v>924</v>
      </c>
      <c r="L1310" s="21"/>
      <c r="M1310" s="22" t="s">
        <v>2034</v>
      </c>
      <c r="N1310" s="28" t="s">
        <v>2015</v>
      </c>
      <c r="O1310" s="28" t="s">
        <v>2016</v>
      </c>
      <c r="P1310" s="29">
        <v>3300</v>
      </c>
      <c r="Q1310" s="28" t="s">
        <v>2017</v>
      </c>
      <c r="R1310" s="40">
        <v>8839.2857142857192</v>
      </c>
      <c r="S1310" s="29">
        <v>24</v>
      </c>
      <c r="T1310" s="32">
        <v>0.37333333333300001</v>
      </c>
      <c r="U1310" s="32">
        <v>0</v>
      </c>
      <c r="V1310" s="40">
        <v>8839.2857142857192</v>
      </c>
      <c r="W1310" s="30"/>
      <c r="X1310" s="30"/>
    </row>
    <row r="1311" spans="1:24" ht="15.75" thickBot="1" x14ac:dyDescent="0.3">
      <c r="A1311" t="str">
        <f t="shared" si="20"/>
        <v>DET16C117A</v>
      </c>
      <c r="B1311" s="22" t="s">
        <v>5971</v>
      </c>
      <c r="C1311" s="22" t="s">
        <v>5763</v>
      </c>
      <c r="D1311" s="22" t="s">
        <v>5972</v>
      </c>
      <c r="E1311" s="22" t="s">
        <v>5973</v>
      </c>
      <c r="F1311" s="22" t="s">
        <v>5974</v>
      </c>
      <c r="G1311" s="28" t="s">
        <v>2012</v>
      </c>
      <c r="H1311" s="22" t="s">
        <v>2055</v>
      </c>
      <c r="I1311" s="21"/>
      <c r="J1311" s="22" t="s">
        <v>494</v>
      </c>
      <c r="K1311" s="22" t="s">
        <v>924</v>
      </c>
      <c r="L1311" s="21"/>
      <c r="M1311" s="22" t="s">
        <v>2034</v>
      </c>
      <c r="N1311" s="28" t="s">
        <v>2015</v>
      </c>
      <c r="O1311" s="28" t="s">
        <v>2016</v>
      </c>
      <c r="P1311" s="29">
        <v>434</v>
      </c>
      <c r="Q1311" s="28" t="s">
        <v>2017</v>
      </c>
      <c r="R1311" s="21"/>
      <c r="S1311" s="21"/>
      <c r="T1311" s="21"/>
      <c r="U1311" s="21"/>
      <c r="V1311" s="21"/>
      <c r="W1311" s="21"/>
      <c r="X1311" s="21"/>
    </row>
    <row r="1312" spans="1:24" ht="15.75" thickBot="1" x14ac:dyDescent="0.3">
      <c r="A1312" t="str">
        <f t="shared" si="20"/>
        <v>DET16C175A</v>
      </c>
      <c r="B1312" s="22" t="s">
        <v>5975</v>
      </c>
      <c r="C1312" s="22" t="s">
        <v>5976</v>
      </c>
      <c r="D1312" s="22" t="s">
        <v>5977</v>
      </c>
      <c r="E1312" s="22" t="s">
        <v>5978</v>
      </c>
      <c r="F1312" s="22" t="s">
        <v>5979</v>
      </c>
      <c r="G1312" s="28" t="s">
        <v>2012</v>
      </c>
      <c r="H1312" s="22" t="s">
        <v>2080</v>
      </c>
      <c r="I1312" s="21"/>
      <c r="J1312" s="22" t="s">
        <v>494</v>
      </c>
      <c r="K1312" s="22" t="s">
        <v>924</v>
      </c>
      <c r="L1312" s="21"/>
      <c r="M1312" s="22" t="s">
        <v>2034</v>
      </c>
      <c r="N1312" s="28" t="s">
        <v>2015</v>
      </c>
      <c r="O1312" s="28" t="s">
        <v>2016</v>
      </c>
      <c r="P1312" s="29">
        <v>2293</v>
      </c>
      <c r="Q1312" s="28" t="s">
        <v>2017</v>
      </c>
      <c r="R1312" s="21"/>
      <c r="S1312" s="21"/>
      <c r="T1312" s="21"/>
      <c r="U1312" s="21"/>
      <c r="V1312" s="21"/>
      <c r="W1312" s="21"/>
      <c r="X1312" s="21"/>
    </row>
    <row r="1313" spans="1:24" ht="15.75" thickBot="1" x14ac:dyDescent="0.3">
      <c r="A1313" t="str">
        <f t="shared" si="20"/>
        <v>DET16C176A</v>
      </c>
      <c r="B1313" s="22" t="s">
        <v>5980</v>
      </c>
      <c r="C1313" s="22" t="s">
        <v>5763</v>
      </c>
      <c r="D1313" s="22" t="s">
        <v>5981</v>
      </c>
      <c r="E1313" s="22" t="s">
        <v>5982</v>
      </c>
      <c r="F1313" s="22" t="s">
        <v>5983</v>
      </c>
      <c r="G1313" s="28" t="s">
        <v>2012</v>
      </c>
      <c r="H1313" s="22" t="s">
        <v>2055</v>
      </c>
      <c r="I1313" s="21"/>
      <c r="J1313" s="22" t="s">
        <v>494</v>
      </c>
      <c r="K1313" s="22" t="s">
        <v>924</v>
      </c>
      <c r="L1313" s="21"/>
      <c r="M1313" s="22" t="s">
        <v>2034</v>
      </c>
      <c r="N1313" s="28" t="s">
        <v>2015</v>
      </c>
      <c r="O1313" s="28" t="s">
        <v>2016</v>
      </c>
      <c r="P1313" s="29">
        <v>1868</v>
      </c>
      <c r="Q1313" s="28" t="s">
        <v>2017</v>
      </c>
      <c r="R1313" s="21"/>
      <c r="S1313" s="21"/>
      <c r="T1313" s="21"/>
      <c r="U1313" s="21"/>
      <c r="V1313" s="21"/>
      <c r="W1313" s="21"/>
      <c r="X1313" s="21"/>
    </row>
    <row r="1314" spans="1:24" ht="15.75" thickBot="1" x14ac:dyDescent="0.3">
      <c r="A1314" t="str">
        <f t="shared" si="20"/>
        <v>DET16C177A</v>
      </c>
      <c r="B1314" s="22" t="s">
        <v>5984</v>
      </c>
      <c r="C1314" s="22" t="s">
        <v>5763</v>
      </c>
      <c r="D1314" s="22" t="s">
        <v>5985</v>
      </c>
      <c r="E1314" s="22" t="s">
        <v>5986</v>
      </c>
      <c r="F1314" s="22" t="s">
        <v>5987</v>
      </c>
      <c r="G1314" s="28" t="s">
        <v>2012</v>
      </c>
      <c r="H1314" s="22" t="s">
        <v>2055</v>
      </c>
      <c r="I1314" s="21"/>
      <c r="J1314" s="22" t="s">
        <v>494</v>
      </c>
      <c r="K1314" s="22" t="s">
        <v>924</v>
      </c>
      <c r="L1314" s="21"/>
      <c r="M1314" s="22" t="s">
        <v>2034</v>
      </c>
      <c r="N1314" s="28" t="s">
        <v>2015</v>
      </c>
      <c r="O1314" s="28" t="s">
        <v>2016</v>
      </c>
      <c r="P1314" s="29">
        <v>40</v>
      </c>
      <c r="Q1314" s="28" t="s">
        <v>2017</v>
      </c>
      <c r="R1314" s="21"/>
      <c r="S1314" s="21"/>
      <c r="T1314" s="21"/>
      <c r="U1314" s="21"/>
      <c r="V1314" s="21"/>
      <c r="W1314" s="21"/>
      <c r="X1314" s="21"/>
    </row>
    <row r="1315" spans="1:24" ht="15.75" thickBot="1" x14ac:dyDescent="0.3">
      <c r="A1315" t="str">
        <f t="shared" si="20"/>
        <v>DET16D240A</v>
      </c>
      <c r="B1315" s="22" t="s">
        <v>5988</v>
      </c>
      <c r="C1315" s="22" t="s">
        <v>5580</v>
      </c>
      <c r="D1315" s="22" t="s">
        <v>5989</v>
      </c>
      <c r="E1315" s="22" t="s">
        <v>5990</v>
      </c>
      <c r="F1315" s="22" t="s">
        <v>5991</v>
      </c>
      <c r="G1315" s="28" t="s">
        <v>2012</v>
      </c>
      <c r="H1315" s="22" t="s">
        <v>2055</v>
      </c>
      <c r="I1315" s="21"/>
      <c r="J1315" s="22" t="s">
        <v>494</v>
      </c>
      <c r="K1315" s="22" t="s">
        <v>924</v>
      </c>
      <c r="L1315" s="21"/>
      <c r="M1315" s="22" t="s">
        <v>2034</v>
      </c>
      <c r="N1315" s="28" t="s">
        <v>2015</v>
      </c>
      <c r="O1315" s="28" t="s">
        <v>2016</v>
      </c>
      <c r="P1315" s="29">
        <v>1091</v>
      </c>
      <c r="Q1315" s="28" t="s">
        <v>2017</v>
      </c>
      <c r="R1315" s="21"/>
      <c r="S1315" s="21"/>
      <c r="T1315" s="21"/>
      <c r="U1315" s="21"/>
      <c r="V1315" s="21"/>
      <c r="W1315" s="21"/>
      <c r="X1315" s="21"/>
    </row>
    <row r="1316" spans="1:24" ht="15.75" thickBot="1" x14ac:dyDescent="0.3">
      <c r="A1316" t="str">
        <f t="shared" si="20"/>
        <v>DET16D241A</v>
      </c>
      <c r="B1316" s="22" t="s">
        <v>5992</v>
      </c>
      <c r="C1316" s="22" t="s">
        <v>5763</v>
      </c>
      <c r="D1316" s="22" t="s">
        <v>5989</v>
      </c>
      <c r="E1316" s="22" t="s">
        <v>5993</v>
      </c>
      <c r="F1316" s="22" t="s">
        <v>5994</v>
      </c>
      <c r="G1316" s="28" t="s">
        <v>2012</v>
      </c>
      <c r="H1316" s="22" t="s">
        <v>2055</v>
      </c>
      <c r="I1316" s="21"/>
      <c r="J1316" s="22" t="s">
        <v>494</v>
      </c>
      <c r="K1316" s="22" t="s">
        <v>924</v>
      </c>
      <c r="L1316" s="21"/>
      <c r="M1316" s="22" t="s">
        <v>2034</v>
      </c>
      <c r="N1316" s="28" t="s">
        <v>2015</v>
      </c>
      <c r="O1316" s="28" t="s">
        <v>2016</v>
      </c>
      <c r="P1316" s="29">
        <v>2304</v>
      </c>
      <c r="Q1316" s="28" t="s">
        <v>2017</v>
      </c>
      <c r="R1316" s="21"/>
      <c r="S1316" s="21"/>
      <c r="T1316" s="21"/>
      <c r="U1316" s="21"/>
      <c r="V1316" s="21"/>
      <c r="W1316" s="21"/>
      <c r="X1316" s="21"/>
    </row>
    <row r="1317" spans="1:24" ht="15.75" thickBot="1" x14ac:dyDescent="0.3">
      <c r="A1317" t="str">
        <f t="shared" si="20"/>
        <v>DET16D600A</v>
      </c>
      <c r="B1317" s="22" t="s">
        <v>1395</v>
      </c>
      <c r="C1317" s="22" t="s">
        <v>5580</v>
      </c>
      <c r="D1317" s="22" t="s">
        <v>5995</v>
      </c>
      <c r="E1317" s="22" t="s">
        <v>5996</v>
      </c>
      <c r="F1317" s="22" t="s">
        <v>5997</v>
      </c>
      <c r="G1317" s="28" t="s">
        <v>2012</v>
      </c>
      <c r="H1317" s="22" t="s">
        <v>2055</v>
      </c>
      <c r="I1317" s="21"/>
      <c r="J1317" s="22" t="s">
        <v>494</v>
      </c>
      <c r="K1317" s="22" t="s">
        <v>924</v>
      </c>
      <c r="L1317" s="21"/>
      <c r="M1317" s="22" t="s">
        <v>2034</v>
      </c>
      <c r="N1317" s="28" t="s">
        <v>2015</v>
      </c>
      <c r="O1317" s="28" t="s">
        <v>2016</v>
      </c>
      <c r="P1317" s="29">
        <v>0</v>
      </c>
      <c r="Q1317" s="28" t="s">
        <v>2017</v>
      </c>
      <c r="R1317" s="21"/>
      <c r="S1317" s="21"/>
      <c r="T1317" s="21"/>
      <c r="U1317" s="21"/>
      <c r="V1317" s="21"/>
      <c r="W1317" s="21"/>
      <c r="X1317" s="21"/>
    </row>
    <row r="1318" spans="1:24" ht="15.75" thickBot="1" x14ac:dyDescent="0.3">
      <c r="A1318" t="str">
        <f t="shared" si="20"/>
        <v>DET16D601A</v>
      </c>
      <c r="B1318" s="22" t="s">
        <v>1397</v>
      </c>
      <c r="C1318" s="22" t="s">
        <v>5763</v>
      </c>
      <c r="D1318" s="22" t="s">
        <v>5998</v>
      </c>
      <c r="E1318" s="22" t="s">
        <v>5999</v>
      </c>
      <c r="F1318" s="22" t="s">
        <v>6000</v>
      </c>
      <c r="G1318" s="28" t="s">
        <v>2012</v>
      </c>
      <c r="H1318" s="22" t="s">
        <v>2055</v>
      </c>
      <c r="I1318" s="21"/>
      <c r="J1318" s="22" t="s">
        <v>494</v>
      </c>
      <c r="K1318" s="22" t="s">
        <v>924</v>
      </c>
      <c r="L1318" s="21"/>
      <c r="M1318" s="22" t="s">
        <v>2034</v>
      </c>
      <c r="N1318" s="28" t="s">
        <v>2015</v>
      </c>
      <c r="O1318" s="28" t="s">
        <v>2016</v>
      </c>
      <c r="P1318" s="29">
        <v>0</v>
      </c>
      <c r="Q1318" s="28" t="s">
        <v>2017</v>
      </c>
      <c r="R1318" s="41">
        <v>0</v>
      </c>
      <c r="S1318" s="29">
        <v>4</v>
      </c>
      <c r="T1318" s="32">
        <v>6.2222222222000002E-2</v>
      </c>
      <c r="U1318" s="32">
        <v>0</v>
      </c>
      <c r="V1318" s="41">
        <v>0</v>
      </c>
      <c r="W1318" s="21"/>
      <c r="X1318" s="21"/>
    </row>
    <row r="1319" spans="1:24" ht="15.75" thickBot="1" x14ac:dyDescent="0.3">
      <c r="A1319" t="str">
        <f t="shared" si="20"/>
        <v>DET16E106A</v>
      </c>
      <c r="B1319" s="22" t="s">
        <v>6001</v>
      </c>
      <c r="C1319" s="22" t="s">
        <v>5566</v>
      </c>
      <c r="D1319" s="22" t="s">
        <v>6002</v>
      </c>
      <c r="E1319" s="22" t="s">
        <v>6003</v>
      </c>
      <c r="F1319" s="22" t="s">
        <v>6004</v>
      </c>
      <c r="G1319" s="28" t="s">
        <v>2012</v>
      </c>
      <c r="H1319" s="22" t="s">
        <v>2055</v>
      </c>
      <c r="I1319" s="21"/>
      <c r="J1319" s="22" t="s">
        <v>494</v>
      </c>
      <c r="K1319" s="22" t="s">
        <v>924</v>
      </c>
      <c r="L1319" s="21"/>
      <c r="M1319" s="22" t="s">
        <v>2034</v>
      </c>
      <c r="N1319" s="28" t="s">
        <v>2015</v>
      </c>
      <c r="O1319" s="28" t="s">
        <v>2016</v>
      </c>
      <c r="P1319" s="29">
        <v>1696</v>
      </c>
      <c r="Q1319" s="28" t="s">
        <v>2017</v>
      </c>
      <c r="R1319" s="21"/>
      <c r="S1319" s="21"/>
      <c r="T1319" s="21"/>
      <c r="U1319" s="21"/>
      <c r="V1319" s="21"/>
      <c r="W1319" s="21"/>
      <c r="X1319" s="21"/>
    </row>
    <row r="1320" spans="1:24" ht="15.75" thickBot="1" x14ac:dyDescent="0.3">
      <c r="A1320" t="str">
        <f t="shared" si="20"/>
        <v>DET16E107A</v>
      </c>
      <c r="B1320" s="22" t="s">
        <v>6005</v>
      </c>
      <c r="C1320" s="22" t="s">
        <v>5566</v>
      </c>
      <c r="D1320" s="22" t="s">
        <v>6006</v>
      </c>
      <c r="E1320" s="22" t="s">
        <v>6007</v>
      </c>
      <c r="F1320" s="22" t="s">
        <v>6008</v>
      </c>
      <c r="G1320" s="28" t="s">
        <v>2012</v>
      </c>
      <c r="H1320" s="22" t="s">
        <v>2055</v>
      </c>
      <c r="I1320" s="21"/>
      <c r="J1320" s="22" t="s">
        <v>494</v>
      </c>
      <c r="K1320" s="22" t="s">
        <v>924</v>
      </c>
      <c r="L1320" s="21"/>
      <c r="M1320" s="22" t="s">
        <v>2034</v>
      </c>
      <c r="N1320" s="28" t="s">
        <v>2015</v>
      </c>
      <c r="O1320" s="28" t="s">
        <v>2016</v>
      </c>
      <c r="P1320" s="29">
        <v>148</v>
      </c>
      <c r="Q1320" s="28" t="s">
        <v>2017</v>
      </c>
      <c r="R1320" s="21"/>
      <c r="S1320" s="21"/>
      <c r="T1320" s="21"/>
      <c r="U1320" s="21"/>
      <c r="V1320" s="21"/>
      <c r="W1320" s="21"/>
      <c r="X1320" s="21"/>
    </row>
    <row r="1321" spans="1:24" ht="15.75" thickBot="1" x14ac:dyDescent="0.3">
      <c r="A1321" t="str">
        <f t="shared" si="20"/>
        <v>DET16E208A</v>
      </c>
      <c r="B1321" s="22" t="s">
        <v>6009</v>
      </c>
      <c r="C1321" s="22" t="s">
        <v>5580</v>
      </c>
      <c r="D1321" s="22" t="s">
        <v>6010</v>
      </c>
      <c r="E1321" s="22" t="s">
        <v>6011</v>
      </c>
      <c r="F1321" s="22" t="s">
        <v>6012</v>
      </c>
      <c r="G1321" s="28" t="s">
        <v>2012</v>
      </c>
      <c r="H1321" s="22" t="s">
        <v>2055</v>
      </c>
      <c r="I1321" s="21"/>
      <c r="J1321" s="22" t="s">
        <v>494</v>
      </c>
      <c r="K1321" s="22" t="s">
        <v>924</v>
      </c>
      <c r="L1321" s="21"/>
      <c r="M1321" s="22" t="s">
        <v>2034</v>
      </c>
      <c r="N1321" s="28" t="s">
        <v>2015</v>
      </c>
      <c r="O1321" s="28" t="s">
        <v>2016</v>
      </c>
      <c r="P1321" s="29">
        <v>189</v>
      </c>
      <c r="Q1321" s="28" t="s">
        <v>2017</v>
      </c>
      <c r="R1321" s="21"/>
      <c r="S1321" s="21"/>
      <c r="T1321" s="21"/>
      <c r="U1321" s="21"/>
      <c r="V1321" s="21"/>
      <c r="W1321" s="21"/>
      <c r="X1321" s="21"/>
    </row>
    <row r="1322" spans="1:24" ht="15.75" thickBot="1" x14ac:dyDescent="0.3">
      <c r="A1322" t="str">
        <f t="shared" si="20"/>
        <v>DET16E209A</v>
      </c>
      <c r="B1322" s="22" t="s">
        <v>6013</v>
      </c>
      <c r="C1322" s="22" t="s">
        <v>5763</v>
      </c>
      <c r="D1322" s="22" t="s">
        <v>6010</v>
      </c>
      <c r="E1322" s="22" t="s">
        <v>6014</v>
      </c>
      <c r="F1322" s="22" t="s">
        <v>6015</v>
      </c>
      <c r="G1322" s="28" t="s">
        <v>2012</v>
      </c>
      <c r="H1322" s="22" t="s">
        <v>2055</v>
      </c>
      <c r="I1322" s="21"/>
      <c r="J1322" s="22" t="s">
        <v>494</v>
      </c>
      <c r="K1322" s="22" t="s">
        <v>924</v>
      </c>
      <c r="L1322" s="21"/>
      <c r="M1322" s="22" t="s">
        <v>2034</v>
      </c>
      <c r="N1322" s="28" t="s">
        <v>2015</v>
      </c>
      <c r="O1322" s="28" t="s">
        <v>2016</v>
      </c>
      <c r="P1322" s="29">
        <v>366</v>
      </c>
      <c r="Q1322" s="28" t="s">
        <v>2017</v>
      </c>
      <c r="R1322" s="21"/>
      <c r="S1322" s="21"/>
      <c r="T1322" s="21"/>
      <c r="U1322" s="21"/>
      <c r="V1322" s="21"/>
      <c r="W1322" s="21"/>
      <c r="X1322" s="21"/>
    </row>
    <row r="1323" spans="1:24" ht="15.75" thickBot="1" x14ac:dyDescent="0.3">
      <c r="A1323" t="str">
        <f t="shared" si="20"/>
        <v>DET16K006A</v>
      </c>
      <c r="B1323" s="22" t="s">
        <v>6016</v>
      </c>
      <c r="C1323" s="22" t="s">
        <v>5580</v>
      </c>
      <c r="D1323" s="22" t="s">
        <v>6017</v>
      </c>
      <c r="E1323" s="22" t="s">
        <v>6018</v>
      </c>
      <c r="F1323" s="22" t="s">
        <v>6019</v>
      </c>
      <c r="G1323" s="28" t="s">
        <v>2012</v>
      </c>
      <c r="H1323" s="22" t="s">
        <v>2055</v>
      </c>
      <c r="I1323" s="21"/>
      <c r="J1323" s="22" t="s">
        <v>494</v>
      </c>
      <c r="K1323" s="22" t="s">
        <v>924</v>
      </c>
      <c r="L1323" s="21"/>
      <c r="M1323" s="22" t="s">
        <v>2034</v>
      </c>
      <c r="N1323" s="28" t="s">
        <v>2015</v>
      </c>
      <c r="O1323" s="28" t="s">
        <v>2016</v>
      </c>
      <c r="P1323" s="29">
        <v>1560</v>
      </c>
      <c r="Q1323" s="28" t="s">
        <v>2017</v>
      </c>
      <c r="R1323" s="21"/>
      <c r="S1323" s="21"/>
      <c r="T1323" s="21"/>
      <c r="U1323" s="21"/>
      <c r="V1323" s="21"/>
      <c r="W1323" s="21"/>
      <c r="X1323" s="21"/>
    </row>
    <row r="1324" spans="1:24" ht="15.75" thickBot="1" x14ac:dyDescent="0.3">
      <c r="A1324" t="str">
        <f t="shared" si="20"/>
        <v>DET16K007A</v>
      </c>
      <c r="B1324" s="22" t="s">
        <v>6020</v>
      </c>
      <c r="C1324" s="22" t="s">
        <v>5763</v>
      </c>
      <c r="D1324" s="22" t="s">
        <v>6017</v>
      </c>
      <c r="E1324" s="22" t="s">
        <v>6021</v>
      </c>
      <c r="F1324" s="22" t="s">
        <v>6022</v>
      </c>
      <c r="G1324" s="28" t="s">
        <v>2012</v>
      </c>
      <c r="H1324" s="22" t="s">
        <v>2055</v>
      </c>
      <c r="I1324" s="21"/>
      <c r="J1324" s="22" t="s">
        <v>494</v>
      </c>
      <c r="K1324" s="22" t="s">
        <v>924</v>
      </c>
      <c r="L1324" s="21"/>
      <c r="M1324" s="22" t="s">
        <v>2034</v>
      </c>
      <c r="N1324" s="28" t="s">
        <v>2015</v>
      </c>
      <c r="O1324" s="28" t="s">
        <v>2016</v>
      </c>
      <c r="P1324" s="29">
        <v>260</v>
      </c>
      <c r="Q1324" s="28" t="s">
        <v>2017</v>
      </c>
      <c r="R1324" s="21"/>
      <c r="S1324" s="21"/>
      <c r="T1324" s="21"/>
      <c r="U1324" s="21"/>
      <c r="V1324" s="21"/>
      <c r="W1324" s="21"/>
      <c r="X1324" s="21"/>
    </row>
    <row r="1325" spans="1:24" ht="15.75" thickBot="1" x14ac:dyDescent="0.3">
      <c r="A1325" t="str">
        <f t="shared" si="20"/>
        <v>DET17W996APIA01</v>
      </c>
      <c r="B1325" s="22" t="s">
        <v>6023</v>
      </c>
      <c r="C1325" s="22" t="s">
        <v>5768</v>
      </c>
      <c r="D1325" s="22" t="s">
        <v>6024</v>
      </c>
      <c r="E1325" s="22" t="s">
        <v>6025</v>
      </c>
      <c r="F1325" s="22" t="s">
        <v>6026</v>
      </c>
      <c r="G1325" s="28" t="s">
        <v>2012</v>
      </c>
      <c r="H1325" s="22" t="s">
        <v>2080</v>
      </c>
      <c r="I1325" s="21"/>
      <c r="J1325" s="22" t="s">
        <v>494</v>
      </c>
      <c r="K1325" s="22" t="s">
        <v>924</v>
      </c>
      <c r="L1325" s="21"/>
      <c r="M1325" s="22" t="s">
        <v>2034</v>
      </c>
      <c r="N1325" s="28" t="s">
        <v>2015</v>
      </c>
      <c r="O1325" s="28" t="s">
        <v>2016</v>
      </c>
      <c r="P1325" s="29">
        <v>2483</v>
      </c>
      <c r="Q1325" s="28" t="s">
        <v>2017</v>
      </c>
      <c r="R1325" s="21"/>
      <c r="S1325" s="21"/>
      <c r="T1325" s="21"/>
      <c r="U1325" s="21"/>
      <c r="V1325" s="21"/>
      <c r="W1325" s="21"/>
      <c r="X1325" s="21"/>
    </row>
    <row r="1326" spans="1:24" ht="15.75" thickBot="1" x14ac:dyDescent="0.3">
      <c r="A1326" t="str">
        <f t="shared" si="20"/>
        <v>DET21000K60A</v>
      </c>
      <c r="B1326" s="22" t="s">
        <v>6027</v>
      </c>
      <c r="C1326" s="22" t="s">
        <v>5575</v>
      </c>
      <c r="D1326" s="22" t="s">
        <v>6028</v>
      </c>
      <c r="E1326" s="22" t="s">
        <v>5760</v>
      </c>
      <c r="F1326" s="22" t="s">
        <v>6029</v>
      </c>
      <c r="G1326" s="28" t="s">
        <v>2012</v>
      </c>
      <c r="H1326" s="22" t="s">
        <v>2080</v>
      </c>
      <c r="I1326" s="21"/>
      <c r="J1326" s="22" t="s">
        <v>494</v>
      </c>
      <c r="K1326" s="22" t="s">
        <v>924</v>
      </c>
      <c r="L1326" s="21"/>
      <c r="M1326" s="22" t="s">
        <v>2034</v>
      </c>
      <c r="N1326" s="28" t="s">
        <v>2015</v>
      </c>
      <c r="O1326" s="28" t="s">
        <v>2016</v>
      </c>
      <c r="P1326" s="29">
        <v>202</v>
      </c>
      <c r="Q1326" s="28" t="s">
        <v>2017</v>
      </c>
      <c r="R1326" s="21"/>
      <c r="S1326" s="21"/>
      <c r="T1326" s="21"/>
      <c r="U1326" s="21"/>
      <c r="V1326" s="21"/>
      <c r="W1326" s="21"/>
      <c r="X1326" s="21"/>
    </row>
    <row r="1327" spans="1:24" ht="15.75" thickBot="1" x14ac:dyDescent="0.3">
      <c r="A1327" t="str">
        <f t="shared" si="20"/>
        <v>DET2100340A</v>
      </c>
      <c r="B1327" s="22" t="s">
        <v>6030</v>
      </c>
      <c r="C1327" s="22" t="s">
        <v>5580</v>
      </c>
      <c r="D1327" s="22" t="s">
        <v>6031</v>
      </c>
      <c r="E1327" s="22" t="s">
        <v>6032</v>
      </c>
      <c r="F1327" s="22" t="s">
        <v>6033</v>
      </c>
      <c r="G1327" s="28" t="s">
        <v>2012</v>
      </c>
      <c r="H1327" s="22" t="s">
        <v>2055</v>
      </c>
      <c r="I1327" s="21"/>
      <c r="J1327" s="22" t="s">
        <v>494</v>
      </c>
      <c r="K1327" s="22" t="s">
        <v>924</v>
      </c>
      <c r="L1327" s="21"/>
      <c r="M1327" s="22" t="s">
        <v>2034</v>
      </c>
      <c r="N1327" s="28" t="s">
        <v>2015</v>
      </c>
      <c r="O1327" s="28" t="s">
        <v>2016</v>
      </c>
      <c r="P1327" s="29">
        <v>1830</v>
      </c>
      <c r="Q1327" s="28" t="s">
        <v>2017</v>
      </c>
      <c r="R1327" s="21"/>
      <c r="S1327" s="21"/>
      <c r="T1327" s="21"/>
      <c r="U1327" s="21"/>
      <c r="V1327" s="21"/>
      <c r="W1327" s="21"/>
      <c r="X1327" s="21"/>
    </row>
    <row r="1328" spans="1:24" ht="15.75" thickBot="1" x14ac:dyDescent="0.3">
      <c r="A1328" t="str">
        <f t="shared" si="20"/>
        <v>DET2100341A</v>
      </c>
      <c r="B1328" s="22" t="s">
        <v>6034</v>
      </c>
      <c r="C1328" s="22" t="s">
        <v>5763</v>
      </c>
      <c r="D1328" s="22" t="s">
        <v>6035</v>
      </c>
      <c r="E1328" s="22" t="s">
        <v>6036</v>
      </c>
      <c r="F1328" s="22" t="s">
        <v>6037</v>
      </c>
      <c r="G1328" s="28" t="s">
        <v>2012</v>
      </c>
      <c r="H1328" s="22" t="s">
        <v>2055</v>
      </c>
      <c r="I1328" s="21"/>
      <c r="J1328" s="22" t="s">
        <v>494</v>
      </c>
      <c r="K1328" s="22" t="s">
        <v>924</v>
      </c>
      <c r="L1328" s="21"/>
      <c r="M1328" s="22" t="s">
        <v>2034</v>
      </c>
      <c r="N1328" s="28" t="s">
        <v>2015</v>
      </c>
      <c r="O1328" s="28" t="s">
        <v>2016</v>
      </c>
      <c r="P1328" s="29">
        <v>1173</v>
      </c>
      <c r="Q1328" s="28" t="s">
        <v>2017</v>
      </c>
      <c r="R1328" s="21"/>
      <c r="S1328" s="21"/>
      <c r="T1328" s="21"/>
      <c r="U1328" s="21"/>
      <c r="V1328" s="21"/>
      <c r="W1328" s="21"/>
      <c r="X1328" s="21"/>
    </row>
    <row r="1329" spans="1:24" ht="15.75" thickBot="1" x14ac:dyDescent="0.3">
      <c r="A1329" t="str">
        <f t="shared" si="20"/>
        <v>DET2100374A</v>
      </c>
      <c r="B1329" s="22" t="s">
        <v>6038</v>
      </c>
      <c r="C1329" s="22" t="s">
        <v>6039</v>
      </c>
      <c r="D1329" s="22" t="s">
        <v>6040</v>
      </c>
      <c r="E1329" s="22" t="s">
        <v>6041</v>
      </c>
      <c r="F1329" s="22" t="s">
        <v>6042</v>
      </c>
      <c r="G1329" s="28" t="s">
        <v>2012</v>
      </c>
      <c r="H1329" s="22" t="s">
        <v>2080</v>
      </c>
      <c r="I1329" s="21"/>
      <c r="J1329" s="22" t="s">
        <v>494</v>
      </c>
      <c r="K1329" s="22" t="s">
        <v>924</v>
      </c>
      <c r="L1329" s="21"/>
      <c r="M1329" s="22" t="s">
        <v>2034</v>
      </c>
      <c r="N1329" s="28" t="s">
        <v>2015</v>
      </c>
      <c r="O1329" s="28" t="s">
        <v>2016</v>
      </c>
      <c r="P1329" s="29">
        <v>533</v>
      </c>
      <c r="Q1329" s="28" t="s">
        <v>2017</v>
      </c>
      <c r="R1329" s="21"/>
      <c r="S1329" s="21"/>
      <c r="T1329" s="21"/>
      <c r="U1329" s="21"/>
      <c r="V1329" s="21"/>
      <c r="W1329" s="21"/>
      <c r="X1329" s="21"/>
    </row>
    <row r="1330" spans="1:24" ht="15.75" thickBot="1" x14ac:dyDescent="0.3">
      <c r="A1330" t="str">
        <f t="shared" si="20"/>
        <v>DET2100375A</v>
      </c>
      <c r="B1330" s="22" t="s">
        <v>6043</v>
      </c>
      <c r="C1330" s="22" t="s">
        <v>6044</v>
      </c>
      <c r="D1330" s="22" t="s">
        <v>6040</v>
      </c>
      <c r="E1330" s="22" t="s">
        <v>6045</v>
      </c>
      <c r="F1330" s="22" t="s">
        <v>6046</v>
      </c>
      <c r="G1330" s="28" t="s">
        <v>2012</v>
      </c>
      <c r="H1330" s="22" t="s">
        <v>2080</v>
      </c>
      <c r="I1330" s="21"/>
      <c r="J1330" s="22" t="s">
        <v>494</v>
      </c>
      <c r="K1330" s="22" t="s">
        <v>924</v>
      </c>
      <c r="L1330" s="21"/>
      <c r="M1330" s="22" t="s">
        <v>2034</v>
      </c>
      <c r="N1330" s="28" t="s">
        <v>2015</v>
      </c>
      <c r="O1330" s="28" t="s">
        <v>2016</v>
      </c>
      <c r="P1330" s="29">
        <v>100</v>
      </c>
      <c r="Q1330" s="28" t="s">
        <v>2017</v>
      </c>
      <c r="R1330" s="21"/>
      <c r="S1330" s="21"/>
      <c r="T1330" s="21"/>
      <c r="U1330" s="21"/>
      <c r="V1330" s="21"/>
      <c r="W1330" s="21"/>
      <c r="X1330" s="21"/>
    </row>
    <row r="1331" spans="1:24" ht="15.75" thickBot="1" x14ac:dyDescent="0.3">
      <c r="A1331" t="str">
        <f t="shared" si="20"/>
        <v>DET2101530A</v>
      </c>
      <c r="B1331" s="22" t="s">
        <v>1581</v>
      </c>
      <c r="C1331" s="22" t="s">
        <v>2104</v>
      </c>
      <c r="D1331" s="22" t="s">
        <v>6047</v>
      </c>
      <c r="E1331" s="22" t="s">
        <v>6048</v>
      </c>
      <c r="F1331" s="22" t="s">
        <v>6049</v>
      </c>
      <c r="G1331" s="28" t="s">
        <v>2012</v>
      </c>
      <c r="H1331" s="22" t="s">
        <v>2080</v>
      </c>
      <c r="I1331" s="21"/>
      <c r="J1331" s="22" t="s">
        <v>494</v>
      </c>
      <c r="K1331" s="22" t="s">
        <v>924</v>
      </c>
      <c r="L1331" s="21"/>
      <c r="M1331" s="22" t="s">
        <v>2034</v>
      </c>
      <c r="N1331" s="28" t="s">
        <v>2015</v>
      </c>
      <c r="O1331" s="28" t="s">
        <v>2016</v>
      </c>
      <c r="P1331" s="29">
        <v>256</v>
      </c>
      <c r="Q1331" s="28" t="s">
        <v>2017</v>
      </c>
      <c r="R1331" s="41">
        <v>0.90443739597299999</v>
      </c>
      <c r="S1331" s="29">
        <v>18196</v>
      </c>
      <c r="T1331" s="32">
        <v>283.048888888889</v>
      </c>
      <c r="U1331" s="32">
        <v>0</v>
      </c>
      <c r="V1331" s="41">
        <v>0.90443739597299999</v>
      </c>
      <c r="W1331" s="21"/>
      <c r="X1331" s="21"/>
    </row>
    <row r="1332" spans="1:24" ht="15.75" thickBot="1" x14ac:dyDescent="0.3">
      <c r="A1332" t="str">
        <f t="shared" si="20"/>
        <v>DET2102013A</v>
      </c>
      <c r="B1332" s="22" t="s">
        <v>6050</v>
      </c>
      <c r="C1332" s="22" t="s">
        <v>5580</v>
      </c>
      <c r="D1332" s="22" t="s">
        <v>6051</v>
      </c>
      <c r="E1332" s="22" t="s">
        <v>6052</v>
      </c>
      <c r="F1332" s="22" t="s">
        <v>6053</v>
      </c>
      <c r="G1332" s="28" t="s">
        <v>2012</v>
      </c>
      <c r="H1332" s="22" t="s">
        <v>2055</v>
      </c>
      <c r="I1332" s="21"/>
      <c r="J1332" s="22" t="s">
        <v>494</v>
      </c>
      <c r="K1332" s="22" t="s">
        <v>924</v>
      </c>
      <c r="L1332" s="21"/>
      <c r="M1332" s="22" t="s">
        <v>2034</v>
      </c>
      <c r="N1332" s="28" t="s">
        <v>2015</v>
      </c>
      <c r="O1332" s="28" t="s">
        <v>2016</v>
      </c>
      <c r="P1332" s="29">
        <v>1923</v>
      </c>
      <c r="Q1332" s="28" t="s">
        <v>2017</v>
      </c>
      <c r="R1332" s="21"/>
      <c r="S1332" s="21"/>
      <c r="T1332" s="21"/>
      <c r="U1332" s="21"/>
      <c r="V1332" s="21"/>
      <c r="W1332" s="21"/>
      <c r="X1332" s="21"/>
    </row>
    <row r="1333" spans="1:24" ht="15.75" thickBot="1" x14ac:dyDescent="0.3">
      <c r="A1333" t="str">
        <f t="shared" si="20"/>
        <v>DET2102014A</v>
      </c>
      <c r="B1333" s="22" t="s">
        <v>6054</v>
      </c>
      <c r="C1333" s="22" t="s">
        <v>5763</v>
      </c>
      <c r="D1333" s="22" t="s">
        <v>6051</v>
      </c>
      <c r="E1333" s="22" t="s">
        <v>6055</v>
      </c>
      <c r="F1333" s="22" t="s">
        <v>6056</v>
      </c>
      <c r="G1333" s="28" t="s">
        <v>2012</v>
      </c>
      <c r="H1333" s="22" t="s">
        <v>2055</v>
      </c>
      <c r="I1333" s="21"/>
      <c r="J1333" s="22" t="s">
        <v>494</v>
      </c>
      <c r="K1333" s="22" t="s">
        <v>924</v>
      </c>
      <c r="L1333" s="21"/>
      <c r="M1333" s="22" t="s">
        <v>2034</v>
      </c>
      <c r="N1333" s="28" t="s">
        <v>2015</v>
      </c>
      <c r="O1333" s="28" t="s">
        <v>2016</v>
      </c>
      <c r="P1333" s="29">
        <v>2000</v>
      </c>
      <c r="Q1333" s="28" t="s">
        <v>2017</v>
      </c>
      <c r="R1333" s="21"/>
      <c r="S1333" s="21"/>
      <c r="T1333" s="21"/>
      <c r="U1333" s="21"/>
      <c r="V1333" s="21"/>
      <c r="W1333" s="21"/>
      <c r="X1333" s="21"/>
    </row>
    <row r="1334" spans="1:24" ht="15.75" thickBot="1" x14ac:dyDescent="0.3">
      <c r="A1334" t="str">
        <f t="shared" si="20"/>
        <v>DET2102220MB</v>
      </c>
      <c r="B1334" s="22" t="s">
        <v>6057</v>
      </c>
      <c r="C1334" s="22" t="s">
        <v>6058</v>
      </c>
      <c r="D1334" s="22" t="s">
        <v>3788</v>
      </c>
      <c r="E1334" s="22" t="s">
        <v>6059</v>
      </c>
      <c r="F1334" s="22" t="s">
        <v>3789</v>
      </c>
      <c r="G1334" s="28" t="s">
        <v>2012</v>
      </c>
      <c r="H1334" s="22" t="s">
        <v>2080</v>
      </c>
      <c r="I1334" s="21"/>
      <c r="J1334" s="22" t="s">
        <v>261</v>
      </c>
      <c r="K1334" s="22" t="s">
        <v>924</v>
      </c>
      <c r="L1334" s="21"/>
      <c r="M1334" s="22" t="s">
        <v>2034</v>
      </c>
      <c r="N1334" s="28" t="s">
        <v>2015</v>
      </c>
      <c r="O1334" s="28" t="s">
        <v>2016</v>
      </c>
      <c r="P1334" s="29">
        <v>0</v>
      </c>
      <c r="Q1334" s="28" t="s">
        <v>2017</v>
      </c>
      <c r="R1334" s="21"/>
      <c r="S1334" s="21"/>
      <c r="T1334" s="21"/>
      <c r="U1334" s="21"/>
      <c r="V1334" s="21"/>
      <c r="W1334" s="21"/>
      <c r="X1334" s="21"/>
    </row>
    <row r="1335" spans="1:24" ht="15.75" thickBot="1" x14ac:dyDescent="0.3">
      <c r="A1335" t="str">
        <f t="shared" si="20"/>
        <v>DET21022A06A</v>
      </c>
      <c r="B1335" s="22" t="s">
        <v>6060</v>
      </c>
      <c r="C1335" s="22" t="s">
        <v>5580</v>
      </c>
      <c r="D1335" s="22" t="s">
        <v>6061</v>
      </c>
      <c r="E1335" s="22" t="s">
        <v>6062</v>
      </c>
      <c r="F1335" s="22" t="s">
        <v>6063</v>
      </c>
      <c r="G1335" s="28" t="s">
        <v>2012</v>
      </c>
      <c r="H1335" s="22" t="s">
        <v>2055</v>
      </c>
      <c r="I1335" s="21"/>
      <c r="J1335" s="22" t="s">
        <v>494</v>
      </c>
      <c r="K1335" s="22" t="s">
        <v>924</v>
      </c>
      <c r="L1335" s="21"/>
      <c r="M1335" s="22" t="s">
        <v>2034</v>
      </c>
      <c r="N1335" s="28" t="s">
        <v>2015</v>
      </c>
      <c r="O1335" s="28" t="s">
        <v>2016</v>
      </c>
      <c r="P1335" s="29">
        <v>2155</v>
      </c>
      <c r="Q1335" s="28" t="s">
        <v>2017</v>
      </c>
      <c r="R1335" s="21"/>
      <c r="S1335" s="21"/>
      <c r="T1335" s="21"/>
      <c r="U1335" s="21"/>
      <c r="V1335" s="21"/>
      <c r="W1335" s="21"/>
      <c r="X1335" s="21"/>
    </row>
    <row r="1336" spans="1:24" ht="15.75" thickBot="1" x14ac:dyDescent="0.3">
      <c r="A1336" t="str">
        <f t="shared" si="20"/>
        <v>DET21022A07A</v>
      </c>
      <c r="B1336" s="22" t="s">
        <v>6064</v>
      </c>
      <c r="C1336" s="22" t="s">
        <v>5763</v>
      </c>
      <c r="D1336" s="22" t="s">
        <v>6065</v>
      </c>
      <c r="E1336" s="22" t="s">
        <v>6066</v>
      </c>
      <c r="F1336" s="22" t="s">
        <v>6067</v>
      </c>
      <c r="G1336" s="28" t="s">
        <v>2012</v>
      </c>
      <c r="H1336" s="22" t="s">
        <v>2055</v>
      </c>
      <c r="I1336" s="21"/>
      <c r="J1336" s="22" t="s">
        <v>494</v>
      </c>
      <c r="K1336" s="22" t="s">
        <v>924</v>
      </c>
      <c r="L1336" s="21"/>
      <c r="M1336" s="22" t="s">
        <v>2034</v>
      </c>
      <c r="N1336" s="28" t="s">
        <v>2015</v>
      </c>
      <c r="O1336" s="28" t="s">
        <v>2016</v>
      </c>
      <c r="P1336" s="29">
        <v>2300</v>
      </c>
      <c r="Q1336" s="28" t="s">
        <v>2017</v>
      </c>
      <c r="R1336" s="21"/>
      <c r="S1336" s="21"/>
      <c r="T1336" s="21"/>
      <c r="U1336" s="21"/>
      <c r="V1336" s="21"/>
      <c r="W1336" s="21"/>
      <c r="X1336" s="21"/>
    </row>
    <row r="1337" spans="1:24" ht="15.75" thickBot="1" x14ac:dyDescent="0.3">
      <c r="A1337" t="str">
        <f t="shared" si="20"/>
        <v>DET21025A62A</v>
      </c>
      <c r="B1337" s="22" t="s">
        <v>6068</v>
      </c>
      <c r="C1337" s="22" t="s">
        <v>2104</v>
      </c>
      <c r="D1337" s="22" t="s">
        <v>6069</v>
      </c>
      <c r="E1337" s="22" t="s">
        <v>6070</v>
      </c>
      <c r="F1337" s="22" t="s">
        <v>6071</v>
      </c>
      <c r="G1337" s="28" t="s">
        <v>5499</v>
      </c>
      <c r="H1337" s="22" t="s">
        <v>2080</v>
      </c>
      <c r="I1337" s="21"/>
      <c r="J1337" s="22" t="s">
        <v>494</v>
      </c>
      <c r="K1337" s="22" t="s">
        <v>924</v>
      </c>
      <c r="L1337" s="21"/>
      <c r="M1337" s="22" t="s">
        <v>2034</v>
      </c>
      <c r="N1337" s="28" t="s">
        <v>2015</v>
      </c>
      <c r="O1337" s="28" t="s">
        <v>2016</v>
      </c>
      <c r="P1337" s="29">
        <v>0</v>
      </c>
      <c r="Q1337" s="28" t="s">
        <v>2017</v>
      </c>
      <c r="R1337" s="21"/>
      <c r="S1337" s="21"/>
      <c r="T1337" s="21"/>
      <c r="U1337" s="21"/>
      <c r="V1337" s="21"/>
      <c r="W1337" s="21"/>
      <c r="X1337" s="21"/>
    </row>
    <row r="1338" spans="1:24" ht="15.75" thickBot="1" x14ac:dyDescent="0.3">
      <c r="A1338" t="str">
        <f t="shared" si="20"/>
        <v>DET21025A62MB</v>
      </c>
      <c r="B1338" s="22" t="s">
        <v>6072</v>
      </c>
      <c r="C1338" s="22" t="s">
        <v>6073</v>
      </c>
      <c r="D1338" s="22" t="s">
        <v>2888</v>
      </c>
      <c r="E1338" s="21"/>
      <c r="F1338" s="22" t="s">
        <v>2889</v>
      </c>
      <c r="G1338" s="28" t="s">
        <v>2012</v>
      </c>
      <c r="H1338" s="22" t="s">
        <v>2080</v>
      </c>
      <c r="I1338" s="21"/>
      <c r="J1338" s="22" t="s">
        <v>261</v>
      </c>
      <c r="K1338" s="22" t="s">
        <v>924</v>
      </c>
      <c r="L1338" s="21"/>
      <c r="M1338" s="22" t="s">
        <v>2034</v>
      </c>
      <c r="N1338" s="28" t="s">
        <v>2015</v>
      </c>
      <c r="O1338" s="28" t="s">
        <v>2016</v>
      </c>
      <c r="P1338" s="29">
        <v>0</v>
      </c>
      <c r="Q1338" s="28" t="s">
        <v>2017</v>
      </c>
      <c r="R1338" s="21"/>
      <c r="S1338" s="21"/>
      <c r="T1338" s="21"/>
      <c r="U1338" s="21"/>
      <c r="V1338" s="21"/>
      <c r="W1338" s="21"/>
      <c r="X1338" s="21"/>
    </row>
    <row r="1339" spans="1:24" ht="15.75" thickBot="1" x14ac:dyDescent="0.3">
      <c r="A1339" t="str">
        <f t="shared" si="20"/>
        <v>DET21025A65A</v>
      </c>
      <c r="B1339" s="22" t="s">
        <v>6074</v>
      </c>
      <c r="C1339" s="22" t="s">
        <v>5556</v>
      </c>
      <c r="D1339" s="22" t="s">
        <v>6075</v>
      </c>
      <c r="E1339" s="22" t="s">
        <v>6076</v>
      </c>
      <c r="F1339" s="22" t="s">
        <v>6077</v>
      </c>
      <c r="G1339" s="28" t="s">
        <v>2012</v>
      </c>
      <c r="H1339" s="22" t="s">
        <v>2080</v>
      </c>
      <c r="I1339" s="21"/>
      <c r="J1339" s="22" t="s">
        <v>494</v>
      </c>
      <c r="K1339" s="22" t="s">
        <v>924</v>
      </c>
      <c r="L1339" s="21"/>
      <c r="M1339" s="22" t="s">
        <v>2034</v>
      </c>
      <c r="N1339" s="28" t="s">
        <v>2015</v>
      </c>
      <c r="O1339" s="28" t="s">
        <v>2016</v>
      </c>
      <c r="P1339" s="29">
        <v>100</v>
      </c>
      <c r="Q1339" s="28" t="s">
        <v>2017</v>
      </c>
      <c r="R1339" s="21"/>
      <c r="S1339" s="21"/>
      <c r="T1339" s="21"/>
      <c r="U1339" s="21"/>
      <c r="V1339" s="21"/>
      <c r="W1339" s="21"/>
      <c r="X1339" s="21"/>
    </row>
    <row r="1340" spans="1:24" ht="15.75" thickBot="1" x14ac:dyDescent="0.3">
      <c r="A1340" t="str">
        <f t="shared" si="20"/>
        <v>DET21044C30A</v>
      </c>
      <c r="B1340" s="22" t="s">
        <v>6078</v>
      </c>
      <c r="C1340" s="22" t="s">
        <v>2104</v>
      </c>
      <c r="D1340" s="22" t="s">
        <v>6079</v>
      </c>
      <c r="E1340" s="22" t="s">
        <v>6080</v>
      </c>
      <c r="F1340" s="22" t="s">
        <v>6081</v>
      </c>
      <c r="G1340" s="28" t="s">
        <v>2012</v>
      </c>
      <c r="H1340" s="22" t="s">
        <v>2080</v>
      </c>
      <c r="I1340" s="21"/>
      <c r="J1340" s="22" t="s">
        <v>494</v>
      </c>
      <c r="K1340" s="22" t="s">
        <v>924</v>
      </c>
      <c r="L1340" s="21"/>
      <c r="M1340" s="22" t="s">
        <v>2034</v>
      </c>
      <c r="N1340" s="28" t="s">
        <v>2015</v>
      </c>
      <c r="O1340" s="28" t="s">
        <v>2016</v>
      </c>
      <c r="P1340" s="29">
        <v>26</v>
      </c>
      <c r="Q1340" s="28" t="s">
        <v>2017</v>
      </c>
      <c r="R1340" s="21"/>
      <c r="S1340" s="21"/>
      <c r="T1340" s="21"/>
      <c r="U1340" s="21"/>
      <c r="V1340" s="21"/>
      <c r="W1340" s="21"/>
      <c r="X1340" s="21"/>
    </row>
    <row r="1341" spans="1:24" ht="15.75" thickBot="1" x14ac:dyDescent="0.3">
      <c r="A1341" t="str">
        <f t="shared" si="20"/>
        <v>DET2110032A</v>
      </c>
      <c r="B1341" s="22" t="s">
        <v>6082</v>
      </c>
      <c r="C1341" s="22" t="s">
        <v>5754</v>
      </c>
      <c r="D1341" s="22" t="s">
        <v>6083</v>
      </c>
      <c r="E1341" s="22" t="s">
        <v>6084</v>
      </c>
      <c r="F1341" s="22" t="s">
        <v>6085</v>
      </c>
      <c r="G1341" s="28" t="s">
        <v>2012</v>
      </c>
      <c r="H1341" s="22" t="s">
        <v>2080</v>
      </c>
      <c r="I1341" s="21"/>
      <c r="J1341" s="22" t="s">
        <v>494</v>
      </c>
      <c r="K1341" s="22" t="s">
        <v>924</v>
      </c>
      <c r="L1341" s="21"/>
      <c r="M1341" s="22" t="s">
        <v>2034</v>
      </c>
      <c r="N1341" s="28" t="s">
        <v>2015</v>
      </c>
      <c r="O1341" s="28" t="s">
        <v>2016</v>
      </c>
      <c r="P1341" s="29">
        <v>98</v>
      </c>
      <c r="Q1341" s="28" t="s">
        <v>2017</v>
      </c>
      <c r="R1341" s="21"/>
      <c r="S1341" s="21"/>
      <c r="T1341" s="21"/>
      <c r="U1341" s="21"/>
      <c r="V1341" s="21"/>
      <c r="W1341" s="21"/>
      <c r="X1341" s="21"/>
    </row>
    <row r="1342" spans="1:24" ht="15.75" thickBot="1" x14ac:dyDescent="0.3">
      <c r="A1342" t="str">
        <f t="shared" si="20"/>
        <v>DET2110117A</v>
      </c>
      <c r="B1342" s="22" t="s">
        <v>6086</v>
      </c>
      <c r="C1342" s="22" t="s">
        <v>6087</v>
      </c>
      <c r="D1342" s="22" t="s">
        <v>6088</v>
      </c>
      <c r="E1342" s="22" t="s">
        <v>6089</v>
      </c>
      <c r="F1342" s="22" t="s">
        <v>6090</v>
      </c>
      <c r="G1342" s="28" t="s">
        <v>2012</v>
      </c>
      <c r="H1342" s="22" t="s">
        <v>2080</v>
      </c>
      <c r="I1342" s="21"/>
      <c r="J1342" s="22" t="s">
        <v>494</v>
      </c>
      <c r="K1342" s="22" t="s">
        <v>924</v>
      </c>
      <c r="L1342" s="21"/>
      <c r="M1342" s="22" t="s">
        <v>2034</v>
      </c>
      <c r="N1342" s="28" t="s">
        <v>2015</v>
      </c>
      <c r="O1342" s="28" t="s">
        <v>2016</v>
      </c>
      <c r="P1342" s="29">
        <v>0</v>
      </c>
      <c r="Q1342" s="28" t="s">
        <v>2017</v>
      </c>
      <c r="R1342" s="21"/>
      <c r="S1342" s="21"/>
      <c r="T1342" s="21"/>
      <c r="U1342" s="21"/>
      <c r="V1342" s="21"/>
      <c r="W1342" s="21"/>
      <c r="X1342" s="21"/>
    </row>
    <row r="1343" spans="1:24" ht="15.75" thickBot="1" x14ac:dyDescent="0.3">
      <c r="A1343" t="str">
        <f t="shared" si="20"/>
        <v>DET2110130A</v>
      </c>
      <c r="B1343" s="22" t="s">
        <v>6091</v>
      </c>
      <c r="C1343" s="22" t="s">
        <v>6092</v>
      </c>
      <c r="D1343" s="22" t="s">
        <v>6093</v>
      </c>
      <c r="E1343" s="22" t="s">
        <v>6094</v>
      </c>
      <c r="F1343" s="22" t="s">
        <v>6095</v>
      </c>
      <c r="G1343" s="28" t="s">
        <v>2012</v>
      </c>
      <c r="H1343" s="22" t="s">
        <v>2080</v>
      </c>
      <c r="I1343" s="21"/>
      <c r="J1343" s="22" t="s">
        <v>494</v>
      </c>
      <c r="K1343" s="22" t="s">
        <v>924</v>
      </c>
      <c r="L1343" s="21"/>
      <c r="M1343" s="22" t="s">
        <v>2034</v>
      </c>
      <c r="N1343" s="28" t="s">
        <v>2015</v>
      </c>
      <c r="O1343" s="28" t="s">
        <v>2016</v>
      </c>
      <c r="P1343" s="29">
        <v>100</v>
      </c>
      <c r="Q1343" s="28" t="s">
        <v>2017</v>
      </c>
      <c r="R1343" s="21"/>
      <c r="S1343" s="21"/>
      <c r="T1343" s="21"/>
      <c r="U1343" s="21"/>
      <c r="V1343" s="21"/>
      <c r="W1343" s="21"/>
      <c r="X1343" s="21"/>
    </row>
    <row r="1344" spans="1:24" ht="15.75" thickBot="1" x14ac:dyDescent="0.3">
      <c r="A1344" t="str">
        <f t="shared" si="20"/>
        <v>DET2110131A</v>
      </c>
      <c r="B1344" s="22" t="s">
        <v>6096</v>
      </c>
      <c r="C1344" s="22" t="s">
        <v>6097</v>
      </c>
      <c r="D1344" s="22" t="s">
        <v>3202</v>
      </c>
      <c r="E1344" s="22" t="s">
        <v>6098</v>
      </c>
      <c r="F1344" s="22" t="s">
        <v>6099</v>
      </c>
      <c r="G1344" s="28" t="s">
        <v>2012</v>
      </c>
      <c r="H1344" s="22" t="s">
        <v>2080</v>
      </c>
      <c r="I1344" s="21"/>
      <c r="J1344" s="22" t="s">
        <v>494</v>
      </c>
      <c r="K1344" s="22" t="s">
        <v>924</v>
      </c>
      <c r="L1344" s="21"/>
      <c r="M1344" s="22" t="s">
        <v>2034</v>
      </c>
      <c r="N1344" s="28" t="s">
        <v>2015</v>
      </c>
      <c r="O1344" s="28" t="s">
        <v>2016</v>
      </c>
      <c r="P1344" s="29">
        <v>100</v>
      </c>
      <c r="Q1344" s="28" t="s">
        <v>2017</v>
      </c>
      <c r="R1344" s="21"/>
      <c r="S1344" s="21"/>
      <c r="T1344" s="21"/>
      <c r="U1344" s="21"/>
      <c r="V1344" s="21"/>
      <c r="W1344" s="21"/>
      <c r="X1344" s="21"/>
    </row>
    <row r="1345" spans="1:24" ht="15.75" thickBot="1" x14ac:dyDescent="0.3">
      <c r="A1345" t="str">
        <f t="shared" si="20"/>
        <v>DET21101A67A</v>
      </c>
      <c r="B1345" s="22" t="s">
        <v>6100</v>
      </c>
      <c r="C1345" s="22" t="s">
        <v>5763</v>
      </c>
      <c r="D1345" s="22" t="s">
        <v>6101</v>
      </c>
      <c r="E1345" s="22" t="s">
        <v>6102</v>
      </c>
      <c r="F1345" s="22" t="s">
        <v>6103</v>
      </c>
      <c r="G1345" s="28" t="s">
        <v>2012</v>
      </c>
      <c r="H1345" s="22" t="s">
        <v>2055</v>
      </c>
      <c r="I1345" s="21"/>
      <c r="J1345" s="22" t="s">
        <v>494</v>
      </c>
      <c r="K1345" s="22" t="s">
        <v>924</v>
      </c>
      <c r="L1345" s="21"/>
      <c r="M1345" s="22" t="s">
        <v>2034</v>
      </c>
      <c r="N1345" s="28" t="s">
        <v>2015</v>
      </c>
      <c r="O1345" s="28" t="s">
        <v>2016</v>
      </c>
      <c r="P1345" s="29">
        <v>1433</v>
      </c>
      <c r="Q1345" s="28" t="s">
        <v>2017</v>
      </c>
      <c r="R1345" s="21"/>
      <c r="S1345" s="21"/>
      <c r="T1345" s="21"/>
      <c r="U1345" s="21"/>
      <c r="V1345" s="21"/>
      <c r="W1345" s="21"/>
      <c r="X1345" s="21"/>
    </row>
    <row r="1346" spans="1:24" ht="15.75" thickBot="1" x14ac:dyDescent="0.3">
      <c r="A1346" t="str">
        <f t="shared" si="20"/>
        <v>DET2110203A</v>
      </c>
      <c r="B1346" s="22" t="s">
        <v>6104</v>
      </c>
      <c r="C1346" s="22" t="s">
        <v>6105</v>
      </c>
      <c r="D1346" s="22" t="s">
        <v>6106</v>
      </c>
      <c r="E1346" s="22" t="s">
        <v>6107</v>
      </c>
      <c r="F1346" s="22" t="s">
        <v>6108</v>
      </c>
      <c r="G1346" s="28" t="s">
        <v>2012</v>
      </c>
      <c r="H1346" s="22" t="s">
        <v>2080</v>
      </c>
      <c r="I1346" s="21"/>
      <c r="J1346" s="22" t="s">
        <v>494</v>
      </c>
      <c r="K1346" s="22" t="s">
        <v>924</v>
      </c>
      <c r="L1346" s="21"/>
      <c r="M1346" s="22" t="s">
        <v>2034</v>
      </c>
      <c r="N1346" s="28" t="s">
        <v>2015</v>
      </c>
      <c r="O1346" s="28" t="s">
        <v>2016</v>
      </c>
      <c r="P1346" s="29">
        <v>200</v>
      </c>
      <c r="Q1346" s="28" t="s">
        <v>2017</v>
      </c>
      <c r="R1346" s="21"/>
      <c r="S1346" s="21"/>
      <c r="T1346" s="21"/>
      <c r="U1346" s="21"/>
      <c r="V1346" s="21"/>
      <c r="W1346" s="21"/>
      <c r="X1346" s="21"/>
    </row>
    <row r="1347" spans="1:24" ht="15.75" thickBot="1" x14ac:dyDescent="0.3">
      <c r="A1347" t="str">
        <f t="shared" si="20"/>
        <v>DET21104A98A</v>
      </c>
      <c r="B1347" s="22" t="s">
        <v>6109</v>
      </c>
      <c r="C1347" s="22" t="s">
        <v>6110</v>
      </c>
      <c r="D1347" s="22" t="s">
        <v>6111</v>
      </c>
      <c r="E1347" s="22" t="s">
        <v>6112</v>
      </c>
      <c r="F1347" s="22" t="s">
        <v>6113</v>
      </c>
      <c r="G1347" s="28" t="s">
        <v>2012</v>
      </c>
      <c r="H1347" s="22" t="s">
        <v>2080</v>
      </c>
      <c r="I1347" s="21"/>
      <c r="J1347" s="22" t="s">
        <v>494</v>
      </c>
      <c r="K1347" s="22" t="s">
        <v>924</v>
      </c>
      <c r="L1347" s="21"/>
      <c r="M1347" s="22" t="s">
        <v>2034</v>
      </c>
      <c r="N1347" s="28" t="s">
        <v>2015</v>
      </c>
      <c r="O1347" s="28" t="s">
        <v>2016</v>
      </c>
      <c r="P1347" s="29">
        <v>212</v>
      </c>
      <c r="Q1347" s="28" t="s">
        <v>2017</v>
      </c>
      <c r="R1347" s="21"/>
      <c r="S1347" s="21"/>
      <c r="T1347" s="21"/>
      <c r="U1347" s="21"/>
      <c r="V1347" s="21"/>
      <c r="W1347" s="21"/>
      <c r="X1347" s="21"/>
    </row>
    <row r="1348" spans="1:24" ht="15.75" thickBot="1" x14ac:dyDescent="0.3">
      <c r="A1348" t="str">
        <f t="shared" si="20"/>
        <v>DET21104A99A</v>
      </c>
      <c r="B1348" s="22" t="s">
        <v>6114</v>
      </c>
      <c r="C1348" s="22" t="s">
        <v>6110</v>
      </c>
      <c r="D1348" s="22" t="s">
        <v>6111</v>
      </c>
      <c r="E1348" s="22" t="s">
        <v>6115</v>
      </c>
      <c r="F1348" s="22" t="s">
        <v>6116</v>
      </c>
      <c r="G1348" s="28" t="s">
        <v>2012</v>
      </c>
      <c r="H1348" s="22" t="s">
        <v>2080</v>
      </c>
      <c r="I1348" s="21"/>
      <c r="J1348" s="22" t="s">
        <v>494</v>
      </c>
      <c r="K1348" s="22" t="s">
        <v>924</v>
      </c>
      <c r="L1348" s="21"/>
      <c r="M1348" s="22" t="s">
        <v>2034</v>
      </c>
      <c r="N1348" s="28" t="s">
        <v>2015</v>
      </c>
      <c r="O1348" s="28" t="s">
        <v>2016</v>
      </c>
      <c r="P1348" s="29">
        <v>229</v>
      </c>
      <c r="Q1348" s="28" t="s">
        <v>2017</v>
      </c>
      <c r="R1348" s="21"/>
      <c r="S1348" s="21"/>
      <c r="T1348" s="21"/>
      <c r="U1348" s="21"/>
      <c r="V1348" s="21"/>
      <c r="W1348" s="21"/>
      <c r="X1348" s="21"/>
    </row>
    <row r="1349" spans="1:24" ht="15.75" thickBot="1" x14ac:dyDescent="0.3">
      <c r="A1349" t="str">
        <f t="shared" ref="A1349:A1412" si="21">TRIM(B1349)</f>
        <v>DET2110620A</v>
      </c>
      <c r="B1349" s="22" t="s">
        <v>6117</v>
      </c>
      <c r="C1349" s="22" t="s">
        <v>5721</v>
      </c>
      <c r="D1349" s="22" t="s">
        <v>6118</v>
      </c>
      <c r="E1349" s="22" t="s">
        <v>6119</v>
      </c>
      <c r="F1349" s="22" t="s">
        <v>6120</v>
      </c>
      <c r="G1349" s="28" t="s">
        <v>2012</v>
      </c>
      <c r="H1349" s="22" t="s">
        <v>2080</v>
      </c>
      <c r="I1349" s="21"/>
      <c r="J1349" s="22" t="s">
        <v>494</v>
      </c>
      <c r="K1349" s="22" t="s">
        <v>924</v>
      </c>
      <c r="L1349" s="21"/>
      <c r="M1349" s="22" t="s">
        <v>2034</v>
      </c>
      <c r="N1349" s="28" t="s">
        <v>2015</v>
      </c>
      <c r="O1349" s="28" t="s">
        <v>2016</v>
      </c>
      <c r="P1349" s="29">
        <v>245</v>
      </c>
      <c r="Q1349" s="28" t="s">
        <v>2017</v>
      </c>
      <c r="R1349" s="21"/>
      <c r="S1349" s="21"/>
      <c r="T1349" s="21"/>
      <c r="U1349" s="21"/>
      <c r="V1349" s="21"/>
      <c r="W1349" s="21"/>
      <c r="X1349" s="21"/>
    </row>
    <row r="1350" spans="1:24" ht="15.75" thickBot="1" x14ac:dyDescent="0.3">
      <c r="A1350" t="str">
        <f t="shared" si="21"/>
        <v>DET21106A58A</v>
      </c>
      <c r="B1350" s="22" t="s">
        <v>6121</v>
      </c>
      <c r="C1350" s="22" t="s">
        <v>5575</v>
      </c>
      <c r="D1350" s="22" t="s">
        <v>5008</v>
      </c>
      <c r="E1350" s="22" t="s">
        <v>6122</v>
      </c>
      <c r="F1350" s="22" t="s">
        <v>6123</v>
      </c>
      <c r="G1350" s="28" t="s">
        <v>2012</v>
      </c>
      <c r="H1350" s="22" t="s">
        <v>2080</v>
      </c>
      <c r="I1350" s="21"/>
      <c r="J1350" s="22" t="s">
        <v>494</v>
      </c>
      <c r="K1350" s="22" t="s">
        <v>924</v>
      </c>
      <c r="L1350" s="21"/>
      <c r="M1350" s="22" t="s">
        <v>2034</v>
      </c>
      <c r="N1350" s="28" t="s">
        <v>2015</v>
      </c>
      <c r="O1350" s="28" t="s">
        <v>2016</v>
      </c>
      <c r="P1350" s="29">
        <v>100</v>
      </c>
      <c r="Q1350" s="28" t="s">
        <v>2017</v>
      </c>
      <c r="R1350" s="21"/>
      <c r="S1350" s="21"/>
      <c r="T1350" s="21"/>
      <c r="U1350" s="21"/>
      <c r="V1350" s="21"/>
      <c r="W1350" s="21"/>
      <c r="X1350" s="21"/>
    </row>
    <row r="1351" spans="1:24" ht="15.75" thickBot="1" x14ac:dyDescent="0.3">
      <c r="A1351" t="str">
        <f t="shared" si="21"/>
        <v>DET21106B52A</v>
      </c>
      <c r="B1351" s="22" t="s">
        <v>6124</v>
      </c>
      <c r="C1351" s="22" t="s">
        <v>3194</v>
      </c>
      <c r="D1351" s="22" t="s">
        <v>6125</v>
      </c>
      <c r="E1351" s="22" t="s">
        <v>6126</v>
      </c>
      <c r="F1351" s="22" t="s">
        <v>6127</v>
      </c>
      <c r="G1351" s="28" t="s">
        <v>2012</v>
      </c>
      <c r="H1351" s="22" t="s">
        <v>2080</v>
      </c>
      <c r="I1351" s="21"/>
      <c r="J1351" s="22" t="s">
        <v>494</v>
      </c>
      <c r="K1351" s="22" t="s">
        <v>924</v>
      </c>
      <c r="L1351" s="21"/>
      <c r="M1351" s="22" t="s">
        <v>2034</v>
      </c>
      <c r="N1351" s="28" t="s">
        <v>2015</v>
      </c>
      <c r="O1351" s="28" t="s">
        <v>2016</v>
      </c>
      <c r="P1351" s="29">
        <v>60</v>
      </c>
      <c r="Q1351" s="28" t="s">
        <v>2017</v>
      </c>
      <c r="R1351" s="21"/>
      <c r="S1351" s="21"/>
      <c r="T1351" s="21"/>
      <c r="U1351" s="21"/>
      <c r="V1351" s="21"/>
      <c r="W1351" s="21"/>
      <c r="X1351" s="21"/>
    </row>
    <row r="1352" spans="1:24" ht="15.75" thickBot="1" x14ac:dyDescent="0.3">
      <c r="A1352" t="str">
        <f t="shared" si="21"/>
        <v>DET2110706A</v>
      </c>
      <c r="B1352" s="22" t="s">
        <v>6128</v>
      </c>
      <c r="C1352" s="22" t="s">
        <v>5575</v>
      </c>
      <c r="D1352" s="22" t="s">
        <v>4012</v>
      </c>
      <c r="E1352" s="22" t="s">
        <v>6129</v>
      </c>
      <c r="F1352" s="22" t="s">
        <v>6130</v>
      </c>
      <c r="G1352" s="28" t="s">
        <v>2012</v>
      </c>
      <c r="H1352" s="22" t="s">
        <v>2080</v>
      </c>
      <c r="I1352" s="21"/>
      <c r="J1352" s="22" t="s">
        <v>494</v>
      </c>
      <c r="K1352" s="22" t="s">
        <v>924</v>
      </c>
      <c r="L1352" s="21"/>
      <c r="M1352" s="22" t="s">
        <v>2034</v>
      </c>
      <c r="N1352" s="28" t="s">
        <v>2015</v>
      </c>
      <c r="O1352" s="28" t="s">
        <v>2016</v>
      </c>
      <c r="P1352" s="29">
        <v>107</v>
      </c>
      <c r="Q1352" s="28" t="s">
        <v>2017</v>
      </c>
      <c r="R1352" s="21"/>
      <c r="S1352" s="21"/>
      <c r="T1352" s="21"/>
      <c r="U1352" s="21"/>
      <c r="V1352" s="21"/>
      <c r="W1352" s="21"/>
      <c r="X1352" s="21"/>
    </row>
    <row r="1353" spans="1:24" ht="15.75" thickBot="1" x14ac:dyDescent="0.3">
      <c r="A1353" t="str">
        <f t="shared" si="21"/>
        <v>DET2110707A</v>
      </c>
      <c r="B1353" s="22" t="s">
        <v>6131</v>
      </c>
      <c r="C1353" s="22" t="s">
        <v>5575</v>
      </c>
      <c r="D1353" s="22" t="s">
        <v>6132</v>
      </c>
      <c r="E1353" s="22" t="s">
        <v>6133</v>
      </c>
      <c r="F1353" s="22" t="s">
        <v>6134</v>
      </c>
      <c r="G1353" s="28" t="s">
        <v>2012</v>
      </c>
      <c r="H1353" s="22" t="s">
        <v>2080</v>
      </c>
      <c r="I1353" s="21"/>
      <c r="J1353" s="22" t="s">
        <v>494</v>
      </c>
      <c r="K1353" s="22" t="s">
        <v>924</v>
      </c>
      <c r="L1353" s="21"/>
      <c r="M1353" s="22" t="s">
        <v>2034</v>
      </c>
      <c r="N1353" s="28" t="s">
        <v>2015</v>
      </c>
      <c r="O1353" s="28" t="s">
        <v>2016</v>
      </c>
      <c r="P1353" s="29">
        <v>98</v>
      </c>
      <c r="Q1353" s="28" t="s">
        <v>2017</v>
      </c>
      <c r="R1353" s="21"/>
      <c r="S1353" s="21"/>
      <c r="T1353" s="21"/>
      <c r="U1353" s="21"/>
      <c r="V1353" s="21"/>
      <c r="W1353" s="21"/>
      <c r="X1353" s="21"/>
    </row>
    <row r="1354" spans="1:24" ht="15.75" thickBot="1" x14ac:dyDescent="0.3">
      <c r="A1354" t="str">
        <f t="shared" si="21"/>
        <v>DET2110766C</v>
      </c>
      <c r="B1354" s="22" t="s">
        <v>6135</v>
      </c>
      <c r="C1354" s="22" t="s">
        <v>6136</v>
      </c>
      <c r="D1354" s="22" t="s">
        <v>6137</v>
      </c>
      <c r="E1354" s="22" t="s">
        <v>6138</v>
      </c>
      <c r="F1354" s="22" t="s">
        <v>6139</v>
      </c>
      <c r="G1354" s="28" t="s">
        <v>2012</v>
      </c>
      <c r="H1354" s="22" t="s">
        <v>2080</v>
      </c>
      <c r="I1354" s="21"/>
      <c r="J1354" s="22" t="s">
        <v>494</v>
      </c>
      <c r="K1354" s="22" t="s">
        <v>924</v>
      </c>
      <c r="L1354" s="21"/>
      <c r="M1354" s="22" t="s">
        <v>2034</v>
      </c>
      <c r="N1354" s="28" t="s">
        <v>2015</v>
      </c>
      <c r="O1354" s="28" t="s">
        <v>2016</v>
      </c>
      <c r="P1354" s="29">
        <v>100</v>
      </c>
      <c r="Q1354" s="28" t="s">
        <v>2017</v>
      </c>
      <c r="R1354" s="21"/>
      <c r="S1354" s="21"/>
      <c r="T1354" s="21"/>
      <c r="U1354" s="21"/>
      <c r="V1354" s="21"/>
      <c r="W1354" s="21"/>
      <c r="X1354" s="21"/>
    </row>
    <row r="1355" spans="1:24" ht="15.75" thickBot="1" x14ac:dyDescent="0.3">
      <c r="A1355" t="str">
        <f t="shared" si="21"/>
        <v>DET2110792A</v>
      </c>
      <c r="B1355" s="22" t="s">
        <v>6140</v>
      </c>
      <c r="C1355" s="22" t="s">
        <v>3194</v>
      </c>
      <c r="D1355" s="22" t="s">
        <v>6141</v>
      </c>
      <c r="E1355" s="22" t="s">
        <v>6142</v>
      </c>
      <c r="F1355" s="22" t="s">
        <v>6143</v>
      </c>
      <c r="G1355" s="28" t="s">
        <v>2012</v>
      </c>
      <c r="H1355" s="22" t="s">
        <v>2080</v>
      </c>
      <c r="I1355" s="21"/>
      <c r="J1355" s="22" t="s">
        <v>494</v>
      </c>
      <c r="K1355" s="22" t="s">
        <v>924</v>
      </c>
      <c r="L1355" s="21"/>
      <c r="M1355" s="22" t="s">
        <v>2034</v>
      </c>
      <c r="N1355" s="28" t="s">
        <v>2015</v>
      </c>
      <c r="O1355" s="28" t="s">
        <v>2016</v>
      </c>
      <c r="P1355" s="29">
        <v>131</v>
      </c>
      <c r="Q1355" s="28" t="s">
        <v>2017</v>
      </c>
      <c r="R1355" s="21"/>
      <c r="S1355" s="21"/>
      <c r="T1355" s="21"/>
      <c r="U1355" s="21"/>
      <c r="V1355" s="21"/>
      <c r="W1355" s="21"/>
      <c r="X1355" s="21"/>
    </row>
    <row r="1356" spans="1:24" ht="15.75" thickBot="1" x14ac:dyDescent="0.3">
      <c r="A1356" t="str">
        <f t="shared" si="21"/>
        <v>DET21107A60A</v>
      </c>
      <c r="B1356" s="22" t="s">
        <v>6144</v>
      </c>
      <c r="C1356" s="22" t="s">
        <v>2890</v>
      </c>
      <c r="D1356" s="22" t="s">
        <v>6145</v>
      </c>
      <c r="E1356" s="22" t="s">
        <v>6146</v>
      </c>
      <c r="F1356" s="22" t="s">
        <v>6147</v>
      </c>
      <c r="G1356" s="28" t="s">
        <v>2012</v>
      </c>
      <c r="H1356" s="22" t="s">
        <v>2080</v>
      </c>
      <c r="I1356" s="21"/>
      <c r="J1356" s="22" t="s">
        <v>494</v>
      </c>
      <c r="K1356" s="22" t="s">
        <v>924</v>
      </c>
      <c r="L1356" s="21"/>
      <c r="M1356" s="22" t="s">
        <v>2034</v>
      </c>
      <c r="N1356" s="28" t="s">
        <v>2015</v>
      </c>
      <c r="O1356" s="28" t="s">
        <v>2016</v>
      </c>
      <c r="P1356" s="29">
        <v>1000</v>
      </c>
      <c r="Q1356" s="28" t="s">
        <v>2017</v>
      </c>
      <c r="R1356" s="21"/>
      <c r="S1356" s="21"/>
      <c r="T1356" s="21"/>
      <c r="U1356" s="21"/>
      <c r="V1356" s="21"/>
      <c r="W1356" s="21"/>
      <c r="X1356" s="21"/>
    </row>
    <row r="1357" spans="1:24" ht="15.75" thickBot="1" x14ac:dyDescent="0.3">
      <c r="A1357" t="str">
        <f t="shared" si="21"/>
        <v>DET21107K40A</v>
      </c>
      <c r="B1357" s="22" t="s">
        <v>6148</v>
      </c>
      <c r="C1357" s="22" t="s">
        <v>5575</v>
      </c>
      <c r="D1357" s="22" t="s">
        <v>3205</v>
      </c>
      <c r="E1357" s="22" t="s">
        <v>6149</v>
      </c>
      <c r="F1357" s="22" t="s">
        <v>6150</v>
      </c>
      <c r="G1357" s="28" t="s">
        <v>2012</v>
      </c>
      <c r="H1357" s="22" t="s">
        <v>2080</v>
      </c>
      <c r="I1357" s="21"/>
      <c r="J1357" s="22" t="s">
        <v>494</v>
      </c>
      <c r="K1357" s="22" t="s">
        <v>924</v>
      </c>
      <c r="L1357" s="21"/>
      <c r="M1357" s="22" t="s">
        <v>2034</v>
      </c>
      <c r="N1357" s="28" t="s">
        <v>2015</v>
      </c>
      <c r="O1357" s="28" t="s">
        <v>2016</v>
      </c>
      <c r="P1357" s="29">
        <v>101</v>
      </c>
      <c r="Q1357" s="28" t="s">
        <v>2017</v>
      </c>
      <c r="R1357" s="21"/>
      <c r="S1357" s="21"/>
      <c r="T1357" s="21"/>
      <c r="U1357" s="21"/>
      <c r="V1357" s="21"/>
      <c r="W1357" s="21"/>
      <c r="X1357" s="21"/>
    </row>
    <row r="1358" spans="1:24" ht="15.75" thickBot="1" x14ac:dyDescent="0.3">
      <c r="A1358" t="str">
        <f t="shared" si="21"/>
        <v>DET21108A22A</v>
      </c>
      <c r="B1358" s="22" t="s">
        <v>6151</v>
      </c>
      <c r="C1358" s="22" t="s">
        <v>5575</v>
      </c>
      <c r="D1358" s="22" t="s">
        <v>6152</v>
      </c>
      <c r="E1358" s="22" t="s">
        <v>6153</v>
      </c>
      <c r="F1358" s="22" t="s">
        <v>6154</v>
      </c>
      <c r="G1358" s="28" t="s">
        <v>2012</v>
      </c>
      <c r="H1358" s="22" t="s">
        <v>2080</v>
      </c>
      <c r="I1358" s="21"/>
      <c r="J1358" s="22" t="s">
        <v>494</v>
      </c>
      <c r="K1358" s="22" t="s">
        <v>924</v>
      </c>
      <c r="L1358" s="21"/>
      <c r="M1358" s="22" t="s">
        <v>2034</v>
      </c>
      <c r="N1358" s="28" t="s">
        <v>2015</v>
      </c>
      <c r="O1358" s="28" t="s">
        <v>2016</v>
      </c>
      <c r="P1358" s="29">
        <v>102</v>
      </c>
      <c r="Q1358" s="28" t="s">
        <v>2017</v>
      </c>
      <c r="R1358" s="21"/>
      <c r="S1358" s="21"/>
      <c r="T1358" s="21"/>
      <c r="U1358" s="21"/>
      <c r="V1358" s="21"/>
      <c r="W1358" s="21"/>
      <c r="X1358" s="21"/>
    </row>
    <row r="1359" spans="1:24" ht="15.75" thickBot="1" x14ac:dyDescent="0.3">
      <c r="A1359" t="str">
        <f t="shared" si="21"/>
        <v>DET21108A26A</v>
      </c>
      <c r="B1359" s="22" t="s">
        <v>6155</v>
      </c>
      <c r="C1359" s="22" t="s">
        <v>5580</v>
      </c>
      <c r="D1359" s="22" t="s">
        <v>6156</v>
      </c>
      <c r="E1359" s="22" t="s">
        <v>6157</v>
      </c>
      <c r="F1359" s="22" t="s">
        <v>6158</v>
      </c>
      <c r="G1359" s="28" t="s">
        <v>2012</v>
      </c>
      <c r="H1359" s="22" t="s">
        <v>2055</v>
      </c>
      <c r="I1359" s="21"/>
      <c r="J1359" s="22" t="s">
        <v>494</v>
      </c>
      <c r="K1359" s="22" t="s">
        <v>924</v>
      </c>
      <c r="L1359" s="21"/>
      <c r="M1359" s="22" t="s">
        <v>2034</v>
      </c>
      <c r="N1359" s="28" t="s">
        <v>2015</v>
      </c>
      <c r="O1359" s="28" t="s">
        <v>2016</v>
      </c>
      <c r="P1359" s="29">
        <v>150</v>
      </c>
      <c r="Q1359" s="28" t="s">
        <v>2017</v>
      </c>
      <c r="R1359" s="21"/>
      <c r="S1359" s="21"/>
      <c r="T1359" s="21"/>
      <c r="U1359" s="21"/>
      <c r="V1359" s="21"/>
      <c r="W1359" s="21"/>
      <c r="X1359" s="21"/>
    </row>
    <row r="1360" spans="1:24" ht="15.75" thickBot="1" x14ac:dyDescent="0.3">
      <c r="A1360" t="str">
        <f t="shared" si="21"/>
        <v>DET21108A27A</v>
      </c>
      <c r="B1360" s="22" t="s">
        <v>6159</v>
      </c>
      <c r="C1360" s="22" t="s">
        <v>5763</v>
      </c>
      <c r="D1360" s="22" t="s">
        <v>6160</v>
      </c>
      <c r="E1360" s="22" t="s">
        <v>6161</v>
      </c>
      <c r="F1360" s="22" t="s">
        <v>6162</v>
      </c>
      <c r="G1360" s="28" t="s">
        <v>2012</v>
      </c>
      <c r="H1360" s="22" t="s">
        <v>2055</v>
      </c>
      <c r="I1360" s="21"/>
      <c r="J1360" s="22" t="s">
        <v>494</v>
      </c>
      <c r="K1360" s="22" t="s">
        <v>924</v>
      </c>
      <c r="L1360" s="21"/>
      <c r="M1360" s="22" t="s">
        <v>2034</v>
      </c>
      <c r="N1360" s="28" t="s">
        <v>2015</v>
      </c>
      <c r="O1360" s="28" t="s">
        <v>2016</v>
      </c>
      <c r="P1360" s="29">
        <v>0</v>
      </c>
      <c r="Q1360" s="28" t="s">
        <v>2017</v>
      </c>
      <c r="R1360" s="21"/>
      <c r="S1360" s="21"/>
      <c r="T1360" s="21"/>
      <c r="U1360" s="21"/>
      <c r="V1360" s="21"/>
      <c r="W1360" s="21"/>
      <c r="X1360" s="21"/>
    </row>
    <row r="1361" spans="1:24" ht="15.75" thickBot="1" x14ac:dyDescent="0.3">
      <c r="A1361" t="str">
        <f t="shared" si="21"/>
        <v>DET21108A70A</v>
      </c>
      <c r="B1361" s="22" t="s">
        <v>6163</v>
      </c>
      <c r="C1361" s="22" t="s">
        <v>5575</v>
      </c>
      <c r="D1361" s="22" t="s">
        <v>3427</v>
      </c>
      <c r="E1361" s="22" t="s">
        <v>6164</v>
      </c>
      <c r="F1361" s="22" t="s">
        <v>6165</v>
      </c>
      <c r="G1361" s="28" t="s">
        <v>2012</v>
      </c>
      <c r="H1361" s="22" t="s">
        <v>2080</v>
      </c>
      <c r="I1361" s="21"/>
      <c r="J1361" s="22" t="s">
        <v>494</v>
      </c>
      <c r="K1361" s="22" t="s">
        <v>924</v>
      </c>
      <c r="L1361" s="21"/>
      <c r="M1361" s="22" t="s">
        <v>2034</v>
      </c>
      <c r="N1361" s="28" t="s">
        <v>2015</v>
      </c>
      <c r="O1361" s="28" t="s">
        <v>2016</v>
      </c>
      <c r="P1361" s="29">
        <v>95</v>
      </c>
      <c r="Q1361" s="28" t="s">
        <v>2017</v>
      </c>
      <c r="R1361" s="21"/>
      <c r="S1361" s="21"/>
      <c r="T1361" s="21"/>
      <c r="U1361" s="21"/>
      <c r="V1361" s="21"/>
      <c r="W1361" s="21"/>
      <c r="X1361" s="21"/>
    </row>
    <row r="1362" spans="1:24" ht="15.75" thickBot="1" x14ac:dyDescent="0.3">
      <c r="A1362" t="str">
        <f t="shared" si="21"/>
        <v>DET21108A71A</v>
      </c>
      <c r="B1362" s="22" t="s">
        <v>6166</v>
      </c>
      <c r="C1362" s="22" t="s">
        <v>5575</v>
      </c>
      <c r="D1362" s="22" t="s">
        <v>3427</v>
      </c>
      <c r="E1362" s="22" t="s">
        <v>6167</v>
      </c>
      <c r="F1362" s="22" t="s">
        <v>6168</v>
      </c>
      <c r="G1362" s="28" t="s">
        <v>2012</v>
      </c>
      <c r="H1362" s="22" t="s">
        <v>2080</v>
      </c>
      <c r="I1362" s="21"/>
      <c r="J1362" s="22" t="s">
        <v>494</v>
      </c>
      <c r="K1362" s="22" t="s">
        <v>924</v>
      </c>
      <c r="L1362" s="21"/>
      <c r="M1362" s="22" t="s">
        <v>2034</v>
      </c>
      <c r="N1362" s="28" t="s">
        <v>2015</v>
      </c>
      <c r="O1362" s="28" t="s">
        <v>2016</v>
      </c>
      <c r="P1362" s="29">
        <v>97</v>
      </c>
      <c r="Q1362" s="28" t="s">
        <v>2017</v>
      </c>
      <c r="R1362" s="21"/>
      <c r="S1362" s="21"/>
      <c r="T1362" s="21"/>
      <c r="U1362" s="21"/>
      <c r="V1362" s="21"/>
      <c r="W1362" s="21"/>
      <c r="X1362" s="21"/>
    </row>
    <row r="1363" spans="1:24" ht="15.75" thickBot="1" x14ac:dyDescent="0.3">
      <c r="A1363" t="str">
        <f t="shared" si="21"/>
        <v>DET2111150A</v>
      </c>
      <c r="B1363" s="22" t="s">
        <v>6169</v>
      </c>
      <c r="C1363" s="22" t="s">
        <v>5575</v>
      </c>
      <c r="D1363" s="22" t="s">
        <v>3431</v>
      </c>
      <c r="E1363" s="22" t="s">
        <v>6170</v>
      </c>
      <c r="F1363" s="22" t="s">
        <v>6171</v>
      </c>
      <c r="G1363" s="28" t="s">
        <v>2012</v>
      </c>
      <c r="H1363" s="22" t="s">
        <v>2080</v>
      </c>
      <c r="I1363" s="21"/>
      <c r="J1363" s="22" t="s">
        <v>494</v>
      </c>
      <c r="K1363" s="22" t="s">
        <v>924</v>
      </c>
      <c r="L1363" s="21"/>
      <c r="M1363" s="22" t="s">
        <v>2034</v>
      </c>
      <c r="N1363" s="28" t="s">
        <v>2015</v>
      </c>
      <c r="O1363" s="28" t="s">
        <v>2016</v>
      </c>
      <c r="P1363" s="29">
        <v>101</v>
      </c>
      <c r="Q1363" s="28" t="s">
        <v>2017</v>
      </c>
      <c r="R1363" s="21"/>
      <c r="S1363" s="21"/>
      <c r="T1363" s="21"/>
      <c r="U1363" s="21"/>
      <c r="V1363" s="21"/>
      <c r="W1363" s="21"/>
      <c r="X1363" s="21"/>
    </row>
    <row r="1364" spans="1:24" ht="15.75" thickBot="1" x14ac:dyDescent="0.3">
      <c r="A1364" t="str">
        <f t="shared" si="21"/>
        <v>DET2111151A</v>
      </c>
      <c r="B1364" s="22" t="s">
        <v>6172</v>
      </c>
      <c r="C1364" s="22" t="s">
        <v>5575</v>
      </c>
      <c r="D1364" s="22" t="s">
        <v>3208</v>
      </c>
      <c r="E1364" s="22" t="s">
        <v>6173</v>
      </c>
      <c r="F1364" s="22" t="s">
        <v>6171</v>
      </c>
      <c r="G1364" s="28" t="s">
        <v>2012</v>
      </c>
      <c r="H1364" s="22" t="s">
        <v>2080</v>
      </c>
      <c r="I1364" s="21"/>
      <c r="J1364" s="22" t="s">
        <v>494</v>
      </c>
      <c r="K1364" s="22" t="s">
        <v>924</v>
      </c>
      <c r="L1364" s="21"/>
      <c r="M1364" s="22" t="s">
        <v>2034</v>
      </c>
      <c r="N1364" s="28" t="s">
        <v>2015</v>
      </c>
      <c r="O1364" s="28" t="s">
        <v>2016</v>
      </c>
      <c r="P1364" s="29">
        <v>101</v>
      </c>
      <c r="Q1364" s="28" t="s">
        <v>2017</v>
      </c>
      <c r="R1364" s="21"/>
      <c r="S1364" s="21"/>
      <c r="T1364" s="21"/>
      <c r="U1364" s="21"/>
      <c r="V1364" s="21"/>
      <c r="W1364" s="21"/>
      <c r="X1364" s="21"/>
    </row>
    <row r="1365" spans="1:24" ht="15.75" thickBot="1" x14ac:dyDescent="0.3">
      <c r="A1365" t="str">
        <f t="shared" si="21"/>
        <v>DET21111B94A</v>
      </c>
      <c r="B1365" s="22" t="s">
        <v>6174</v>
      </c>
      <c r="C1365" s="22" t="s">
        <v>5575</v>
      </c>
      <c r="D1365" s="22" t="s">
        <v>3212</v>
      </c>
      <c r="E1365" s="22" t="s">
        <v>6175</v>
      </c>
      <c r="F1365" s="22" t="s">
        <v>6176</v>
      </c>
      <c r="G1365" s="28" t="s">
        <v>2012</v>
      </c>
      <c r="H1365" s="22" t="s">
        <v>2080</v>
      </c>
      <c r="I1365" s="21"/>
      <c r="J1365" s="22" t="s">
        <v>494</v>
      </c>
      <c r="K1365" s="22" t="s">
        <v>924</v>
      </c>
      <c r="L1365" s="21"/>
      <c r="M1365" s="22" t="s">
        <v>2034</v>
      </c>
      <c r="N1365" s="28" t="s">
        <v>2015</v>
      </c>
      <c r="O1365" s="28" t="s">
        <v>2016</v>
      </c>
      <c r="P1365" s="29">
        <v>107</v>
      </c>
      <c r="Q1365" s="28" t="s">
        <v>2017</v>
      </c>
      <c r="R1365" s="21"/>
      <c r="S1365" s="21"/>
      <c r="T1365" s="21"/>
      <c r="U1365" s="21"/>
      <c r="V1365" s="21"/>
      <c r="W1365" s="21"/>
      <c r="X1365" s="21"/>
    </row>
    <row r="1366" spans="1:24" ht="15.75" thickBot="1" x14ac:dyDescent="0.3">
      <c r="A1366" t="str">
        <f t="shared" si="21"/>
        <v>DET21111K35A</v>
      </c>
      <c r="B1366" s="22" t="s">
        <v>6177</v>
      </c>
      <c r="C1366" s="22" t="s">
        <v>5790</v>
      </c>
      <c r="D1366" s="22" t="s">
        <v>6178</v>
      </c>
      <c r="E1366" s="22" t="s">
        <v>6179</v>
      </c>
      <c r="F1366" s="22" t="s">
        <v>6180</v>
      </c>
      <c r="G1366" s="28" t="s">
        <v>2012</v>
      </c>
      <c r="H1366" s="22" t="s">
        <v>2080</v>
      </c>
      <c r="I1366" s="21"/>
      <c r="J1366" s="22" t="s">
        <v>494</v>
      </c>
      <c r="K1366" s="22" t="s">
        <v>924</v>
      </c>
      <c r="L1366" s="21"/>
      <c r="M1366" s="22" t="s">
        <v>2034</v>
      </c>
      <c r="N1366" s="28" t="s">
        <v>2015</v>
      </c>
      <c r="O1366" s="28" t="s">
        <v>2016</v>
      </c>
      <c r="P1366" s="29">
        <v>0</v>
      </c>
      <c r="Q1366" s="28" t="s">
        <v>2017</v>
      </c>
      <c r="R1366" s="21"/>
      <c r="S1366" s="21"/>
      <c r="T1366" s="21"/>
      <c r="U1366" s="21"/>
      <c r="V1366" s="21"/>
      <c r="W1366" s="21"/>
      <c r="X1366" s="21"/>
    </row>
    <row r="1367" spans="1:24" ht="15.75" thickBot="1" x14ac:dyDescent="0.3">
      <c r="A1367" t="str">
        <f t="shared" si="21"/>
        <v>DET21111K36A</v>
      </c>
      <c r="B1367" s="22" t="s">
        <v>6181</v>
      </c>
      <c r="C1367" s="22" t="s">
        <v>5790</v>
      </c>
      <c r="D1367" s="22" t="s">
        <v>6182</v>
      </c>
      <c r="E1367" s="22" t="s">
        <v>6183</v>
      </c>
      <c r="F1367" s="22" t="s">
        <v>6184</v>
      </c>
      <c r="G1367" s="28" t="s">
        <v>2012</v>
      </c>
      <c r="H1367" s="22" t="s">
        <v>2080</v>
      </c>
      <c r="I1367" s="21"/>
      <c r="J1367" s="22" t="s">
        <v>494</v>
      </c>
      <c r="K1367" s="22" t="s">
        <v>924</v>
      </c>
      <c r="L1367" s="21"/>
      <c r="M1367" s="22" t="s">
        <v>2034</v>
      </c>
      <c r="N1367" s="28" t="s">
        <v>2015</v>
      </c>
      <c r="O1367" s="28" t="s">
        <v>2016</v>
      </c>
      <c r="P1367" s="29">
        <v>194</v>
      </c>
      <c r="Q1367" s="28" t="s">
        <v>2017</v>
      </c>
      <c r="R1367" s="21"/>
      <c r="S1367" s="21"/>
      <c r="T1367" s="21"/>
      <c r="U1367" s="21"/>
      <c r="V1367" s="21"/>
      <c r="W1367" s="21"/>
      <c r="X1367" s="21"/>
    </row>
    <row r="1368" spans="1:24" ht="15.75" thickBot="1" x14ac:dyDescent="0.3">
      <c r="A1368" t="str">
        <f t="shared" si="21"/>
        <v>DET2111218A</v>
      </c>
      <c r="B1368" s="22" t="s">
        <v>6185</v>
      </c>
      <c r="C1368" s="22" t="s">
        <v>5575</v>
      </c>
      <c r="D1368" s="22" t="s">
        <v>3799</v>
      </c>
      <c r="E1368" s="22" t="s">
        <v>6186</v>
      </c>
      <c r="F1368" s="22" t="s">
        <v>6187</v>
      </c>
      <c r="G1368" s="28" t="s">
        <v>2012</v>
      </c>
      <c r="H1368" s="22" t="s">
        <v>2080</v>
      </c>
      <c r="I1368" s="21"/>
      <c r="J1368" s="22" t="s">
        <v>494</v>
      </c>
      <c r="K1368" s="22" t="s">
        <v>924</v>
      </c>
      <c r="L1368" s="21"/>
      <c r="M1368" s="22" t="s">
        <v>2034</v>
      </c>
      <c r="N1368" s="28" t="s">
        <v>2015</v>
      </c>
      <c r="O1368" s="28" t="s">
        <v>2016</v>
      </c>
      <c r="P1368" s="29">
        <v>125</v>
      </c>
      <c r="Q1368" s="28" t="s">
        <v>2017</v>
      </c>
      <c r="R1368" s="21"/>
      <c r="S1368" s="21"/>
      <c r="T1368" s="21"/>
      <c r="U1368" s="21"/>
      <c r="V1368" s="21"/>
      <c r="W1368" s="21"/>
      <c r="X1368" s="21"/>
    </row>
    <row r="1369" spans="1:24" ht="15.75" thickBot="1" x14ac:dyDescent="0.3">
      <c r="A1369" t="str">
        <f t="shared" si="21"/>
        <v>DET2111270A</v>
      </c>
      <c r="B1369" s="22" t="s">
        <v>6188</v>
      </c>
      <c r="C1369" s="22" t="s">
        <v>5790</v>
      </c>
      <c r="D1369" s="22" t="s">
        <v>6182</v>
      </c>
      <c r="E1369" s="22" t="s">
        <v>6189</v>
      </c>
      <c r="F1369" s="22" t="s">
        <v>6190</v>
      </c>
      <c r="G1369" s="28" t="s">
        <v>2012</v>
      </c>
      <c r="H1369" s="22" t="s">
        <v>2055</v>
      </c>
      <c r="I1369" s="21"/>
      <c r="J1369" s="22" t="s">
        <v>494</v>
      </c>
      <c r="K1369" s="22" t="s">
        <v>924</v>
      </c>
      <c r="L1369" s="21"/>
      <c r="M1369" s="22" t="s">
        <v>2034</v>
      </c>
      <c r="N1369" s="28" t="s">
        <v>2015</v>
      </c>
      <c r="O1369" s="28" t="s">
        <v>2016</v>
      </c>
      <c r="P1369" s="29">
        <v>185</v>
      </c>
      <c r="Q1369" s="28" t="s">
        <v>2017</v>
      </c>
      <c r="R1369" s="21"/>
      <c r="S1369" s="21"/>
      <c r="T1369" s="21"/>
      <c r="U1369" s="21"/>
      <c r="V1369" s="21"/>
      <c r="W1369" s="21"/>
      <c r="X1369" s="21"/>
    </row>
    <row r="1370" spans="1:24" ht="15.75" thickBot="1" x14ac:dyDescent="0.3">
      <c r="A1370" t="str">
        <f t="shared" si="21"/>
        <v>DET2111271A</v>
      </c>
      <c r="B1370" s="22" t="s">
        <v>6191</v>
      </c>
      <c r="C1370" s="22" t="s">
        <v>5790</v>
      </c>
      <c r="D1370" s="22" t="s">
        <v>6192</v>
      </c>
      <c r="E1370" s="22" t="s">
        <v>6193</v>
      </c>
      <c r="F1370" s="22" t="s">
        <v>6194</v>
      </c>
      <c r="G1370" s="28" t="s">
        <v>2012</v>
      </c>
      <c r="H1370" s="22" t="s">
        <v>2055</v>
      </c>
      <c r="I1370" s="21"/>
      <c r="J1370" s="22" t="s">
        <v>494</v>
      </c>
      <c r="K1370" s="22" t="s">
        <v>924</v>
      </c>
      <c r="L1370" s="21"/>
      <c r="M1370" s="22" t="s">
        <v>2034</v>
      </c>
      <c r="N1370" s="28" t="s">
        <v>2015</v>
      </c>
      <c r="O1370" s="28" t="s">
        <v>2016</v>
      </c>
      <c r="P1370" s="29">
        <v>98</v>
      </c>
      <c r="Q1370" s="28" t="s">
        <v>2017</v>
      </c>
      <c r="R1370" s="21"/>
      <c r="S1370" s="21"/>
      <c r="T1370" s="21"/>
      <c r="U1370" s="21"/>
      <c r="V1370" s="21"/>
      <c r="W1370" s="21"/>
      <c r="X1370" s="21"/>
    </row>
    <row r="1371" spans="1:24" ht="15.75" thickBot="1" x14ac:dyDescent="0.3">
      <c r="A1371" t="str">
        <f t="shared" si="21"/>
        <v>DET2122078A</v>
      </c>
      <c r="B1371" s="22" t="s">
        <v>6195</v>
      </c>
      <c r="C1371" s="22" t="s">
        <v>5626</v>
      </c>
      <c r="D1371" s="22" t="s">
        <v>6196</v>
      </c>
      <c r="E1371" s="22" t="s">
        <v>6197</v>
      </c>
      <c r="F1371" s="22" t="s">
        <v>6198</v>
      </c>
      <c r="G1371" s="28" t="s">
        <v>2012</v>
      </c>
      <c r="H1371" s="22" t="s">
        <v>2080</v>
      </c>
      <c r="I1371" s="21"/>
      <c r="J1371" s="22" t="s">
        <v>494</v>
      </c>
      <c r="K1371" s="22" t="s">
        <v>924</v>
      </c>
      <c r="L1371" s="21"/>
      <c r="M1371" s="22" t="s">
        <v>2034</v>
      </c>
      <c r="N1371" s="28" t="s">
        <v>2015</v>
      </c>
      <c r="O1371" s="28" t="s">
        <v>2016</v>
      </c>
      <c r="P1371" s="29">
        <v>100</v>
      </c>
      <c r="Q1371" s="28" t="s">
        <v>2017</v>
      </c>
      <c r="R1371" s="21"/>
      <c r="S1371" s="21"/>
      <c r="T1371" s="21"/>
      <c r="U1371" s="21"/>
      <c r="V1371" s="21"/>
      <c r="W1371" s="21"/>
      <c r="X1371" s="21"/>
    </row>
    <row r="1372" spans="1:24" ht="15.75" thickBot="1" x14ac:dyDescent="0.3">
      <c r="A1372" t="str">
        <f t="shared" si="21"/>
        <v>DET2122079A</v>
      </c>
      <c r="B1372" s="22" t="s">
        <v>6199</v>
      </c>
      <c r="C1372" s="22" t="s">
        <v>6200</v>
      </c>
      <c r="D1372" s="22" t="s">
        <v>6196</v>
      </c>
      <c r="E1372" s="22" t="s">
        <v>6201</v>
      </c>
      <c r="F1372" s="22" t="s">
        <v>6202</v>
      </c>
      <c r="G1372" s="28" t="s">
        <v>2012</v>
      </c>
      <c r="H1372" s="22" t="s">
        <v>2080</v>
      </c>
      <c r="I1372" s="21"/>
      <c r="J1372" s="22" t="s">
        <v>494</v>
      </c>
      <c r="K1372" s="22" t="s">
        <v>924</v>
      </c>
      <c r="L1372" s="21"/>
      <c r="M1372" s="22" t="s">
        <v>2034</v>
      </c>
      <c r="N1372" s="28" t="s">
        <v>2015</v>
      </c>
      <c r="O1372" s="28" t="s">
        <v>2016</v>
      </c>
      <c r="P1372" s="29">
        <v>105</v>
      </c>
      <c r="Q1372" s="28" t="s">
        <v>2017</v>
      </c>
      <c r="R1372" s="21"/>
      <c r="S1372" s="21"/>
      <c r="T1372" s="21"/>
      <c r="U1372" s="21"/>
      <c r="V1372" s="21"/>
      <c r="W1372" s="21"/>
      <c r="X1372" s="21"/>
    </row>
    <row r="1373" spans="1:24" ht="15.75" thickBot="1" x14ac:dyDescent="0.3">
      <c r="A1373" t="str">
        <f t="shared" si="21"/>
        <v>DET2124644A</v>
      </c>
      <c r="B1373" s="22" t="s">
        <v>6203</v>
      </c>
      <c r="C1373" s="22" t="s">
        <v>5626</v>
      </c>
      <c r="D1373" s="22" t="s">
        <v>6204</v>
      </c>
      <c r="E1373" s="22" t="s">
        <v>5628</v>
      </c>
      <c r="F1373" s="22" t="s">
        <v>6205</v>
      </c>
      <c r="G1373" s="28" t="s">
        <v>2012</v>
      </c>
      <c r="H1373" s="22" t="s">
        <v>2080</v>
      </c>
      <c r="I1373" s="21"/>
      <c r="J1373" s="22" t="s">
        <v>494</v>
      </c>
      <c r="K1373" s="22" t="s">
        <v>924</v>
      </c>
      <c r="L1373" s="21"/>
      <c r="M1373" s="22" t="s">
        <v>2034</v>
      </c>
      <c r="N1373" s="28" t="s">
        <v>2015</v>
      </c>
      <c r="O1373" s="28" t="s">
        <v>2016</v>
      </c>
      <c r="P1373" s="29">
        <v>138</v>
      </c>
      <c r="Q1373" s="28" t="s">
        <v>2017</v>
      </c>
      <c r="R1373" s="21"/>
      <c r="S1373" s="21"/>
      <c r="T1373" s="21"/>
      <c r="U1373" s="21"/>
      <c r="V1373" s="21"/>
      <c r="W1373" s="21"/>
      <c r="X1373" s="21"/>
    </row>
    <row r="1374" spans="1:24" ht="15.75" thickBot="1" x14ac:dyDescent="0.3">
      <c r="A1374" t="str">
        <f t="shared" si="21"/>
        <v>DET2124645A</v>
      </c>
      <c r="B1374" s="22" t="s">
        <v>6206</v>
      </c>
      <c r="C1374" s="22" t="s">
        <v>5626</v>
      </c>
      <c r="D1374" s="22" t="s">
        <v>6204</v>
      </c>
      <c r="E1374" s="22" t="s">
        <v>6207</v>
      </c>
      <c r="F1374" s="22" t="s">
        <v>6205</v>
      </c>
      <c r="G1374" s="28" t="s">
        <v>2012</v>
      </c>
      <c r="H1374" s="22" t="s">
        <v>2080</v>
      </c>
      <c r="I1374" s="21"/>
      <c r="J1374" s="22" t="s">
        <v>494</v>
      </c>
      <c r="K1374" s="22" t="s">
        <v>924</v>
      </c>
      <c r="L1374" s="21"/>
      <c r="M1374" s="22" t="s">
        <v>2034</v>
      </c>
      <c r="N1374" s="28" t="s">
        <v>2015</v>
      </c>
      <c r="O1374" s="28" t="s">
        <v>2016</v>
      </c>
      <c r="P1374" s="29">
        <v>91</v>
      </c>
      <c r="Q1374" s="28" t="s">
        <v>2017</v>
      </c>
      <c r="R1374" s="21"/>
      <c r="S1374" s="21"/>
      <c r="T1374" s="21"/>
      <c r="U1374" s="21"/>
      <c r="V1374" s="21"/>
      <c r="W1374" s="21"/>
      <c r="X1374" s="21"/>
    </row>
    <row r="1375" spans="1:24" ht="15.75" thickBot="1" x14ac:dyDescent="0.3">
      <c r="A1375" t="str">
        <f t="shared" si="21"/>
        <v>DET21246K43A</v>
      </c>
      <c r="B1375" s="22" t="s">
        <v>6208</v>
      </c>
      <c r="C1375" s="22" t="s">
        <v>5626</v>
      </c>
      <c r="D1375" s="22" t="s">
        <v>6209</v>
      </c>
      <c r="E1375" s="22" t="s">
        <v>6210</v>
      </c>
      <c r="F1375" s="22" t="s">
        <v>6211</v>
      </c>
      <c r="G1375" s="28" t="s">
        <v>2012</v>
      </c>
      <c r="H1375" s="22" t="s">
        <v>2080</v>
      </c>
      <c r="I1375" s="21"/>
      <c r="J1375" s="22" t="s">
        <v>494</v>
      </c>
      <c r="K1375" s="22" t="s">
        <v>924</v>
      </c>
      <c r="L1375" s="21"/>
      <c r="M1375" s="22" t="s">
        <v>2034</v>
      </c>
      <c r="N1375" s="28" t="s">
        <v>2015</v>
      </c>
      <c r="O1375" s="28" t="s">
        <v>2016</v>
      </c>
      <c r="P1375" s="29">
        <v>124</v>
      </c>
      <c r="Q1375" s="28" t="s">
        <v>2017</v>
      </c>
      <c r="R1375" s="21"/>
      <c r="S1375" s="21"/>
      <c r="T1375" s="21"/>
      <c r="U1375" s="21"/>
      <c r="V1375" s="21"/>
      <c r="W1375" s="21"/>
      <c r="X1375" s="21"/>
    </row>
    <row r="1376" spans="1:24" ht="15.75" thickBot="1" x14ac:dyDescent="0.3">
      <c r="A1376" t="str">
        <f t="shared" si="21"/>
        <v>DET2124770A</v>
      </c>
      <c r="B1376" s="22" t="s">
        <v>6212</v>
      </c>
      <c r="C1376" s="22" t="s">
        <v>5601</v>
      </c>
      <c r="D1376" s="22" t="s">
        <v>6213</v>
      </c>
      <c r="E1376" s="22" t="s">
        <v>5603</v>
      </c>
      <c r="F1376" s="22" t="s">
        <v>6214</v>
      </c>
      <c r="G1376" s="28" t="s">
        <v>2012</v>
      </c>
      <c r="H1376" s="22" t="s">
        <v>2080</v>
      </c>
      <c r="I1376" s="21"/>
      <c r="J1376" s="22" t="s">
        <v>494</v>
      </c>
      <c r="K1376" s="22" t="s">
        <v>924</v>
      </c>
      <c r="L1376" s="21"/>
      <c r="M1376" s="22" t="s">
        <v>2034</v>
      </c>
      <c r="N1376" s="28" t="s">
        <v>2015</v>
      </c>
      <c r="O1376" s="28" t="s">
        <v>2016</v>
      </c>
      <c r="P1376" s="29">
        <v>240</v>
      </c>
      <c r="Q1376" s="28" t="s">
        <v>2017</v>
      </c>
      <c r="R1376" s="21"/>
      <c r="S1376" s="21"/>
      <c r="T1376" s="21"/>
      <c r="U1376" s="21"/>
      <c r="V1376" s="21"/>
      <c r="W1376" s="21"/>
      <c r="X1376" s="21"/>
    </row>
    <row r="1377" spans="1:24" ht="15.75" thickBot="1" x14ac:dyDescent="0.3">
      <c r="A1377" t="str">
        <f t="shared" si="21"/>
        <v>DET2124771A</v>
      </c>
      <c r="B1377" s="22" t="s">
        <v>6215</v>
      </c>
      <c r="C1377" s="22" t="s">
        <v>6216</v>
      </c>
      <c r="D1377" s="22" t="s">
        <v>6217</v>
      </c>
      <c r="E1377" s="22" t="s">
        <v>5607</v>
      </c>
      <c r="F1377" s="22" t="s">
        <v>6218</v>
      </c>
      <c r="G1377" s="28" t="s">
        <v>2012</v>
      </c>
      <c r="H1377" s="22" t="s">
        <v>2080</v>
      </c>
      <c r="I1377" s="21"/>
      <c r="J1377" s="22" t="s">
        <v>494</v>
      </c>
      <c r="K1377" s="22" t="s">
        <v>924</v>
      </c>
      <c r="L1377" s="21"/>
      <c r="M1377" s="22" t="s">
        <v>2034</v>
      </c>
      <c r="N1377" s="28" t="s">
        <v>2015</v>
      </c>
      <c r="O1377" s="28" t="s">
        <v>2016</v>
      </c>
      <c r="P1377" s="29">
        <v>487</v>
      </c>
      <c r="Q1377" s="28" t="s">
        <v>2017</v>
      </c>
      <c r="R1377" s="21"/>
      <c r="S1377" s="21"/>
      <c r="T1377" s="21"/>
      <c r="U1377" s="21"/>
      <c r="V1377" s="21"/>
      <c r="W1377" s="21"/>
      <c r="X1377" s="21"/>
    </row>
    <row r="1378" spans="1:24" ht="15.75" thickBot="1" x14ac:dyDescent="0.3">
      <c r="A1378" t="str">
        <f t="shared" si="21"/>
        <v>DET2126482A</v>
      </c>
      <c r="B1378" s="22" t="s">
        <v>6219</v>
      </c>
      <c r="C1378" s="22" t="s">
        <v>5601</v>
      </c>
      <c r="D1378" s="22" t="s">
        <v>6220</v>
      </c>
      <c r="E1378" s="22" t="s">
        <v>6221</v>
      </c>
      <c r="F1378" s="22" t="s">
        <v>6222</v>
      </c>
      <c r="G1378" s="28" t="s">
        <v>2012</v>
      </c>
      <c r="H1378" s="22" t="s">
        <v>2080</v>
      </c>
      <c r="I1378" s="21"/>
      <c r="J1378" s="22" t="s">
        <v>494</v>
      </c>
      <c r="K1378" s="22" t="s">
        <v>924</v>
      </c>
      <c r="L1378" s="21"/>
      <c r="M1378" s="22" t="s">
        <v>2034</v>
      </c>
      <c r="N1378" s="28" t="s">
        <v>2015</v>
      </c>
      <c r="O1378" s="28" t="s">
        <v>2016</v>
      </c>
      <c r="P1378" s="29">
        <v>101</v>
      </c>
      <c r="Q1378" s="28" t="s">
        <v>2017</v>
      </c>
      <c r="R1378" s="21"/>
      <c r="S1378" s="21"/>
      <c r="T1378" s="21"/>
      <c r="U1378" s="21"/>
      <c r="V1378" s="21"/>
      <c r="W1378" s="21"/>
      <c r="X1378" s="21"/>
    </row>
    <row r="1379" spans="1:24" ht="15.75" thickBot="1" x14ac:dyDescent="0.3">
      <c r="A1379" t="str">
        <f t="shared" si="21"/>
        <v>DET21264B24A</v>
      </c>
      <c r="B1379" s="22" t="s">
        <v>6223</v>
      </c>
      <c r="C1379" s="22" t="s">
        <v>5626</v>
      </c>
      <c r="D1379" s="22" t="s">
        <v>6224</v>
      </c>
      <c r="E1379" s="22" t="s">
        <v>6225</v>
      </c>
      <c r="F1379" s="22" t="s">
        <v>6226</v>
      </c>
      <c r="G1379" s="28" t="s">
        <v>2012</v>
      </c>
      <c r="H1379" s="22" t="s">
        <v>2080</v>
      </c>
      <c r="I1379" s="21"/>
      <c r="J1379" s="22" t="s">
        <v>494</v>
      </c>
      <c r="K1379" s="22" t="s">
        <v>924</v>
      </c>
      <c r="L1379" s="21"/>
      <c r="M1379" s="22" t="s">
        <v>2034</v>
      </c>
      <c r="N1379" s="28" t="s">
        <v>2015</v>
      </c>
      <c r="O1379" s="28" t="s">
        <v>2016</v>
      </c>
      <c r="P1379" s="29">
        <v>99</v>
      </c>
      <c r="Q1379" s="28" t="s">
        <v>2017</v>
      </c>
      <c r="R1379" s="21"/>
      <c r="S1379" s="21"/>
      <c r="T1379" s="21"/>
      <c r="U1379" s="21"/>
      <c r="V1379" s="21"/>
      <c r="W1379" s="21"/>
      <c r="X1379" s="21"/>
    </row>
    <row r="1380" spans="1:24" ht="15.75" thickBot="1" x14ac:dyDescent="0.3">
      <c r="A1380" t="str">
        <f t="shared" si="21"/>
        <v>DET21264B25A</v>
      </c>
      <c r="B1380" s="22" t="s">
        <v>6227</v>
      </c>
      <c r="C1380" s="22" t="s">
        <v>5730</v>
      </c>
      <c r="D1380" s="22" t="s">
        <v>6224</v>
      </c>
      <c r="E1380" s="22" t="s">
        <v>6228</v>
      </c>
      <c r="F1380" s="22" t="s">
        <v>6229</v>
      </c>
      <c r="G1380" s="28" t="s">
        <v>2012</v>
      </c>
      <c r="H1380" s="22" t="s">
        <v>2080</v>
      </c>
      <c r="I1380" s="21"/>
      <c r="J1380" s="22" t="s">
        <v>494</v>
      </c>
      <c r="K1380" s="22" t="s">
        <v>924</v>
      </c>
      <c r="L1380" s="21"/>
      <c r="M1380" s="22" t="s">
        <v>2034</v>
      </c>
      <c r="N1380" s="28" t="s">
        <v>2015</v>
      </c>
      <c r="O1380" s="28" t="s">
        <v>2016</v>
      </c>
      <c r="P1380" s="29">
        <v>97</v>
      </c>
      <c r="Q1380" s="28" t="s">
        <v>2017</v>
      </c>
      <c r="R1380" s="21"/>
      <c r="S1380" s="21"/>
      <c r="T1380" s="21"/>
      <c r="U1380" s="21"/>
      <c r="V1380" s="21"/>
      <c r="W1380" s="21"/>
      <c r="X1380" s="21"/>
    </row>
    <row r="1381" spans="1:24" ht="15.75" thickBot="1" x14ac:dyDescent="0.3">
      <c r="A1381" t="str">
        <f t="shared" si="21"/>
        <v>DET21270A74A</v>
      </c>
      <c r="B1381" s="22" t="s">
        <v>6230</v>
      </c>
      <c r="C1381" s="22" t="s">
        <v>5730</v>
      </c>
      <c r="D1381" s="22" t="s">
        <v>6231</v>
      </c>
      <c r="E1381" s="22" t="s">
        <v>6232</v>
      </c>
      <c r="F1381" s="22" t="s">
        <v>6233</v>
      </c>
      <c r="G1381" s="28" t="s">
        <v>2012</v>
      </c>
      <c r="H1381" s="22" t="s">
        <v>2080</v>
      </c>
      <c r="I1381" s="21"/>
      <c r="J1381" s="22" t="s">
        <v>494</v>
      </c>
      <c r="K1381" s="22" t="s">
        <v>924</v>
      </c>
      <c r="L1381" s="21"/>
      <c r="M1381" s="22" t="s">
        <v>2034</v>
      </c>
      <c r="N1381" s="28" t="s">
        <v>2015</v>
      </c>
      <c r="O1381" s="28" t="s">
        <v>2016</v>
      </c>
      <c r="P1381" s="29">
        <v>99</v>
      </c>
      <c r="Q1381" s="28" t="s">
        <v>2017</v>
      </c>
      <c r="R1381" s="21"/>
      <c r="S1381" s="21"/>
      <c r="T1381" s="21"/>
      <c r="U1381" s="21"/>
      <c r="V1381" s="21"/>
      <c r="W1381" s="21"/>
      <c r="X1381" s="21"/>
    </row>
    <row r="1382" spans="1:24" ht="15.75" thickBot="1" x14ac:dyDescent="0.3">
      <c r="A1382" t="str">
        <f t="shared" si="21"/>
        <v>DET21279D59A</v>
      </c>
      <c r="B1382" s="22" t="s">
        <v>6234</v>
      </c>
      <c r="C1382" s="22" t="s">
        <v>5649</v>
      </c>
      <c r="D1382" s="22" t="s">
        <v>6235</v>
      </c>
      <c r="E1382" s="22" t="s">
        <v>6236</v>
      </c>
      <c r="F1382" s="22" t="s">
        <v>6237</v>
      </c>
      <c r="G1382" s="28" t="s">
        <v>2012</v>
      </c>
      <c r="H1382" s="22" t="s">
        <v>2055</v>
      </c>
      <c r="I1382" s="21"/>
      <c r="J1382" s="22" t="s">
        <v>494</v>
      </c>
      <c r="K1382" s="22" t="s">
        <v>924</v>
      </c>
      <c r="L1382" s="21"/>
      <c r="M1382" s="22" t="s">
        <v>2034</v>
      </c>
      <c r="N1382" s="28" t="s">
        <v>2015</v>
      </c>
      <c r="O1382" s="28" t="s">
        <v>2016</v>
      </c>
      <c r="P1382" s="29">
        <v>358</v>
      </c>
      <c r="Q1382" s="28" t="s">
        <v>2017</v>
      </c>
      <c r="R1382" s="21"/>
      <c r="S1382" s="21"/>
      <c r="T1382" s="21"/>
      <c r="U1382" s="21"/>
      <c r="V1382" s="21"/>
      <c r="W1382" s="21"/>
      <c r="X1382" s="21"/>
    </row>
    <row r="1383" spans="1:24" ht="15.75" thickBot="1" x14ac:dyDescent="0.3">
      <c r="A1383" t="str">
        <f t="shared" si="21"/>
        <v>DET21279E12A</v>
      </c>
      <c r="B1383" s="22" t="s">
        <v>6238</v>
      </c>
      <c r="C1383" s="22" t="s">
        <v>4160</v>
      </c>
      <c r="D1383" s="22" t="s">
        <v>6239</v>
      </c>
      <c r="E1383" s="22" t="s">
        <v>6240</v>
      </c>
      <c r="F1383" s="22" t="s">
        <v>6241</v>
      </c>
      <c r="G1383" s="28" t="s">
        <v>2012</v>
      </c>
      <c r="H1383" s="22" t="s">
        <v>2055</v>
      </c>
      <c r="I1383" s="21"/>
      <c r="J1383" s="22" t="s">
        <v>494</v>
      </c>
      <c r="K1383" s="22" t="s">
        <v>924</v>
      </c>
      <c r="L1383" s="21"/>
      <c r="M1383" s="22" t="s">
        <v>2034</v>
      </c>
      <c r="N1383" s="28" t="s">
        <v>2015</v>
      </c>
      <c r="O1383" s="28" t="s">
        <v>2016</v>
      </c>
      <c r="P1383" s="29">
        <v>3247</v>
      </c>
      <c r="Q1383" s="28" t="s">
        <v>2017</v>
      </c>
      <c r="R1383" s="21"/>
      <c r="S1383" s="21"/>
      <c r="T1383" s="21"/>
      <c r="U1383" s="21"/>
      <c r="V1383" s="21"/>
      <c r="W1383" s="21"/>
      <c r="X1383" s="21"/>
    </row>
    <row r="1384" spans="1:24" ht="15.75" thickBot="1" x14ac:dyDescent="0.3">
      <c r="A1384" t="str">
        <f t="shared" si="21"/>
        <v>DET21280C20A</v>
      </c>
      <c r="B1384" s="22" t="s">
        <v>6242</v>
      </c>
      <c r="C1384" s="22" t="s">
        <v>4160</v>
      </c>
      <c r="D1384" s="22" t="s">
        <v>6243</v>
      </c>
      <c r="E1384" s="22" t="s">
        <v>6244</v>
      </c>
      <c r="F1384" s="22" t="s">
        <v>6245</v>
      </c>
      <c r="G1384" s="28" t="s">
        <v>2012</v>
      </c>
      <c r="H1384" s="22" t="s">
        <v>2055</v>
      </c>
      <c r="I1384" s="21"/>
      <c r="J1384" s="22" t="s">
        <v>494</v>
      </c>
      <c r="K1384" s="22" t="s">
        <v>924</v>
      </c>
      <c r="L1384" s="21"/>
      <c r="M1384" s="22" t="s">
        <v>2034</v>
      </c>
      <c r="N1384" s="28" t="s">
        <v>2015</v>
      </c>
      <c r="O1384" s="28" t="s">
        <v>2016</v>
      </c>
      <c r="P1384" s="29">
        <v>7307</v>
      </c>
      <c r="Q1384" s="28" t="s">
        <v>2017</v>
      </c>
      <c r="R1384" s="21"/>
      <c r="S1384" s="21"/>
      <c r="T1384" s="21"/>
      <c r="U1384" s="21"/>
      <c r="V1384" s="21"/>
      <c r="W1384" s="21"/>
      <c r="X1384" s="21"/>
    </row>
    <row r="1385" spans="1:24" ht="15.75" thickBot="1" x14ac:dyDescent="0.3">
      <c r="A1385" t="str">
        <f t="shared" si="21"/>
        <v>DET21280C21A</v>
      </c>
      <c r="B1385" s="22" t="s">
        <v>6246</v>
      </c>
      <c r="C1385" s="22" t="s">
        <v>5649</v>
      </c>
      <c r="D1385" s="22" t="s">
        <v>6247</v>
      </c>
      <c r="E1385" s="22" t="s">
        <v>6248</v>
      </c>
      <c r="F1385" s="22" t="s">
        <v>6245</v>
      </c>
      <c r="G1385" s="28" t="s">
        <v>2012</v>
      </c>
      <c r="H1385" s="22" t="s">
        <v>2055</v>
      </c>
      <c r="I1385" s="21"/>
      <c r="J1385" s="22" t="s">
        <v>494</v>
      </c>
      <c r="K1385" s="22" t="s">
        <v>924</v>
      </c>
      <c r="L1385" s="21"/>
      <c r="M1385" s="22" t="s">
        <v>2034</v>
      </c>
      <c r="N1385" s="28" t="s">
        <v>2015</v>
      </c>
      <c r="O1385" s="28" t="s">
        <v>2016</v>
      </c>
      <c r="P1385" s="29">
        <v>7400</v>
      </c>
      <c r="Q1385" s="28" t="s">
        <v>2017</v>
      </c>
      <c r="R1385" s="21"/>
      <c r="S1385" s="21"/>
      <c r="T1385" s="21"/>
      <c r="U1385" s="21"/>
      <c r="V1385" s="21"/>
      <c r="W1385" s="21"/>
      <c r="X1385" s="21"/>
    </row>
    <row r="1386" spans="1:24" ht="15.75" thickBot="1" x14ac:dyDescent="0.3">
      <c r="A1386" t="str">
        <f t="shared" si="21"/>
        <v>DET21280K20A</v>
      </c>
      <c r="B1386" s="22" t="s">
        <v>6249</v>
      </c>
      <c r="C1386" s="22" t="s">
        <v>5610</v>
      </c>
      <c r="D1386" s="22" t="s">
        <v>6250</v>
      </c>
      <c r="E1386" s="22" t="s">
        <v>6251</v>
      </c>
      <c r="F1386" s="22" t="s">
        <v>6252</v>
      </c>
      <c r="G1386" s="28" t="s">
        <v>2012</v>
      </c>
      <c r="H1386" s="22" t="s">
        <v>2080</v>
      </c>
      <c r="I1386" s="21"/>
      <c r="J1386" s="22" t="s">
        <v>494</v>
      </c>
      <c r="K1386" s="22" t="s">
        <v>924</v>
      </c>
      <c r="L1386" s="21"/>
      <c r="M1386" s="22" t="s">
        <v>2034</v>
      </c>
      <c r="N1386" s="28" t="s">
        <v>2015</v>
      </c>
      <c r="O1386" s="28" t="s">
        <v>2016</v>
      </c>
      <c r="P1386" s="29">
        <v>0</v>
      </c>
      <c r="Q1386" s="28" t="s">
        <v>2017</v>
      </c>
      <c r="R1386" s="21"/>
      <c r="S1386" s="21"/>
      <c r="T1386" s="21"/>
      <c r="U1386" s="21"/>
      <c r="V1386" s="21"/>
      <c r="W1386" s="21"/>
      <c r="X1386" s="21"/>
    </row>
    <row r="1387" spans="1:24" ht="15.75" thickBot="1" x14ac:dyDescent="0.3">
      <c r="A1387" t="str">
        <f t="shared" si="21"/>
        <v>DET2128566A</v>
      </c>
      <c r="B1387" s="22" t="s">
        <v>6253</v>
      </c>
      <c r="C1387" s="22" t="s">
        <v>6136</v>
      </c>
      <c r="D1387" s="22" t="s">
        <v>6254</v>
      </c>
      <c r="E1387" s="22" t="s">
        <v>6255</v>
      </c>
      <c r="F1387" s="22" t="s">
        <v>6256</v>
      </c>
      <c r="G1387" s="28" t="s">
        <v>2012</v>
      </c>
      <c r="H1387" s="22" t="s">
        <v>2080</v>
      </c>
      <c r="I1387" s="21"/>
      <c r="J1387" s="22" t="s">
        <v>494</v>
      </c>
      <c r="K1387" s="22" t="s">
        <v>924</v>
      </c>
      <c r="L1387" s="21"/>
      <c r="M1387" s="22" t="s">
        <v>2034</v>
      </c>
      <c r="N1387" s="28" t="s">
        <v>2015</v>
      </c>
      <c r="O1387" s="28" t="s">
        <v>2016</v>
      </c>
      <c r="P1387" s="29">
        <v>300</v>
      </c>
      <c r="Q1387" s="28" t="s">
        <v>2017</v>
      </c>
      <c r="R1387" s="21"/>
      <c r="S1387" s="21"/>
      <c r="T1387" s="21"/>
      <c r="U1387" s="21"/>
      <c r="V1387" s="21"/>
      <c r="W1387" s="21"/>
      <c r="X1387" s="21"/>
    </row>
    <row r="1388" spans="1:24" ht="15.75" thickBot="1" x14ac:dyDescent="0.3">
      <c r="A1388" t="str">
        <f t="shared" si="21"/>
        <v>DET21286A74A</v>
      </c>
      <c r="B1388" s="22" t="s">
        <v>6257</v>
      </c>
      <c r="C1388" s="22" t="s">
        <v>4160</v>
      </c>
      <c r="D1388" s="22" t="s">
        <v>6258</v>
      </c>
      <c r="E1388" s="22" t="s">
        <v>6259</v>
      </c>
      <c r="F1388" s="22" t="s">
        <v>6260</v>
      </c>
      <c r="G1388" s="28" t="s">
        <v>2012</v>
      </c>
      <c r="H1388" s="22" t="s">
        <v>2055</v>
      </c>
      <c r="I1388" s="21"/>
      <c r="J1388" s="22" t="s">
        <v>494</v>
      </c>
      <c r="K1388" s="22" t="s">
        <v>924</v>
      </c>
      <c r="L1388" s="21"/>
      <c r="M1388" s="22" t="s">
        <v>2034</v>
      </c>
      <c r="N1388" s="28" t="s">
        <v>2015</v>
      </c>
      <c r="O1388" s="28" t="s">
        <v>2016</v>
      </c>
      <c r="P1388" s="29">
        <v>2129</v>
      </c>
      <c r="Q1388" s="28" t="s">
        <v>2017</v>
      </c>
      <c r="R1388" s="21"/>
      <c r="S1388" s="21"/>
      <c r="T1388" s="21"/>
      <c r="U1388" s="21"/>
      <c r="V1388" s="21"/>
      <c r="W1388" s="21"/>
      <c r="X1388" s="21"/>
    </row>
    <row r="1389" spans="1:24" ht="15.75" thickBot="1" x14ac:dyDescent="0.3">
      <c r="A1389" t="str">
        <f t="shared" si="21"/>
        <v>DET21286A75A</v>
      </c>
      <c r="B1389" s="22" t="s">
        <v>6261</v>
      </c>
      <c r="C1389" s="22" t="s">
        <v>5649</v>
      </c>
      <c r="D1389" s="22" t="s">
        <v>6262</v>
      </c>
      <c r="E1389" s="22" t="s">
        <v>6263</v>
      </c>
      <c r="F1389" s="22" t="s">
        <v>6264</v>
      </c>
      <c r="G1389" s="28" t="s">
        <v>2012</v>
      </c>
      <c r="H1389" s="22" t="s">
        <v>2055</v>
      </c>
      <c r="I1389" s="21"/>
      <c r="J1389" s="22" t="s">
        <v>494</v>
      </c>
      <c r="K1389" s="22" t="s">
        <v>924</v>
      </c>
      <c r="L1389" s="21"/>
      <c r="M1389" s="22" t="s">
        <v>2034</v>
      </c>
      <c r="N1389" s="28" t="s">
        <v>2015</v>
      </c>
      <c r="O1389" s="28" t="s">
        <v>2016</v>
      </c>
      <c r="P1389" s="29">
        <v>2135</v>
      </c>
      <c r="Q1389" s="28" t="s">
        <v>2017</v>
      </c>
      <c r="R1389" s="21"/>
      <c r="S1389" s="21"/>
      <c r="T1389" s="21"/>
      <c r="U1389" s="21"/>
      <c r="V1389" s="21"/>
      <c r="W1389" s="21"/>
      <c r="X1389" s="21"/>
    </row>
    <row r="1390" spans="1:24" ht="15.75" thickBot="1" x14ac:dyDescent="0.3">
      <c r="A1390" t="str">
        <f t="shared" si="21"/>
        <v>DET21286D46A</v>
      </c>
      <c r="B1390" s="22" t="s">
        <v>6265</v>
      </c>
      <c r="C1390" s="22" t="s">
        <v>4160</v>
      </c>
      <c r="D1390" s="22" t="s">
        <v>6266</v>
      </c>
      <c r="E1390" s="22" t="s">
        <v>6267</v>
      </c>
      <c r="F1390" s="22" t="s">
        <v>6268</v>
      </c>
      <c r="G1390" s="28" t="s">
        <v>2012</v>
      </c>
      <c r="H1390" s="22" t="s">
        <v>2055</v>
      </c>
      <c r="I1390" s="21"/>
      <c r="J1390" s="22" t="s">
        <v>494</v>
      </c>
      <c r="K1390" s="22" t="s">
        <v>924</v>
      </c>
      <c r="L1390" s="21"/>
      <c r="M1390" s="22" t="s">
        <v>2034</v>
      </c>
      <c r="N1390" s="28" t="s">
        <v>2015</v>
      </c>
      <c r="O1390" s="28" t="s">
        <v>2016</v>
      </c>
      <c r="P1390" s="29">
        <v>4459</v>
      </c>
      <c r="Q1390" s="28" t="s">
        <v>2017</v>
      </c>
      <c r="R1390" s="21"/>
      <c r="S1390" s="21"/>
      <c r="T1390" s="21"/>
      <c r="U1390" s="21"/>
      <c r="V1390" s="21"/>
      <c r="W1390" s="21"/>
      <c r="X1390" s="21"/>
    </row>
    <row r="1391" spans="1:24" ht="15.75" thickBot="1" x14ac:dyDescent="0.3">
      <c r="A1391" t="str">
        <f t="shared" si="21"/>
        <v>DET21286D46B</v>
      </c>
      <c r="B1391" s="22" t="s">
        <v>6269</v>
      </c>
      <c r="C1391" s="22" t="s">
        <v>4160</v>
      </c>
      <c r="D1391" s="22" t="s">
        <v>6270</v>
      </c>
      <c r="E1391" s="22" t="s">
        <v>6271</v>
      </c>
      <c r="F1391" s="22" t="s">
        <v>6272</v>
      </c>
      <c r="G1391" s="28" t="s">
        <v>2012</v>
      </c>
      <c r="H1391" s="22" t="s">
        <v>2055</v>
      </c>
      <c r="I1391" s="21"/>
      <c r="J1391" s="22" t="s">
        <v>494</v>
      </c>
      <c r="K1391" s="22" t="s">
        <v>924</v>
      </c>
      <c r="L1391" s="21"/>
      <c r="M1391" s="22" t="s">
        <v>2034</v>
      </c>
      <c r="N1391" s="28" t="s">
        <v>2015</v>
      </c>
      <c r="O1391" s="28" t="s">
        <v>2016</v>
      </c>
      <c r="P1391" s="29">
        <v>1984</v>
      </c>
      <c r="Q1391" s="28" t="s">
        <v>2017</v>
      </c>
      <c r="R1391" s="21"/>
      <c r="S1391" s="21"/>
      <c r="T1391" s="21"/>
      <c r="U1391" s="21"/>
      <c r="V1391" s="21"/>
      <c r="W1391" s="21"/>
      <c r="X1391" s="21"/>
    </row>
    <row r="1392" spans="1:24" ht="15.75" thickBot="1" x14ac:dyDescent="0.3">
      <c r="A1392" t="str">
        <f t="shared" si="21"/>
        <v>DET21286D47A</v>
      </c>
      <c r="B1392" s="22" t="s">
        <v>6273</v>
      </c>
      <c r="C1392" s="22" t="s">
        <v>5649</v>
      </c>
      <c r="D1392" s="22" t="s">
        <v>6274</v>
      </c>
      <c r="E1392" s="22" t="s">
        <v>6275</v>
      </c>
      <c r="F1392" s="22" t="s">
        <v>6276</v>
      </c>
      <c r="G1392" s="28" t="s">
        <v>2012</v>
      </c>
      <c r="H1392" s="22" t="s">
        <v>2055</v>
      </c>
      <c r="I1392" s="21"/>
      <c r="J1392" s="22" t="s">
        <v>494</v>
      </c>
      <c r="K1392" s="22" t="s">
        <v>924</v>
      </c>
      <c r="L1392" s="21"/>
      <c r="M1392" s="22" t="s">
        <v>2034</v>
      </c>
      <c r="N1392" s="28" t="s">
        <v>2015</v>
      </c>
      <c r="O1392" s="28" t="s">
        <v>2016</v>
      </c>
      <c r="P1392" s="29">
        <v>4212</v>
      </c>
      <c r="Q1392" s="28" t="s">
        <v>2017</v>
      </c>
      <c r="R1392" s="21"/>
      <c r="S1392" s="21"/>
      <c r="T1392" s="21"/>
      <c r="U1392" s="21"/>
      <c r="V1392" s="21"/>
      <c r="W1392" s="21"/>
      <c r="X1392" s="21"/>
    </row>
    <row r="1393" spans="1:24" ht="15.75" thickBot="1" x14ac:dyDescent="0.3">
      <c r="A1393" t="str">
        <f t="shared" si="21"/>
        <v>DET21286D47B</v>
      </c>
      <c r="B1393" s="22" t="s">
        <v>6277</v>
      </c>
      <c r="C1393" s="22" t="s">
        <v>5649</v>
      </c>
      <c r="D1393" s="22" t="s">
        <v>6278</v>
      </c>
      <c r="E1393" s="22" t="s">
        <v>6279</v>
      </c>
      <c r="F1393" s="22" t="s">
        <v>6280</v>
      </c>
      <c r="G1393" s="28" t="s">
        <v>2012</v>
      </c>
      <c r="H1393" s="22" t="s">
        <v>2055</v>
      </c>
      <c r="I1393" s="21"/>
      <c r="J1393" s="22" t="s">
        <v>494</v>
      </c>
      <c r="K1393" s="22" t="s">
        <v>924</v>
      </c>
      <c r="L1393" s="21"/>
      <c r="M1393" s="22" t="s">
        <v>2034</v>
      </c>
      <c r="N1393" s="28" t="s">
        <v>2015</v>
      </c>
      <c r="O1393" s="28" t="s">
        <v>2016</v>
      </c>
      <c r="P1393" s="29">
        <v>1492</v>
      </c>
      <c r="Q1393" s="28" t="s">
        <v>2017</v>
      </c>
      <c r="R1393" s="21"/>
      <c r="S1393" s="21"/>
      <c r="T1393" s="21"/>
      <c r="U1393" s="21"/>
      <c r="V1393" s="21"/>
      <c r="W1393" s="21"/>
      <c r="X1393" s="21"/>
    </row>
    <row r="1394" spans="1:24" ht="15.75" thickBot="1" x14ac:dyDescent="0.3">
      <c r="A1394" t="str">
        <f t="shared" si="21"/>
        <v>DET21286F48A</v>
      </c>
      <c r="B1394" s="22" t="s">
        <v>6281</v>
      </c>
      <c r="C1394" s="22" t="s">
        <v>6282</v>
      </c>
      <c r="D1394" s="22" t="s">
        <v>6283</v>
      </c>
      <c r="E1394" s="22" t="s">
        <v>6284</v>
      </c>
      <c r="F1394" s="22" t="s">
        <v>6285</v>
      </c>
      <c r="G1394" s="28" t="s">
        <v>2012</v>
      </c>
      <c r="H1394" s="22" t="s">
        <v>2055</v>
      </c>
      <c r="I1394" s="21"/>
      <c r="J1394" s="22" t="s">
        <v>494</v>
      </c>
      <c r="K1394" s="22" t="s">
        <v>924</v>
      </c>
      <c r="L1394" s="21"/>
      <c r="M1394" s="22" t="s">
        <v>2034</v>
      </c>
      <c r="N1394" s="28" t="s">
        <v>2015</v>
      </c>
      <c r="O1394" s="28" t="s">
        <v>2016</v>
      </c>
      <c r="P1394" s="29">
        <v>98</v>
      </c>
      <c r="Q1394" s="28" t="s">
        <v>2017</v>
      </c>
      <c r="R1394" s="21"/>
      <c r="S1394" s="21"/>
      <c r="T1394" s="21"/>
      <c r="U1394" s="21"/>
      <c r="V1394" s="21"/>
      <c r="W1394" s="21"/>
      <c r="X1394" s="21"/>
    </row>
    <row r="1395" spans="1:24" ht="15.75" thickBot="1" x14ac:dyDescent="0.3">
      <c r="A1395" t="str">
        <f t="shared" si="21"/>
        <v>DET2140364A</v>
      </c>
      <c r="B1395" s="22" t="s">
        <v>6286</v>
      </c>
      <c r="C1395" s="22" t="s">
        <v>6287</v>
      </c>
      <c r="D1395" s="22" t="s">
        <v>6288</v>
      </c>
      <c r="E1395" s="22" t="s">
        <v>6287</v>
      </c>
      <c r="F1395" s="22" t="s">
        <v>6289</v>
      </c>
      <c r="G1395" s="28" t="s">
        <v>2012</v>
      </c>
      <c r="H1395" s="22" t="s">
        <v>2055</v>
      </c>
      <c r="I1395" s="21"/>
      <c r="J1395" s="22" t="s">
        <v>494</v>
      </c>
      <c r="K1395" s="22" t="s">
        <v>924</v>
      </c>
      <c r="L1395" s="21"/>
      <c r="M1395" s="22" t="s">
        <v>2034</v>
      </c>
      <c r="N1395" s="28" t="s">
        <v>2015</v>
      </c>
      <c r="O1395" s="28" t="s">
        <v>2016</v>
      </c>
      <c r="P1395" s="29">
        <v>667</v>
      </c>
      <c r="Q1395" s="28" t="s">
        <v>2017</v>
      </c>
      <c r="R1395" s="21"/>
      <c r="S1395" s="21"/>
      <c r="T1395" s="21"/>
      <c r="U1395" s="21"/>
      <c r="V1395" s="21"/>
      <c r="W1395" s="21"/>
      <c r="X1395" s="21"/>
    </row>
    <row r="1396" spans="1:24" ht="15.75" thickBot="1" x14ac:dyDescent="0.3">
      <c r="A1396" t="str">
        <f t="shared" si="21"/>
        <v>DET2140365A</v>
      </c>
      <c r="B1396" s="22" t="s">
        <v>6290</v>
      </c>
      <c r="C1396" s="22" t="s">
        <v>5649</v>
      </c>
      <c r="D1396" s="22" t="s">
        <v>6291</v>
      </c>
      <c r="E1396" s="22" t="s">
        <v>6292</v>
      </c>
      <c r="F1396" s="22" t="s">
        <v>6293</v>
      </c>
      <c r="G1396" s="28" t="s">
        <v>2012</v>
      </c>
      <c r="H1396" s="22" t="s">
        <v>2055</v>
      </c>
      <c r="I1396" s="21"/>
      <c r="J1396" s="22" t="s">
        <v>494</v>
      </c>
      <c r="K1396" s="22" t="s">
        <v>924</v>
      </c>
      <c r="L1396" s="21"/>
      <c r="M1396" s="22" t="s">
        <v>2034</v>
      </c>
      <c r="N1396" s="28" t="s">
        <v>2015</v>
      </c>
      <c r="O1396" s="28" t="s">
        <v>2016</v>
      </c>
      <c r="P1396" s="29">
        <v>1567</v>
      </c>
      <c r="Q1396" s="28" t="s">
        <v>2017</v>
      </c>
      <c r="R1396" s="21"/>
      <c r="S1396" s="21"/>
      <c r="T1396" s="21"/>
      <c r="U1396" s="21"/>
      <c r="V1396" s="21"/>
      <c r="W1396" s="21"/>
      <c r="X1396" s="21"/>
    </row>
    <row r="1397" spans="1:24" ht="15.75" thickBot="1" x14ac:dyDescent="0.3">
      <c r="A1397" t="str">
        <f t="shared" si="21"/>
        <v>DET21403B48A</v>
      </c>
      <c r="B1397" s="22" t="s">
        <v>6294</v>
      </c>
      <c r="C1397" s="22" t="s">
        <v>6295</v>
      </c>
      <c r="D1397" s="22" t="s">
        <v>6296</v>
      </c>
      <c r="E1397" s="22" t="s">
        <v>6297</v>
      </c>
      <c r="F1397" s="22" t="s">
        <v>6298</v>
      </c>
      <c r="G1397" s="28" t="s">
        <v>2012</v>
      </c>
      <c r="H1397" s="22" t="s">
        <v>2080</v>
      </c>
      <c r="I1397" s="21"/>
      <c r="J1397" s="22" t="s">
        <v>494</v>
      </c>
      <c r="K1397" s="22" t="s">
        <v>924</v>
      </c>
      <c r="L1397" s="21"/>
      <c r="M1397" s="22" t="s">
        <v>2034</v>
      </c>
      <c r="N1397" s="28" t="s">
        <v>2015</v>
      </c>
      <c r="O1397" s="28" t="s">
        <v>2016</v>
      </c>
      <c r="P1397" s="29">
        <v>100</v>
      </c>
      <c r="Q1397" s="28" t="s">
        <v>2017</v>
      </c>
      <c r="R1397" s="21"/>
      <c r="S1397" s="21"/>
      <c r="T1397" s="21"/>
      <c r="U1397" s="21"/>
      <c r="V1397" s="21"/>
      <c r="W1397" s="21"/>
      <c r="X1397" s="21"/>
    </row>
    <row r="1398" spans="1:24" ht="15.75" thickBot="1" x14ac:dyDescent="0.3">
      <c r="A1398" t="str">
        <f t="shared" si="21"/>
        <v>DET21403C96A</v>
      </c>
      <c r="B1398" s="22" t="s">
        <v>6299</v>
      </c>
      <c r="C1398" s="22" t="s">
        <v>5754</v>
      </c>
      <c r="D1398" s="22" t="s">
        <v>6300</v>
      </c>
      <c r="E1398" s="22" t="s">
        <v>6301</v>
      </c>
      <c r="F1398" s="22" t="s">
        <v>3034</v>
      </c>
      <c r="G1398" s="28" t="s">
        <v>2012</v>
      </c>
      <c r="H1398" s="22" t="s">
        <v>2080</v>
      </c>
      <c r="I1398" s="21"/>
      <c r="J1398" s="22" t="s">
        <v>494</v>
      </c>
      <c r="K1398" s="22" t="s">
        <v>924</v>
      </c>
      <c r="L1398" s="21"/>
      <c r="M1398" s="22" t="s">
        <v>2034</v>
      </c>
      <c r="N1398" s="28" t="s">
        <v>2015</v>
      </c>
      <c r="O1398" s="28" t="s">
        <v>2016</v>
      </c>
      <c r="P1398" s="29">
        <v>183</v>
      </c>
      <c r="Q1398" s="28" t="s">
        <v>2017</v>
      </c>
      <c r="R1398" s="21"/>
      <c r="S1398" s="21"/>
      <c r="T1398" s="21"/>
      <c r="U1398" s="21"/>
      <c r="V1398" s="21"/>
      <c r="W1398" s="21"/>
      <c r="X1398" s="21"/>
    </row>
    <row r="1399" spans="1:24" ht="15.75" thickBot="1" x14ac:dyDescent="0.3">
      <c r="A1399" t="str">
        <f t="shared" si="21"/>
        <v>DET2141022A</v>
      </c>
      <c r="B1399" s="22" t="s">
        <v>6302</v>
      </c>
      <c r="C1399" s="22" t="s">
        <v>4160</v>
      </c>
      <c r="D1399" s="22" t="s">
        <v>6303</v>
      </c>
      <c r="E1399" s="22" t="s">
        <v>6304</v>
      </c>
      <c r="F1399" s="22" t="s">
        <v>6305</v>
      </c>
      <c r="G1399" s="28" t="s">
        <v>2012</v>
      </c>
      <c r="H1399" s="22" t="s">
        <v>2055</v>
      </c>
      <c r="I1399" s="21"/>
      <c r="J1399" s="22" t="s">
        <v>494</v>
      </c>
      <c r="K1399" s="22" t="s">
        <v>924</v>
      </c>
      <c r="L1399" s="21"/>
      <c r="M1399" s="22" t="s">
        <v>2034</v>
      </c>
      <c r="N1399" s="28" t="s">
        <v>2015</v>
      </c>
      <c r="O1399" s="28" t="s">
        <v>2016</v>
      </c>
      <c r="P1399" s="29">
        <v>1128</v>
      </c>
      <c r="Q1399" s="28" t="s">
        <v>2017</v>
      </c>
      <c r="R1399" s="21"/>
      <c r="S1399" s="21"/>
      <c r="T1399" s="21"/>
      <c r="U1399" s="21"/>
      <c r="V1399" s="21"/>
      <c r="W1399" s="21"/>
      <c r="X1399" s="21"/>
    </row>
    <row r="1400" spans="1:24" ht="15.75" thickBot="1" x14ac:dyDescent="0.3">
      <c r="A1400" t="str">
        <f t="shared" si="21"/>
        <v>DET2141040A</v>
      </c>
      <c r="B1400" s="22" t="s">
        <v>6306</v>
      </c>
      <c r="C1400" s="22" t="s">
        <v>4160</v>
      </c>
      <c r="D1400" s="22" t="s">
        <v>6307</v>
      </c>
      <c r="E1400" s="22" t="s">
        <v>6308</v>
      </c>
      <c r="F1400" s="22" t="s">
        <v>6309</v>
      </c>
      <c r="G1400" s="28" t="s">
        <v>2012</v>
      </c>
      <c r="H1400" s="22" t="s">
        <v>2055</v>
      </c>
      <c r="I1400" s="21"/>
      <c r="J1400" s="22" t="s">
        <v>494</v>
      </c>
      <c r="K1400" s="22" t="s">
        <v>924</v>
      </c>
      <c r="L1400" s="21"/>
      <c r="M1400" s="22" t="s">
        <v>2034</v>
      </c>
      <c r="N1400" s="28" t="s">
        <v>2015</v>
      </c>
      <c r="O1400" s="28" t="s">
        <v>2016</v>
      </c>
      <c r="P1400" s="29">
        <v>508</v>
      </c>
      <c r="Q1400" s="28" t="s">
        <v>2017</v>
      </c>
      <c r="R1400" s="21"/>
      <c r="S1400" s="21"/>
      <c r="T1400" s="21"/>
      <c r="U1400" s="21"/>
      <c r="V1400" s="21"/>
      <c r="W1400" s="21"/>
      <c r="X1400" s="21"/>
    </row>
    <row r="1401" spans="1:24" ht="15.75" thickBot="1" x14ac:dyDescent="0.3">
      <c r="A1401" t="str">
        <f t="shared" si="21"/>
        <v>DET2141041A</v>
      </c>
      <c r="B1401" s="22" t="s">
        <v>1350</v>
      </c>
      <c r="C1401" s="22" t="s">
        <v>5649</v>
      </c>
      <c r="D1401" s="22" t="s">
        <v>6310</v>
      </c>
      <c r="E1401" s="22" t="s">
        <v>6311</v>
      </c>
      <c r="F1401" s="22" t="s">
        <v>6312</v>
      </c>
      <c r="G1401" s="28" t="s">
        <v>2012</v>
      </c>
      <c r="H1401" s="22" t="s">
        <v>2055</v>
      </c>
      <c r="I1401" s="21"/>
      <c r="J1401" s="22" t="s">
        <v>494</v>
      </c>
      <c r="K1401" s="22" t="s">
        <v>924</v>
      </c>
      <c r="L1401" s="21"/>
      <c r="M1401" s="22" t="s">
        <v>2034</v>
      </c>
      <c r="N1401" s="28" t="s">
        <v>2015</v>
      </c>
      <c r="O1401" s="28" t="s">
        <v>2016</v>
      </c>
      <c r="P1401" s="29">
        <v>0</v>
      </c>
      <c r="Q1401" s="28" t="s">
        <v>2017</v>
      </c>
      <c r="R1401" s="41">
        <v>0</v>
      </c>
      <c r="S1401" s="29">
        <v>30</v>
      </c>
      <c r="T1401" s="32">
        <v>0.46666666666599999</v>
      </c>
      <c r="U1401" s="32">
        <v>0</v>
      </c>
      <c r="V1401" s="41">
        <v>0</v>
      </c>
      <c r="W1401" s="21"/>
      <c r="X1401" s="21"/>
    </row>
    <row r="1402" spans="1:24" ht="15.75" thickBot="1" x14ac:dyDescent="0.3">
      <c r="A1402" t="str">
        <f t="shared" si="21"/>
        <v>DET2141056A</v>
      </c>
      <c r="B1402" s="22" t="s">
        <v>6313</v>
      </c>
      <c r="C1402" s="22" t="s">
        <v>4160</v>
      </c>
      <c r="D1402" s="22" t="s">
        <v>6314</v>
      </c>
      <c r="E1402" s="22" t="s">
        <v>6315</v>
      </c>
      <c r="F1402" s="22" t="s">
        <v>6316</v>
      </c>
      <c r="G1402" s="28" t="s">
        <v>2012</v>
      </c>
      <c r="H1402" s="22" t="s">
        <v>2055</v>
      </c>
      <c r="I1402" s="21"/>
      <c r="J1402" s="22" t="s">
        <v>494</v>
      </c>
      <c r="K1402" s="22" t="s">
        <v>924</v>
      </c>
      <c r="L1402" s="21"/>
      <c r="M1402" s="22" t="s">
        <v>2034</v>
      </c>
      <c r="N1402" s="28" t="s">
        <v>2015</v>
      </c>
      <c r="O1402" s="28" t="s">
        <v>2016</v>
      </c>
      <c r="P1402" s="29">
        <v>549</v>
      </c>
      <c r="Q1402" s="28" t="s">
        <v>2017</v>
      </c>
      <c r="R1402" s="21"/>
      <c r="S1402" s="21"/>
      <c r="T1402" s="21"/>
      <c r="U1402" s="21"/>
      <c r="V1402" s="21"/>
      <c r="W1402" s="21"/>
      <c r="X1402" s="21"/>
    </row>
    <row r="1403" spans="1:24" ht="15.75" thickBot="1" x14ac:dyDescent="0.3">
      <c r="A1403" t="str">
        <f t="shared" si="21"/>
        <v>DET2141057A</v>
      </c>
      <c r="B1403" s="22" t="s">
        <v>6317</v>
      </c>
      <c r="C1403" s="22" t="s">
        <v>5649</v>
      </c>
      <c r="D1403" s="22" t="s">
        <v>6318</v>
      </c>
      <c r="E1403" s="22" t="s">
        <v>6319</v>
      </c>
      <c r="F1403" s="22" t="s">
        <v>6320</v>
      </c>
      <c r="G1403" s="28" t="s">
        <v>2012</v>
      </c>
      <c r="H1403" s="22" t="s">
        <v>2055</v>
      </c>
      <c r="I1403" s="21"/>
      <c r="J1403" s="22" t="s">
        <v>494</v>
      </c>
      <c r="K1403" s="22" t="s">
        <v>924</v>
      </c>
      <c r="L1403" s="21"/>
      <c r="M1403" s="22" t="s">
        <v>2034</v>
      </c>
      <c r="N1403" s="28" t="s">
        <v>2015</v>
      </c>
      <c r="O1403" s="28" t="s">
        <v>2016</v>
      </c>
      <c r="P1403" s="29">
        <v>530</v>
      </c>
      <c r="Q1403" s="28" t="s">
        <v>2017</v>
      </c>
      <c r="R1403" s="21"/>
      <c r="S1403" s="21"/>
      <c r="T1403" s="21"/>
      <c r="U1403" s="21"/>
      <c r="V1403" s="21"/>
      <c r="W1403" s="21"/>
      <c r="X1403" s="21"/>
    </row>
    <row r="1404" spans="1:24" ht="15.75" thickBot="1" x14ac:dyDescent="0.3">
      <c r="A1404" t="str">
        <f t="shared" si="21"/>
        <v>DET2141058A</v>
      </c>
      <c r="B1404" s="22" t="s">
        <v>6321</v>
      </c>
      <c r="C1404" s="22" t="s">
        <v>4160</v>
      </c>
      <c r="D1404" s="22" t="s">
        <v>6322</v>
      </c>
      <c r="E1404" s="22" t="s">
        <v>6323</v>
      </c>
      <c r="F1404" s="22" t="s">
        <v>6324</v>
      </c>
      <c r="G1404" s="28" t="s">
        <v>2012</v>
      </c>
      <c r="H1404" s="22" t="s">
        <v>2055</v>
      </c>
      <c r="I1404" s="21"/>
      <c r="J1404" s="22" t="s">
        <v>494</v>
      </c>
      <c r="K1404" s="22" t="s">
        <v>924</v>
      </c>
      <c r="L1404" s="21"/>
      <c r="M1404" s="22" t="s">
        <v>2034</v>
      </c>
      <c r="N1404" s="28" t="s">
        <v>2015</v>
      </c>
      <c r="O1404" s="28" t="s">
        <v>2016</v>
      </c>
      <c r="P1404" s="29">
        <v>2433</v>
      </c>
      <c r="Q1404" s="28" t="s">
        <v>2017</v>
      </c>
      <c r="R1404" s="21"/>
      <c r="S1404" s="21"/>
      <c r="T1404" s="21"/>
      <c r="U1404" s="21"/>
      <c r="V1404" s="21"/>
      <c r="W1404" s="21"/>
      <c r="X1404" s="21"/>
    </row>
    <row r="1405" spans="1:24" ht="15.75" thickBot="1" x14ac:dyDescent="0.3">
      <c r="A1405" t="str">
        <f t="shared" si="21"/>
        <v>DET2141059A</v>
      </c>
      <c r="B1405" s="22" t="s">
        <v>6325</v>
      </c>
      <c r="C1405" s="22" t="s">
        <v>5649</v>
      </c>
      <c r="D1405" s="22" t="s">
        <v>6326</v>
      </c>
      <c r="E1405" s="22" t="s">
        <v>6327</v>
      </c>
      <c r="F1405" s="22" t="s">
        <v>6324</v>
      </c>
      <c r="G1405" s="28" t="s">
        <v>2012</v>
      </c>
      <c r="H1405" s="22" t="s">
        <v>2055</v>
      </c>
      <c r="I1405" s="21"/>
      <c r="J1405" s="22" t="s">
        <v>494</v>
      </c>
      <c r="K1405" s="22" t="s">
        <v>924</v>
      </c>
      <c r="L1405" s="21"/>
      <c r="M1405" s="22" t="s">
        <v>2034</v>
      </c>
      <c r="N1405" s="28" t="s">
        <v>2015</v>
      </c>
      <c r="O1405" s="28" t="s">
        <v>2016</v>
      </c>
      <c r="P1405" s="29">
        <v>2264</v>
      </c>
      <c r="Q1405" s="28" t="s">
        <v>2017</v>
      </c>
      <c r="R1405" s="21"/>
      <c r="S1405" s="21"/>
      <c r="T1405" s="21"/>
      <c r="U1405" s="21"/>
      <c r="V1405" s="21"/>
      <c r="W1405" s="21"/>
      <c r="X1405" s="21"/>
    </row>
    <row r="1406" spans="1:24" ht="15.75" thickBot="1" x14ac:dyDescent="0.3">
      <c r="A1406" t="str">
        <f t="shared" si="21"/>
        <v>DET21410A22A</v>
      </c>
      <c r="B1406" s="22" t="s">
        <v>6328</v>
      </c>
      <c r="C1406" s="22" t="s">
        <v>5626</v>
      </c>
      <c r="D1406" s="22" t="s">
        <v>4213</v>
      </c>
      <c r="E1406" s="22" t="s">
        <v>6329</v>
      </c>
      <c r="F1406" s="22" t="s">
        <v>6330</v>
      </c>
      <c r="G1406" s="28" t="s">
        <v>2012</v>
      </c>
      <c r="H1406" s="22" t="s">
        <v>2080</v>
      </c>
      <c r="I1406" s="21"/>
      <c r="J1406" s="22" t="s">
        <v>494</v>
      </c>
      <c r="K1406" s="22" t="s">
        <v>924</v>
      </c>
      <c r="L1406" s="21"/>
      <c r="M1406" s="22" t="s">
        <v>2034</v>
      </c>
      <c r="N1406" s="28" t="s">
        <v>2015</v>
      </c>
      <c r="O1406" s="28" t="s">
        <v>2016</v>
      </c>
      <c r="P1406" s="29">
        <v>96</v>
      </c>
      <c r="Q1406" s="28" t="s">
        <v>2017</v>
      </c>
      <c r="R1406" s="21"/>
      <c r="S1406" s="21"/>
      <c r="T1406" s="21"/>
      <c r="U1406" s="21"/>
      <c r="V1406" s="21"/>
      <c r="W1406" s="21"/>
      <c r="X1406" s="21"/>
    </row>
    <row r="1407" spans="1:24" ht="15.75" thickBot="1" x14ac:dyDescent="0.3">
      <c r="A1407" t="str">
        <f t="shared" si="21"/>
        <v>DET21410A23A</v>
      </c>
      <c r="B1407" s="22" t="s">
        <v>6331</v>
      </c>
      <c r="C1407" s="22" t="s">
        <v>5730</v>
      </c>
      <c r="D1407" s="22" t="s">
        <v>4213</v>
      </c>
      <c r="E1407" s="22" t="s">
        <v>6332</v>
      </c>
      <c r="F1407" s="22" t="s">
        <v>6333</v>
      </c>
      <c r="G1407" s="28" t="s">
        <v>2012</v>
      </c>
      <c r="H1407" s="22" t="s">
        <v>2080</v>
      </c>
      <c r="I1407" s="21"/>
      <c r="J1407" s="22" t="s">
        <v>494</v>
      </c>
      <c r="K1407" s="22" t="s">
        <v>924</v>
      </c>
      <c r="L1407" s="21"/>
      <c r="M1407" s="22" t="s">
        <v>2034</v>
      </c>
      <c r="N1407" s="28" t="s">
        <v>2015</v>
      </c>
      <c r="O1407" s="28" t="s">
        <v>2016</v>
      </c>
      <c r="P1407" s="29">
        <v>94</v>
      </c>
      <c r="Q1407" s="28" t="s">
        <v>2017</v>
      </c>
      <c r="R1407" s="21"/>
      <c r="S1407" s="21"/>
      <c r="T1407" s="21"/>
      <c r="U1407" s="21"/>
      <c r="V1407" s="21"/>
      <c r="W1407" s="21"/>
      <c r="X1407" s="21"/>
    </row>
    <row r="1408" spans="1:24" ht="15.75" thickBot="1" x14ac:dyDescent="0.3">
      <c r="A1408" t="str">
        <f t="shared" si="21"/>
        <v>DET21410A76A</v>
      </c>
      <c r="B1408" s="22" t="s">
        <v>6334</v>
      </c>
      <c r="C1408" s="22" t="s">
        <v>5610</v>
      </c>
      <c r="D1408" s="22" t="s">
        <v>6335</v>
      </c>
      <c r="E1408" s="22" t="s">
        <v>6336</v>
      </c>
      <c r="F1408" s="22" t="s">
        <v>6337</v>
      </c>
      <c r="G1408" s="28" t="s">
        <v>2012</v>
      </c>
      <c r="H1408" s="22" t="s">
        <v>2080</v>
      </c>
      <c r="I1408" s="21"/>
      <c r="J1408" s="22" t="s">
        <v>494</v>
      </c>
      <c r="K1408" s="22" t="s">
        <v>924</v>
      </c>
      <c r="L1408" s="21"/>
      <c r="M1408" s="22" t="s">
        <v>2034</v>
      </c>
      <c r="N1408" s="28" t="s">
        <v>2015</v>
      </c>
      <c r="O1408" s="28" t="s">
        <v>2016</v>
      </c>
      <c r="P1408" s="29">
        <v>2273</v>
      </c>
      <c r="Q1408" s="28" t="s">
        <v>2017</v>
      </c>
      <c r="R1408" s="21"/>
      <c r="S1408" s="21"/>
      <c r="T1408" s="21"/>
      <c r="U1408" s="21"/>
      <c r="V1408" s="21"/>
      <c r="W1408" s="21"/>
      <c r="X1408" s="21"/>
    </row>
    <row r="1409" spans="1:24" ht="15.75" thickBot="1" x14ac:dyDescent="0.3">
      <c r="A1409" t="str">
        <f t="shared" si="21"/>
        <v>DET21410A77A</v>
      </c>
      <c r="B1409" s="22" t="s">
        <v>6338</v>
      </c>
      <c r="C1409" s="22" t="s">
        <v>5615</v>
      </c>
      <c r="D1409" s="22" t="s">
        <v>6339</v>
      </c>
      <c r="E1409" s="22" t="s">
        <v>6340</v>
      </c>
      <c r="F1409" s="22" t="s">
        <v>6341</v>
      </c>
      <c r="G1409" s="28" t="s">
        <v>2012</v>
      </c>
      <c r="H1409" s="22" t="s">
        <v>2080</v>
      </c>
      <c r="I1409" s="21"/>
      <c r="J1409" s="22" t="s">
        <v>494</v>
      </c>
      <c r="K1409" s="22" t="s">
        <v>924</v>
      </c>
      <c r="L1409" s="21"/>
      <c r="M1409" s="22" t="s">
        <v>2034</v>
      </c>
      <c r="N1409" s="28" t="s">
        <v>2015</v>
      </c>
      <c r="O1409" s="28" t="s">
        <v>2016</v>
      </c>
      <c r="P1409" s="29">
        <v>1900</v>
      </c>
      <c r="Q1409" s="28" t="s">
        <v>2017</v>
      </c>
      <c r="R1409" s="21"/>
      <c r="S1409" s="21"/>
      <c r="T1409" s="21"/>
      <c r="U1409" s="21"/>
      <c r="V1409" s="21"/>
      <c r="W1409" s="21"/>
      <c r="X1409" s="21"/>
    </row>
    <row r="1410" spans="1:24" ht="15.75" thickBot="1" x14ac:dyDescent="0.3">
      <c r="A1410" t="str">
        <f t="shared" si="21"/>
        <v>DET2143488A</v>
      </c>
      <c r="B1410" s="22" t="s">
        <v>6342</v>
      </c>
      <c r="C1410" s="22" t="s">
        <v>5610</v>
      </c>
      <c r="D1410" s="22" t="s">
        <v>6343</v>
      </c>
      <c r="E1410" s="22" t="s">
        <v>5830</v>
      </c>
      <c r="F1410" s="22" t="s">
        <v>6344</v>
      </c>
      <c r="G1410" s="28" t="s">
        <v>2012</v>
      </c>
      <c r="H1410" s="22" t="s">
        <v>2080</v>
      </c>
      <c r="I1410" s="21"/>
      <c r="J1410" s="22" t="s">
        <v>494</v>
      </c>
      <c r="K1410" s="22" t="s">
        <v>924</v>
      </c>
      <c r="L1410" s="21"/>
      <c r="M1410" s="22" t="s">
        <v>2034</v>
      </c>
      <c r="N1410" s="28" t="s">
        <v>2015</v>
      </c>
      <c r="O1410" s="28" t="s">
        <v>2016</v>
      </c>
      <c r="P1410" s="29">
        <v>625</v>
      </c>
      <c r="Q1410" s="28" t="s">
        <v>2017</v>
      </c>
      <c r="R1410" s="21"/>
      <c r="S1410" s="21"/>
      <c r="T1410" s="21"/>
      <c r="U1410" s="21"/>
      <c r="V1410" s="21"/>
      <c r="W1410" s="21"/>
      <c r="X1410" s="21"/>
    </row>
    <row r="1411" spans="1:24" ht="15.75" thickBot="1" x14ac:dyDescent="0.3">
      <c r="A1411" t="str">
        <f t="shared" si="21"/>
        <v>DET2143489A</v>
      </c>
      <c r="B1411" s="22" t="s">
        <v>6345</v>
      </c>
      <c r="C1411" s="22" t="s">
        <v>5615</v>
      </c>
      <c r="D1411" s="22" t="s">
        <v>6346</v>
      </c>
      <c r="E1411" s="22" t="s">
        <v>5834</v>
      </c>
      <c r="F1411" s="22" t="s">
        <v>6347</v>
      </c>
      <c r="G1411" s="28" t="s">
        <v>2012</v>
      </c>
      <c r="H1411" s="22" t="s">
        <v>2080</v>
      </c>
      <c r="I1411" s="21"/>
      <c r="J1411" s="22" t="s">
        <v>494</v>
      </c>
      <c r="K1411" s="22" t="s">
        <v>924</v>
      </c>
      <c r="L1411" s="21"/>
      <c r="M1411" s="22" t="s">
        <v>2034</v>
      </c>
      <c r="N1411" s="28" t="s">
        <v>2015</v>
      </c>
      <c r="O1411" s="28" t="s">
        <v>2016</v>
      </c>
      <c r="P1411" s="29">
        <v>752</v>
      </c>
      <c r="Q1411" s="28" t="s">
        <v>2017</v>
      </c>
      <c r="R1411" s="21"/>
      <c r="S1411" s="21"/>
      <c r="T1411" s="21"/>
      <c r="U1411" s="21"/>
      <c r="V1411" s="21"/>
      <c r="W1411" s="21"/>
      <c r="X1411" s="21"/>
    </row>
    <row r="1412" spans="1:24" ht="15.75" thickBot="1" x14ac:dyDescent="0.3">
      <c r="A1412" t="str">
        <f t="shared" si="21"/>
        <v>DET2150291A</v>
      </c>
      <c r="B1412" s="22" t="s">
        <v>6348</v>
      </c>
      <c r="C1412" s="22" t="s">
        <v>6349</v>
      </c>
      <c r="D1412" s="22" t="s">
        <v>6350</v>
      </c>
      <c r="E1412" s="22" t="s">
        <v>6351</v>
      </c>
      <c r="F1412" s="22" t="s">
        <v>2486</v>
      </c>
      <c r="G1412" s="28" t="s">
        <v>2012</v>
      </c>
      <c r="H1412" s="22" t="s">
        <v>2080</v>
      </c>
      <c r="I1412" s="21"/>
      <c r="J1412" s="22" t="s">
        <v>494</v>
      </c>
      <c r="K1412" s="22" t="s">
        <v>924</v>
      </c>
      <c r="L1412" s="21"/>
      <c r="M1412" s="22" t="s">
        <v>2034</v>
      </c>
      <c r="N1412" s="28" t="s">
        <v>2015</v>
      </c>
      <c r="O1412" s="28" t="s">
        <v>2016</v>
      </c>
      <c r="P1412" s="29">
        <v>344</v>
      </c>
      <c r="Q1412" s="28" t="s">
        <v>2017</v>
      </c>
      <c r="R1412" s="21"/>
      <c r="S1412" s="21"/>
      <c r="T1412" s="21"/>
      <c r="U1412" s="21"/>
      <c r="V1412" s="21"/>
      <c r="W1412" s="21"/>
      <c r="X1412" s="21"/>
    </row>
    <row r="1413" spans="1:24" ht="15.75" thickBot="1" x14ac:dyDescent="0.3">
      <c r="A1413" t="str">
        <f t="shared" ref="A1413:A1476" si="22">TRIM(B1413)</f>
        <v>DET2150682A</v>
      </c>
      <c r="B1413" s="22" t="s">
        <v>6352</v>
      </c>
      <c r="C1413" s="22" t="s">
        <v>2161</v>
      </c>
      <c r="D1413" s="22" t="s">
        <v>4012</v>
      </c>
      <c r="E1413" s="22" t="s">
        <v>6353</v>
      </c>
      <c r="F1413" s="22" t="s">
        <v>6354</v>
      </c>
      <c r="G1413" s="28" t="s">
        <v>2012</v>
      </c>
      <c r="H1413" s="22" t="s">
        <v>2080</v>
      </c>
      <c r="I1413" s="21"/>
      <c r="J1413" s="22" t="s">
        <v>494</v>
      </c>
      <c r="K1413" s="22" t="s">
        <v>924</v>
      </c>
      <c r="L1413" s="21"/>
      <c r="M1413" s="22" t="s">
        <v>2034</v>
      </c>
      <c r="N1413" s="28" t="s">
        <v>2015</v>
      </c>
      <c r="O1413" s="28" t="s">
        <v>2016</v>
      </c>
      <c r="P1413" s="29">
        <v>100</v>
      </c>
      <c r="Q1413" s="28" t="s">
        <v>2017</v>
      </c>
      <c r="R1413" s="21"/>
      <c r="S1413" s="21"/>
      <c r="T1413" s="21"/>
      <c r="U1413" s="21"/>
      <c r="V1413" s="21"/>
      <c r="W1413" s="21"/>
      <c r="X1413" s="21"/>
    </row>
    <row r="1414" spans="1:24" ht="15.75" thickBot="1" x14ac:dyDescent="0.3">
      <c r="A1414" t="str">
        <f t="shared" si="22"/>
        <v>DET2150683A</v>
      </c>
      <c r="B1414" s="22" t="s">
        <v>6355</v>
      </c>
      <c r="C1414" s="22" t="s">
        <v>2161</v>
      </c>
      <c r="D1414" s="22" t="s">
        <v>4012</v>
      </c>
      <c r="E1414" s="22" t="s">
        <v>6353</v>
      </c>
      <c r="F1414" s="22" t="s">
        <v>6354</v>
      </c>
      <c r="G1414" s="28" t="s">
        <v>2012</v>
      </c>
      <c r="H1414" s="22" t="s">
        <v>2080</v>
      </c>
      <c r="I1414" s="21"/>
      <c r="J1414" s="22" t="s">
        <v>494</v>
      </c>
      <c r="K1414" s="22" t="s">
        <v>924</v>
      </c>
      <c r="L1414" s="21"/>
      <c r="M1414" s="22" t="s">
        <v>2034</v>
      </c>
      <c r="N1414" s="28" t="s">
        <v>2015</v>
      </c>
      <c r="O1414" s="28" t="s">
        <v>2016</v>
      </c>
      <c r="P1414" s="29">
        <v>100</v>
      </c>
      <c r="Q1414" s="28" t="s">
        <v>2017</v>
      </c>
      <c r="R1414" s="21"/>
      <c r="S1414" s="21"/>
      <c r="T1414" s="21"/>
      <c r="U1414" s="21"/>
      <c r="V1414" s="21"/>
      <c r="W1414" s="21"/>
      <c r="X1414" s="21"/>
    </row>
    <row r="1415" spans="1:24" ht="15.75" thickBot="1" x14ac:dyDescent="0.3">
      <c r="A1415" t="str">
        <f t="shared" si="22"/>
        <v>DET2150844A</v>
      </c>
      <c r="B1415" s="22" t="s">
        <v>6356</v>
      </c>
      <c r="C1415" s="22" t="s">
        <v>6357</v>
      </c>
      <c r="D1415" s="22" t="s">
        <v>5179</v>
      </c>
      <c r="E1415" s="22" t="s">
        <v>6358</v>
      </c>
      <c r="F1415" s="22" t="s">
        <v>6359</v>
      </c>
      <c r="G1415" s="28" t="s">
        <v>2012</v>
      </c>
      <c r="H1415" s="22" t="s">
        <v>2080</v>
      </c>
      <c r="I1415" s="21"/>
      <c r="J1415" s="22" t="s">
        <v>494</v>
      </c>
      <c r="K1415" s="22" t="s">
        <v>924</v>
      </c>
      <c r="L1415" s="21"/>
      <c r="M1415" s="22" t="s">
        <v>2034</v>
      </c>
      <c r="N1415" s="28" t="s">
        <v>2015</v>
      </c>
      <c r="O1415" s="28" t="s">
        <v>2016</v>
      </c>
      <c r="P1415" s="29">
        <v>110</v>
      </c>
      <c r="Q1415" s="28" t="s">
        <v>2017</v>
      </c>
      <c r="R1415" s="21"/>
      <c r="S1415" s="21"/>
      <c r="T1415" s="21"/>
      <c r="U1415" s="21"/>
      <c r="V1415" s="21"/>
      <c r="W1415" s="21"/>
      <c r="X1415" s="21"/>
    </row>
    <row r="1416" spans="1:24" ht="15.75" thickBot="1" x14ac:dyDescent="0.3">
      <c r="A1416" t="str">
        <f t="shared" si="22"/>
        <v>DET2160106A</v>
      </c>
      <c r="B1416" s="22" t="s">
        <v>6360</v>
      </c>
      <c r="C1416" s="22" t="s">
        <v>5575</v>
      </c>
      <c r="D1416" s="22" t="s">
        <v>6361</v>
      </c>
      <c r="E1416" s="22" t="s">
        <v>6362</v>
      </c>
      <c r="F1416" s="22" t="s">
        <v>6363</v>
      </c>
      <c r="G1416" s="28" t="s">
        <v>2012</v>
      </c>
      <c r="H1416" s="22" t="s">
        <v>2080</v>
      </c>
      <c r="I1416" s="21"/>
      <c r="J1416" s="22" t="s">
        <v>494</v>
      </c>
      <c r="K1416" s="22" t="s">
        <v>924</v>
      </c>
      <c r="L1416" s="21"/>
      <c r="M1416" s="22" t="s">
        <v>2034</v>
      </c>
      <c r="N1416" s="28" t="s">
        <v>2015</v>
      </c>
      <c r="O1416" s="28" t="s">
        <v>2016</v>
      </c>
      <c r="P1416" s="29">
        <v>101</v>
      </c>
      <c r="Q1416" s="28" t="s">
        <v>2017</v>
      </c>
      <c r="R1416" s="21"/>
      <c r="S1416" s="21"/>
      <c r="T1416" s="21"/>
      <c r="U1416" s="21"/>
      <c r="V1416" s="21"/>
      <c r="W1416" s="21"/>
      <c r="X1416" s="21"/>
    </row>
    <row r="1417" spans="1:24" ht="15.75" thickBot="1" x14ac:dyDescent="0.3">
      <c r="A1417" t="str">
        <f t="shared" si="22"/>
        <v>DET21613E42A</v>
      </c>
      <c r="B1417" s="22" t="s">
        <v>6364</v>
      </c>
      <c r="C1417" s="22" t="s">
        <v>5575</v>
      </c>
      <c r="D1417" s="22" t="s">
        <v>1362</v>
      </c>
      <c r="E1417" s="22" t="s">
        <v>6365</v>
      </c>
      <c r="F1417" s="22" t="s">
        <v>6366</v>
      </c>
      <c r="G1417" s="28" t="s">
        <v>2012</v>
      </c>
      <c r="H1417" s="22" t="s">
        <v>2080</v>
      </c>
      <c r="I1417" s="21"/>
      <c r="J1417" s="22" t="s">
        <v>494</v>
      </c>
      <c r="K1417" s="22" t="s">
        <v>924</v>
      </c>
      <c r="L1417" s="21"/>
      <c r="M1417" s="22" t="s">
        <v>2034</v>
      </c>
      <c r="N1417" s="28" t="s">
        <v>2015</v>
      </c>
      <c r="O1417" s="28" t="s">
        <v>2016</v>
      </c>
      <c r="P1417" s="29">
        <v>98</v>
      </c>
      <c r="Q1417" s="28" t="s">
        <v>2017</v>
      </c>
      <c r="R1417" s="21"/>
      <c r="S1417" s="21"/>
      <c r="T1417" s="21"/>
      <c r="U1417" s="21"/>
      <c r="V1417" s="21"/>
      <c r="W1417" s="21"/>
      <c r="X1417" s="21"/>
    </row>
    <row r="1418" spans="1:24" ht="15.75" thickBot="1" x14ac:dyDescent="0.3">
      <c r="A1418" t="str">
        <f t="shared" si="22"/>
        <v>DET21613G04A</v>
      </c>
      <c r="B1418" s="22" t="s">
        <v>6367</v>
      </c>
      <c r="C1418" s="22" t="s">
        <v>6368</v>
      </c>
      <c r="D1418" s="22" t="s">
        <v>6369</v>
      </c>
      <c r="E1418" s="22" t="s">
        <v>6370</v>
      </c>
      <c r="F1418" s="22" t="s">
        <v>6371</v>
      </c>
      <c r="G1418" s="28" t="s">
        <v>2012</v>
      </c>
      <c r="H1418" s="22" t="s">
        <v>2080</v>
      </c>
      <c r="I1418" s="21"/>
      <c r="J1418" s="22" t="s">
        <v>494</v>
      </c>
      <c r="K1418" s="22" t="s">
        <v>924</v>
      </c>
      <c r="L1418" s="21"/>
      <c r="M1418" s="22" t="s">
        <v>2034</v>
      </c>
      <c r="N1418" s="28" t="s">
        <v>2015</v>
      </c>
      <c r="O1418" s="28" t="s">
        <v>2016</v>
      </c>
      <c r="P1418" s="29">
        <v>863</v>
      </c>
      <c r="Q1418" s="28" t="s">
        <v>2017</v>
      </c>
      <c r="R1418" s="21"/>
      <c r="S1418" s="21"/>
      <c r="T1418" s="21"/>
      <c r="U1418" s="21"/>
      <c r="V1418" s="21"/>
      <c r="W1418" s="21"/>
      <c r="X1418" s="21"/>
    </row>
    <row r="1419" spans="1:24" ht="15.75" thickBot="1" x14ac:dyDescent="0.3">
      <c r="A1419" t="str">
        <f t="shared" si="22"/>
        <v>DET2163914A</v>
      </c>
      <c r="B1419" s="22" t="s">
        <v>6372</v>
      </c>
      <c r="C1419" s="22" t="s">
        <v>5575</v>
      </c>
      <c r="D1419" s="22" t="s">
        <v>6373</v>
      </c>
      <c r="E1419" s="22" t="s">
        <v>6374</v>
      </c>
      <c r="F1419" s="22" t="s">
        <v>6375</v>
      </c>
      <c r="G1419" s="28" t="s">
        <v>2012</v>
      </c>
      <c r="H1419" s="22" t="s">
        <v>2080</v>
      </c>
      <c r="I1419" s="21"/>
      <c r="J1419" s="22" t="s">
        <v>494</v>
      </c>
      <c r="K1419" s="22" t="s">
        <v>924</v>
      </c>
      <c r="L1419" s="21"/>
      <c r="M1419" s="22" t="s">
        <v>2034</v>
      </c>
      <c r="N1419" s="28" t="s">
        <v>2015</v>
      </c>
      <c r="O1419" s="28" t="s">
        <v>2016</v>
      </c>
      <c r="P1419" s="29">
        <v>419</v>
      </c>
      <c r="Q1419" s="28" t="s">
        <v>2017</v>
      </c>
      <c r="R1419" s="21"/>
      <c r="S1419" s="21"/>
      <c r="T1419" s="21"/>
      <c r="U1419" s="21"/>
      <c r="V1419" s="21"/>
      <c r="W1419" s="21"/>
      <c r="X1419" s="21"/>
    </row>
    <row r="1420" spans="1:24" ht="15.75" thickBot="1" x14ac:dyDescent="0.3">
      <c r="A1420" t="str">
        <f t="shared" si="22"/>
        <v>DET25100A42A</v>
      </c>
      <c r="B1420" s="22" t="s">
        <v>6376</v>
      </c>
      <c r="C1420" s="22" t="s">
        <v>4160</v>
      </c>
      <c r="D1420" s="22" t="s">
        <v>6377</v>
      </c>
      <c r="E1420" s="22" t="s">
        <v>4160</v>
      </c>
      <c r="F1420" s="22" t="s">
        <v>6378</v>
      </c>
      <c r="G1420" s="28" t="s">
        <v>2012</v>
      </c>
      <c r="H1420" s="22" t="s">
        <v>2055</v>
      </c>
      <c r="I1420" s="21"/>
      <c r="J1420" s="22" t="s">
        <v>494</v>
      </c>
      <c r="K1420" s="22" t="s">
        <v>924</v>
      </c>
      <c r="L1420" s="21"/>
      <c r="M1420" s="22" t="s">
        <v>2034</v>
      </c>
      <c r="N1420" s="28" t="s">
        <v>2015</v>
      </c>
      <c r="O1420" s="28" t="s">
        <v>2016</v>
      </c>
      <c r="P1420" s="29">
        <v>524</v>
      </c>
      <c r="Q1420" s="28" t="s">
        <v>2017</v>
      </c>
      <c r="R1420" s="21"/>
      <c r="S1420" s="21"/>
      <c r="T1420" s="21"/>
      <c r="U1420" s="21"/>
      <c r="V1420" s="21"/>
      <c r="W1420" s="21"/>
      <c r="X1420" s="21"/>
    </row>
    <row r="1421" spans="1:24" ht="15.75" thickBot="1" x14ac:dyDescent="0.3">
      <c r="A1421" t="str">
        <f t="shared" si="22"/>
        <v>DET25111A58A</v>
      </c>
      <c r="B1421" s="22" t="s">
        <v>6379</v>
      </c>
      <c r="C1421" s="22" t="s">
        <v>6282</v>
      </c>
      <c r="D1421" s="22" t="s">
        <v>6380</v>
      </c>
      <c r="E1421" s="22" t="s">
        <v>6381</v>
      </c>
      <c r="F1421" s="22" t="s">
        <v>6382</v>
      </c>
      <c r="G1421" s="28" t="s">
        <v>2012</v>
      </c>
      <c r="H1421" s="22" t="s">
        <v>2080</v>
      </c>
      <c r="I1421" s="21"/>
      <c r="J1421" s="22" t="s">
        <v>494</v>
      </c>
      <c r="K1421" s="22" t="s">
        <v>924</v>
      </c>
      <c r="L1421" s="21"/>
      <c r="M1421" s="22" t="s">
        <v>2034</v>
      </c>
      <c r="N1421" s="28" t="s">
        <v>2015</v>
      </c>
      <c r="O1421" s="28" t="s">
        <v>2016</v>
      </c>
      <c r="P1421" s="29">
        <v>37</v>
      </c>
      <c r="Q1421" s="28" t="s">
        <v>2017</v>
      </c>
      <c r="R1421" s="21"/>
      <c r="S1421" s="21"/>
      <c r="T1421" s="21"/>
      <c r="U1421" s="21"/>
      <c r="V1421" s="21"/>
      <c r="W1421" s="21"/>
      <c r="X1421" s="21"/>
    </row>
    <row r="1422" spans="1:24" ht="15.75" thickBot="1" x14ac:dyDescent="0.3">
      <c r="A1422" t="str">
        <f t="shared" si="22"/>
        <v>DET25111A59A</v>
      </c>
      <c r="B1422" s="22" t="s">
        <v>6383</v>
      </c>
      <c r="C1422" s="22" t="s">
        <v>6384</v>
      </c>
      <c r="D1422" s="22" t="s">
        <v>6380</v>
      </c>
      <c r="E1422" s="22" t="s">
        <v>6385</v>
      </c>
      <c r="F1422" s="22" t="s">
        <v>6386</v>
      </c>
      <c r="G1422" s="28" t="s">
        <v>2012</v>
      </c>
      <c r="H1422" s="22" t="s">
        <v>2080</v>
      </c>
      <c r="I1422" s="21"/>
      <c r="J1422" s="22" t="s">
        <v>494</v>
      </c>
      <c r="K1422" s="22" t="s">
        <v>924</v>
      </c>
      <c r="L1422" s="21"/>
      <c r="M1422" s="22" t="s">
        <v>2034</v>
      </c>
      <c r="N1422" s="28" t="s">
        <v>2015</v>
      </c>
      <c r="O1422" s="28" t="s">
        <v>2016</v>
      </c>
      <c r="P1422" s="29">
        <v>697</v>
      </c>
      <c r="Q1422" s="28" t="s">
        <v>2017</v>
      </c>
      <c r="R1422" s="21"/>
      <c r="S1422" s="21"/>
      <c r="T1422" s="21"/>
      <c r="U1422" s="21"/>
      <c r="V1422" s="21"/>
      <c r="W1422" s="21"/>
      <c r="X1422" s="21"/>
    </row>
    <row r="1423" spans="1:24" ht="15.75" thickBot="1" x14ac:dyDescent="0.3">
      <c r="A1423" t="str">
        <f t="shared" si="22"/>
        <v>DET2600375A</v>
      </c>
      <c r="B1423" s="22" t="s">
        <v>6387</v>
      </c>
      <c r="C1423" s="22" t="s">
        <v>6388</v>
      </c>
      <c r="D1423" s="22" t="s">
        <v>6040</v>
      </c>
      <c r="E1423" s="22" t="s">
        <v>6389</v>
      </c>
      <c r="F1423" s="22" t="s">
        <v>6390</v>
      </c>
      <c r="G1423" s="28" t="s">
        <v>2012</v>
      </c>
      <c r="H1423" s="22" t="s">
        <v>2080</v>
      </c>
      <c r="I1423" s="21"/>
      <c r="J1423" s="22" t="s">
        <v>494</v>
      </c>
      <c r="K1423" s="22" t="s">
        <v>924</v>
      </c>
      <c r="L1423" s="21"/>
      <c r="M1423" s="22" t="s">
        <v>2034</v>
      </c>
      <c r="N1423" s="28" t="s">
        <v>2015</v>
      </c>
      <c r="O1423" s="28" t="s">
        <v>2016</v>
      </c>
      <c r="P1423" s="29">
        <v>398</v>
      </c>
      <c r="Q1423" s="28" t="s">
        <v>2017</v>
      </c>
      <c r="R1423" s="21"/>
      <c r="S1423" s="21"/>
      <c r="T1423" s="21"/>
      <c r="U1423" s="21"/>
      <c r="V1423" s="21"/>
      <c r="W1423" s="21"/>
      <c r="X1423" s="21"/>
    </row>
    <row r="1424" spans="1:24" ht="15.75" thickBot="1" x14ac:dyDescent="0.3">
      <c r="A1424" t="str">
        <f t="shared" si="22"/>
        <v>DET26403B48A</v>
      </c>
      <c r="B1424" s="22" t="s">
        <v>6391</v>
      </c>
      <c r="C1424" s="22" t="s">
        <v>2123</v>
      </c>
      <c r="D1424" s="22" t="s">
        <v>6296</v>
      </c>
      <c r="E1424" s="22" t="s">
        <v>5804</v>
      </c>
      <c r="F1424" s="22" t="s">
        <v>6392</v>
      </c>
      <c r="G1424" s="28" t="s">
        <v>2012</v>
      </c>
      <c r="H1424" s="22" t="s">
        <v>2080</v>
      </c>
      <c r="I1424" s="21"/>
      <c r="J1424" s="22" t="s">
        <v>494</v>
      </c>
      <c r="K1424" s="22" t="s">
        <v>924</v>
      </c>
      <c r="L1424" s="21"/>
      <c r="M1424" s="22" t="s">
        <v>2034</v>
      </c>
      <c r="N1424" s="28" t="s">
        <v>2015</v>
      </c>
      <c r="O1424" s="28" t="s">
        <v>2016</v>
      </c>
      <c r="P1424" s="29">
        <v>181</v>
      </c>
      <c r="Q1424" s="28" t="s">
        <v>2017</v>
      </c>
      <c r="R1424" s="21"/>
      <c r="S1424" s="21"/>
      <c r="T1424" s="21"/>
      <c r="U1424" s="21"/>
      <c r="V1424" s="21"/>
      <c r="W1424" s="21"/>
      <c r="X1424" s="21"/>
    </row>
    <row r="1425" spans="1:24" ht="15.75" thickBot="1" x14ac:dyDescent="0.3">
      <c r="A1425" t="str">
        <f t="shared" si="22"/>
        <v>DET26405K02A</v>
      </c>
      <c r="B1425" s="22" t="s">
        <v>6393</v>
      </c>
      <c r="C1425" s="22" t="s">
        <v>6394</v>
      </c>
      <c r="D1425" s="22" t="s">
        <v>6395</v>
      </c>
      <c r="E1425" s="22" t="s">
        <v>5718</v>
      </c>
      <c r="F1425" s="22" t="s">
        <v>6396</v>
      </c>
      <c r="G1425" s="28" t="s">
        <v>2012</v>
      </c>
      <c r="H1425" s="22" t="s">
        <v>2080</v>
      </c>
      <c r="I1425" s="21"/>
      <c r="J1425" s="22" t="s">
        <v>494</v>
      </c>
      <c r="K1425" s="22" t="s">
        <v>924</v>
      </c>
      <c r="L1425" s="21"/>
      <c r="M1425" s="22" t="s">
        <v>2034</v>
      </c>
      <c r="N1425" s="28" t="s">
        <v>2015</v>
      </c>
      <c r="O1425" s="28" t="s">
        <v>2016</v>
      </c>
      <c r="P1425" s="29">
        <v>665</v>
      </c>
      <c r="Q1425" s="28" t="s">
        <v>2017</v>
      </c>
      <c r="R1425" s="21"/>
      <c r="S1425" s="21"/>
      <c r="T1425" s="21"/>
      <c r="U1425" s="21"/>
      <c r="V1425" s="21"/>
      <c r="W1425" s="21"/>
      <c r="X1425" s="21"/>
    </row>
    <row r="1426" spans="1:24" ht="15.75" thickBot="1" x14ac:dyDescent="0.3">
      <c r="A1426" t="str">
        <f t="shared" si="22"/>
        <v>DET26513D21A</v>
      </c>
      <c r="B1426" s="22" t="s">
        <v>6397</v>
      </c>
      <c r="C1426" s="22" t="s">
        <v>6398</v>
      </c>
      <c r="D1426" s="22" t="s">
        <v>6399</v>
      </c>
      <c r="E1426" s="22" t="s">
        <v>6400</v>
      </c>
      <c r="F1426" s="22" t="s">
        <v>6401</v>
      </c>
      <c r="G1426" s="28" t="s">
        <v>2012</v>
      </c>
      <c r="H1426" s="22" t="s">
        <v>2080</v>
      </c>
      <c r="I1426" s="21"/>
      <c r="J1426" s="22" t="s">
        <v>494</v>
      </c>
      <c r="K1426" s="22" t="s">
        <v>924</v>
      </c>
      <c r="L1426" s="21"/>
      <c r="M1426" s="22" t="s">
        <v>2034</v>
      </c>
      <c r="N1426" s="28" t="s">
        <v>2015</v>
      </c>
      <c r="O1426" s="28" t="s">
        <v>2016</v>
      </c>
      <c r="P1426" s="29">
        <v>135</v>
      </c>
      <c r="Q1426" s="28" t="s">
        <v>2017</v>
      </c>
      <c r="R1426" s="21"/>
      <c r="S1426" s="21"/>
      <c r="T1426" s="21"/>
      <c r="U1426" s="21"/>
      <c r="V1426" s="21"/>
      <c r="W1426" s="21"/>
      <c r="X1426" s="21"/>
    </row>
    <row r="1427" spans="1:24" ht="15.75" thickBot="1" x14ac:dyDescent="0.3">
      <c r="A1427" t="str">
        <f t="shared" si="22"/>
        <v>DET3D072SB3COS</v>
      </c>
      <c r="B1427" s="22" t="s">
        <v>1441</v>
      </c>
      <c r="C1427" s="22" t="s">
        <v>2508</v>
      </c>
      <c r="D1427" s="22" t="s">
        <v>1440</v>
      </c>
      <c r="E1427" s="21"/>
      <c r="F1427" s="22" t="s">
        <v>2762</v>
      </c>
      <c r="G1427" s="28" t="s">
        <v>2012</v>
      </c>
      <c r="H1427" s="22" t="s">
        <v>2055</v>
      </c>
      <c r="I1427" s="21"/>
      <c r="J1427" s="22" t="s">
        <v>364</v>
      </c>
      <c r="K1427" s="22" t="s">
        <v>924</v>
      </c>
      <c r="L1427" s="21"/>
      <c r="M1427" s="22" t="s">
        <v>2034</v>
      </c>
      <c r="N1427" s="28" t="s">
        <v>2015</v>
      </c>
      <c r="O1427" s="28" t="s">
        <v>2016</v>
      </c>
      <c r="P1427" s="29">
        <v>90</v>
      </c>
      <c r="Q1427" s="28" t="s">
        <v>2017</v>
      </c>
      <c r="R1427" s="41">
        <v>0.217942301793</v>
      </c>
      <c r="S1427" s="29">
        <v>26547</v>
      </c>
      <c r="T1427" s="32">
        <v>412.95333333333298</v>
      </c>
      <c r="U1427" s="32">
        <v>0</v>
      </c>
      <c r="V1427" s="41">
        <v>0.217942301793</v>
      </c>
      <c r="W1427" s="21"/>
      <c r="X1427" s="21"/>
    </row>
    <row r="1428" spans="1:24" ht="15.75" thickBot="1" x14ac:dyDescent="0.3">
      <c r="A1428" t="str">
        <f t="shared" si="22"/>
        <v>DET5489A</v>
      </c>
      <c r="B1428" s="22" t="s">
        <v>6402</v>
      </c>
      <c r="C1428" s="22" t="s">
        <v>5763</v>
      </c>
      <c r="D1428" s="22" t="s">
        <v>6403</v>
      </c>
      <c r="E1428" s="22" t="s">
        <v>6404</v>
      </c>
      <c r="F1428" s="22" t="s">
        <v>6405</v>
      </c>
      <c r="G1428" s="28" t="s">
        <v>2012</v>
      </c>
      <c r="H1428" s="22" t="s">
        <v>2055</v>
      </c>
      <c r="I1428" s="21"/>
      <c r="J1428" s="22" t="s">
        <v>494</v>
      </c>
      <c r="K1428" s="22" t="s">
        <v>924</v>
      </c>
      <c r="L1428" s="21"/>
      <c r="M1428" s="22" t="s">
        <v>2034</v>
      </c>
      <c r="N1428" s="28" t="s">
        <v>2015</v>
      </c>
      <c r="O1428" s="28" t="s">
        <v>2016</v>
      </c>
      <c r="P1428" s="29">
        <v>1883</v>
      </c>
      <c r="Q1428" s="28" t="s">
        <v>2017</v>
      </c>
      <c r="R1428" s="21"/>
      <c r="S1428" s="21"/>
      <c r="T1428" s="21"/>
      <c r="U1428" s="21"/>
      <c r="V1428" s="21"/>
      <c r="W1428" s="21"/>
      <c r="X1428" s="21"/>
    </row>
    <row r="1429" spans="1:24" ht="15.75" thickBot="1" x14ac:dyDescent="0.3">
      <c r="A1429" t="str">
        <f t="shared" si="22"/>
        <v>DET5B018OS</v>
      </c>
      <c r="B1429" s="22" t="s">
        <v>6406</v>
      </c>
      <c r="C1429" s="21"/>
      <c r="D1429" s="22" t="s">
        <v>6407</v>
      </c>
      <c r="E1429" s="21"/>
      <c r="F1429" s="22" t="s">
        <v>6408</v>
      </c>
      <c r="G1429" s="28" t="s">
        <v>2012</v>
      </c>
      <c r="H1429" s="22" t="s">
        <v>2013</v>
      </c>
      <c r="I1429" s="21"/>
      <c r="J1429" s="22" t="s">
        <v>494</v>
      </c>
      <c r="K1429" s="22" t="s">
        <v>924</v>
      </c>
      <c r="L1429" s="21"/>
      <c r="M1429" s="22" t="s">
        <v>2034</v>
      </c>
      <c r="N1429" s="28" t="s">
        <v>2015</v>
      </c>
      <c r="O1429" s="28" t="s">
        <v>2016</v>
      </c>
      <c r="P1429" s="29">
        <v>793</v>
      </c>
      <c r="Q1429" s="28" t="s">
        <v>2017</v>
      </c>
      <c r="R1429" s="21"/>
      <c r="S1429" s="21"/>
      <c r="T1429" s="21"/>
      <c r="U1429" s="21"/>
      <c r="V1429" s="21"/>
      <c r="W1429" s="21"/>
      <c r="X1429" s="21"/>
    </row>
    <row r="1430" spans="1:24" ht="15.75" thickBot="1" x14ac:dyDescent="0.3">
      <c r="A1430" t="str">
        <f t="shared" si="22"/>
        <v>DET5R108OS</v>
      </c>
      <c r="B1430" s="22" t="s">
        <v>6409</v>
      </c>
      <c r="C1430" s="21"/>
      <c r="D1430" s="22" t="s">
        <v>5411</v>
      </c>
      <c r="E1430" s="21"/>
      <c r="F1430" s="22" t="s">
        <v>6410</v>
      </c>
      <c r="G1430" s="28" t="s">
        <v>2012</v>
      </c>
      <c r="H1430" s="22" t="s">
        <v>2751</v>
      </c>
      <c r="I1430" s="21"/>
      <c r="J1430" s="22" t="s">
        <v>494</v>
      </c>
      <c r="K1430" s="22" t="s">
        <v>924</v>
      </c>
      <c r="L1430" s="21"/>
      <c r="M1430" s="22" t="s">
        <v>2034</v>
      </c>
      <c r="N1430" s="28" t="s">
        <v>2015</v>
      </c>
      <c r="O1430" s="28" t="s">
        <v>2016</v>
      </c>
      <c r="P1430" s="29">
        <v>192</v>
      </c>
      <c r="Q1430" s="28" t="s">
        <v>2017</v>
      </c>
      <c r="R1430" s="21"/>
      <c r="S1430" s="21"/>
      <c r="T1430" s="21"/>
      <c r="U1430" s="21"/>
      <c r="V1430" s="21"/>
      <c r="W1430" s="21"/>
      <c r="X1430" s="21"/>
    </row>
    <row r="1431" spans="1:24" ht="15.75" thickBot="1" x14ac:dyDescent="0.3">
      <c r="A1431" t="str">
        <f t="shared" si="22"/>
        <v>DET68419688</v>
      </c>
      <c r="B1431" s="22" t="s">
        <v>6411</v>
      </c>
      <c r="C1431" s="21"/>
      <c r="D1431" s="22" t="s">
        <v>6412</v>
      </c>
      <c r="E1431" s="21"/>
      <c r="F1431" s="22" t="s">
        <v>6413</v>
      </c>
      <c r="G1431" s="28" t="s">
        <v>2012</v>
      </c>
      <c r="H1431" s="22" t="s">
        <v>2022</v>
      </c>
      <c r="I1431" s="21"/>
      <c r="J1431" s="22" t="s">
        <v>1117</v>
      </c>
      <c r="K1431" s="22" t="s">
        <v>924</v>
      </c>
      <c r="L1431" s="21"/>
      <c r="M1431" s="22" t="s">
        <v>2034</v>
      </c>
      <c r="N1431" s="28" t="s">
        <v>2015</v>
      </c>
      <c r="O1431" s="28" t="s">
        <v>2016</v>
      </c>
      <c r="P1431" s="29">
        <v>9859</v>
      </c>
      <c r="Q1431" s="28" t="s">
        <v>2017</v>
      </c>
      <c r="R1431" s="21"/>
      <c r="S1431" s="21"/>
      <c r="T1431" s="21"/>
      <c r="U1431" s="21"/>
      <c r="V1431" s="21"/>
      <c r="W1431" s="21"/>
      <c r="X1431" s="21"/>
    </row>
    <row r="1432" spans="1:24" ht="15.75" thickBot="1" x14ac:dyDescent="0.3">
      <c r="A1432" t="str">
        <f t="shared" si="22"/>
        <v>DET68432378</v>
      </c>
      <c r="B1432" s="22" t="s">
        <v>6414</v>
      </c>
      <c r="C1432" s="22" t="s">
        <v>6415</v>
      </c>
      <c r="D1432" s="22" t="s">
        <v>6416</v>
      </c>
      <c r="E1432" s="21"/>
      <c r="F1432" s="22" t="s">
        <v>6417</v>
      </c>
      <c r="G1432" s="28" t="s">
        <v>2012</v>
      </c>
      <c r="H1432" s="22" t="s">
        <v>2022</v>
      </c>
      <c r="I1432" s="21"/>
      <c r="J1432" s="22" t="s">
        <v>1117</v>
      </c>
      <c r="K1432" s="22" t="s">
        <v>924</v>
      </c>
      <c r="L1432" s="21"/>
      <c r="M1432" s="22" t="s">
        <v>2034</v>
      </c>
      <c r="N1432" s="28" t="s">
        <v>2015</v>
      </c>
      <c r="O1432" s="28" t="s">
        <v>2016</v>
      </c>
      <c r="P1432" s="29">
        <v>6753</v>
      </c>
      <c r="Q1432" s="28" t="s">
        <v>2017</v>
      </c>
      <c r="R1432" s="21"/>
      <c r="S1432" s="21"/>
      <c r="T1432" s="21"/>
      <c r="U1432" s="21"/>
      <c r="V1432" s="21"/>
      <c r="W1432" s="21"/>
      <c r="X1432" s="21"/>
    </row>
    <row r="1433" spans="1:24" ht="15.75" thickBot="1" x14ac:dyDescent="0.3">
      <c r="A1433" t="str">
        <f t="shared" si="22"/>
        <v>DET68432379</v>
      </c>
      <c r="B1433" s="22" t="s">
        <v>6418</v>
      </c>
      <c r="C1433" s="22" t="s">
        <v>6419</v>
      </c>
      <c r="D1433" s="22" t="s">
        <v>6420</v>
      </c>
      <c r="E1433" s="21"/>
      <c r="F1433" s="22" t="s">
        <v>6421</v>
      </c>
      <c r="G1433" s="28" t="s">
        <v>2012</v>
      </c>
      <c r="H1433" s="22" t="s">
        <v>2022</v>
      </c>
      <c r="I1433" s="21"/>
      <c r="J1433" s="22" t="s">
        <v>1117</v>
      </c>
      <c r="K1433" s="22" t="s">
        <v>924</v>
      </c>
      <c r="L1433" s="21"/>
      <c r="M1433" s="22" t="s">
        <v>2034</v>
      </c>
      <c r="N1433" s="28" t="s">
        <v>2015</v>
      </c>
      <c r="O1433" s="28" t="s">
        <v>2016</v>
      </c>
      <c r="P1433" s="29">
        <v>6653</v>
      </c>
      <c r="Q1433" s="28" t="s">
        <v>2017</v>
      </c>
      <c r="R1433" s="21"/>
      <c r="S1433" s="21"/>
      <c r="T1433" s="21"/>
      <c r="U1433" s="21"/>
      <c r="V1433" s="21"/>
      <c r="W1433" s="21"/>
      <c r="X1433" s="21"/>
    </row>
    <row r="1434" spans="1:24" ht="15.75" thickBot="1" x14ac:dyDescent="0.3">
      <c r="A1434" t="str">
        <f t="shared" si="22"/>
        <v>DET68592413</v>
      </c>
      <c r="B1434" s="22" t="s">
        <v>6422</v>
      </c>
      <c r="C1434" s="21"/>
      <c r="D1434" s="22" t="s">
        <v>6423</v>
      </c>
      <c r="E1434" s="21"/>
      <c r="F1434" s="22" t="s">
        <v>6424</v>
      </c>
      <c r="G1434" s="28" t="s">
        <v>2012</v>
      </c>
      <c r="H1434" s="22" t="s">
        <v>2022</v>
      </c>
      <c r="I1434" s="21"/>
      <c r="J1434" s="22" t="s">
        <v>1117</v>
      </c>
      <c r="K1434" s="22" t="s">
        <v>924</v>
      </c>
      <c r="L1434" s="21"/>
      <c r="M1434" s="22" t="s">
        <v>2034</v>
      </c>
      <c r="N1434" s="28" t="s">
        <v>2015</v>
      </c>
      <c r="O1434" s="28" t="s">
        <v>2016</v>
      </c>
      <c r="P1434" s="29">
        <v>12000</v>
      </c>
      <c r="Q1434" s="28" t="s">
        <v>2017</v>
      </c>
      <c r="R1434" s="21"/>
      <c r="S1434" s="21"/>
      <c r="T1434" s="21"/>
      <c r="U1434" s="21"/>
      <c r="V1434" s="21"/>
      <c r="W1434" s="21"/>
      <c r="X1434" s="21"/>
    </row>
    <row r="1435" spans="1:24" ht="15.75" thickBot="1" x14ac:dyDescent="0.3">
      <c r="A1435" t="str">
        <f t="shared" si="22"/>
        <v>DET68612898AB</v>
      </c>
      <c r="B1435" s="22" t="s">
        <v>6425</v>
      </c>
      <c r="C1435" s="22" t="s">
        <v>6426</v>
      </c>
      <c r="D1435" s="22" t="s">
        <v>3675</v>
      </c>
      <c r="E1435" s="21"/>
      <c r="F1435" s="22" t="s">
        <v>3676</v>
      </c>
      <c r="G1435" s="28" t="s">
        <v>2012</v>
      </c>
      <c r="H1435" s="22" t="s">
        <v>3677</v>
      </c>
      <c r="I1435" s="21"/>
      <c r="J1435" s="22" t="s">
        <v>1164</v>
      </c>
      <c r="K1435" s="22" t="s">
        <v>924</v>
      </c>
      <c r="L1435" s="21"/>
      <c r="M1435" s="22" t="s">
        <v>2034</v>
      </c>
      <c r="N1435" s="28" t="s">
        <v>2015</v>
      </c>
      <c r="O1435" s="28" t="s">
        <v>2016</v>
      </c>
      <c r="P1435" s="29">
        <v>0</v>
      </c>
      <c r="Q1435" s="28" t="s">
        <v>2017</v>
      </c>
      <c r="R1435" s="21"/>
      <c r="S1435" s="21"/>
      <c r="T1435" s="21"/>
      <c r="U1435" s="21"/>
      <c r="V1435" s="21"/>
      <c r="W1435" s="21"/>
      <c r="X1435" s="21"/>
    </row>
    <row r="1436" spans="1:24" ht="15.75" thickBot="1" x14ac:dyDescent="0.3">
      <c r="A1436" t="str">
        <f t="shared" si="22"/>
        <v>DET68612899AB</v>
      </c>
      <c r="B1436" s="22" t="s">
        <v>6427</v>
      </c>
      <c r="C1436" s="22" t="s">
        <v>6428</v>
      </c>
      <c r="D1436" s="22" t="s">
        <v>4019</v>
      </c>
      <c r="E1436" s="21"/>
      <c r="F1436" s="22" t="s">
        <v>4020</v>
      </c>
      <c r="G1436" s="28" t="s">
        <v>2012</v>
      </c>
      <c r="H1436" s="22" t="s">
        <v>3677</v>
      </c>
      <c r="I1436" s="21"/>
      <c r="J1436" s="22" t="s">
        <v>1164</v>
      </c>
      <c r="K1436" s="22" t="s">
        <v>924</v>
      </c>
      <c r="L1436" s="21"/>
      <c r="M1436" s="22" t="s">
        <v>2034</v>
      </c>
      <c r="N1436" s="28" t="s">
        <v>2015</v>
      </c>
      <c r="O1436" s="28" t="s">
        <v>2016</v>
      </c>
      <c r="P1436" s="29">
        <v>0</v>
      </c>
      <c r="Q1436" s="28" t="s">
        <v>2017</v>
      </c>
      <c r="R1436" s="21"/>
      <c r="S1436" s="21"/>
      <c r="T1436" s="21"/>
      <c r="U1436" s="21"/>
      <c r="V1436" s="21"/>
      <c r="W1436" s="21"/>
      <c r="X1436" s="21"/>
    </row>
    <row r="1437" spans="1:24" ht="15.75" thickBot="1" x14ac:dyDescent="0.3">
      <c r="A1437" t="str">
        <f t="shared" si="22"/>
        <v>DET68648250AA</v>
      </c>
      <c r="B1437" s="22" t="s">
        <v>1162</v>
      </c>
      <c r="C1437" s="22" t="s">
        <v>6429</v>
      </c>
      <c r="D1437" s="22" t="s">
        <v>6430</v>
      </c>
      <c r="E1437" s="21"/>
      <c r="F1437" s="22" t="s">
        <v>6431</v>
      </c>
      <c r="G1437" s="28" t="s">
        <v>2012</v>
      </c>
      <c r="H1437" s="22" t="s">
        <v>3677</v>
      </c>
      <c r="I1437" s="21"/>
      <c r="J1437" s="22" t="s">
        <v>1164</v>
      </c>
      <c r="K1437" s="22" t="s">
        <v>924</v>
      </c>
      <c r="L1437" s="21"/>
      <c r="M1437" s="22" t="s">
        <v>2034</v>
      </c>
      <c r="N1437" s="28" t="s">
        <v>2015</v>
      </c>
      <c r="O1437" s="28" t="s">
        <v>2016</v>
      </c>
      <c r="P1437" s="29">
        <v>88</v>
      </c>
      <c r="Q1437" s="28" t="s">
        <v>2017</v>
      </c>
      <c r="R1437" s="41">
        <v>0.56753038293900004</v>
      </c>
      <c r="S1437" s="29">
        <v>9968</v>
      </c>
      <c r="T1437" s="32">
        <v>155.057777777778</v>
      </c>
      <c r="U1437" s="32">
        <v>0</v>
      </c>
      <c r="V1437" s="41">
        <v>0.56753038293900004</v>
      </c>
      <c r="W1437" s="21"/>
      <c r="X1437" s="21"/>
    </row>
    <row r="1438" spans="1:24" ht="15.75" thickBot="1" x14ac:dyDescent="0.3">
      <c r="A1438" t="str">
        <f t="shared" si="22"/>
        <v>DET6X37PIA1AA</v>
      </c>
      <c r="B1438" s="22" t="s">
        <v>6432</v>
      </c>
      <c r="C1438" s="22" t="s">
        <v>6433</v>
      </c>
      <c r="D1438" s="22" t="s">
        <v>5004</v>
      </c>
      <c r="E1438" s="21"/>
      <c r="F1438" s="22" t="s">
        <v>5005</v>
      </c>
      <c r="G1438" s="28" t="s">
        <v>2012</v>
      </c>
      <c r="H1438" s="22" t="s">
        <v>5006</v>
      </c>
      <c r="I1438" s="21"/>
      <c r="J1438" s="22" t="s">
        <v>1164</v>
      </c>
      <c r="K1438" s="22" t="s">
        <v>924</v>
      </c>
      <c r="L1438" s="21"/>
      <c r="M1438" s="22" t="s">
        <v>2034</v>
      </c>
      <c r="N1438" s="28" t="s">
        <v>2015</v>
      </c>
      <c r="O1438" s="28" t="s">
        <v>2016</v>
      </c>
      <c r="P1438" s="29">
        <v>26272</v>
      </c>
      <c r="Q1438" s="28" t="s">
        <v>2017</v>
      </c>
      <c r="R1438" s="21"/>
      <c r="S1438" s="21"/>
      <c r="T1438" s="21"/>
      <c r="U1438" s="21"/>
      <c r="V1438" s="21"/>
      <c r="W1438" s="21"/>
      <c r="X1438" s="21"/>
    </row>
    <row r="1439" spans="1:24" ht="15.75" thickBot="1" x14ac:dyDescent="0.3">
      <c r="A1439" t="str">
        <f t="shared" si="22"/>
        <v>DET8186A</v>
      </c>
      <c r="B1439" s="22" t="s">
        <v>6434</v>
      </c>
      <c r="C1439" s="22" t="s">
        <v>5566</v>
      </c>
      <c r="D1439" s="22" t="s">
        <v>6435</v>
      </c>
      <c r="E1439" s="22" t="s">
        <v>6436</v>
      </c>
      <c r="F1439" s="22" t="s">
        <v>6437</v>
      </c>
      <c r="G1439" s="28" t="s">
        <v>2012</v>
      </c>
      <c r="H1439" s="22" t="s">
        <v>2055</v>
      </c>
      <c r="I1439" s="21"/>
      <c r="J1439" s="22" t="s">
        <v>494</v>
      </c>
      <c r="K1439" s="22" t="s">
        <v>924</v>
      </c>
      <c r="L1439" s="21"/>
      <c r="M1439" s="22" t="s">
        <v>2034</v>
      </c>
      <c r="N1439" s="28" t="s">
        <v>2015</v>
      </c>
      <c r="O1439" s="28" t="s">
        <v>2016</v>
      </c>
      <c r="P1439" s="29">
        <v>2482</v>
      </c>
      <c r="Q1439" s="28" t="s">
        <v>2017</v>
      </c>
      <c r="R1439" s="21"/>
      <c r="S1439" s="21"/>
      <c r="T1439" s="21"/>
      <c r="U1439" s="21"/>
      <c r="V1439" s="21"/>
      <c r="W1439" s="21"/>
      <c r="X1439" s="21"/>
    </row>
    <row r="1440" spans="1:24" ht="15.75" thickBot="1" x14ac:dyDescent="0.3">
      <c r="A1440" t="str">
        <f t="shared" si="22"/>
        <v>DET8187A</v>
      </c>
      <c r="B1440" s="22" t="s">
        <v>6438</v>
      </c>
      <c r="C1440" s="22" t="s">
        <v>5566</v>
      </c>
      <c r="D1440" s="22" t="s">
        <v>6439</v>
      </c>
      <c r="E1440" s="22" t="s">
        <v>6440</v>
      </c>
      <c r="F1440" s="22" t="s">
        <v>6441</v>
      </c>
      <c r="G1440" s="28" t="s">
        <v>2012</v>
      </c>
      <c r="H1440" s="22" t="s">
        <v>2055</v>
      </c>
      <c r="I1440" s="21"/>
      <c r="J1440" s="22" t="s">
        <v>494</v>
      </c>
      <c r="K1440" s="22" t="s">
        <v>924</v>
      </c>
      <c r="L1440" s="21"/>
      <c r="M1440" s="22" t="s">
        <v>2034</v>
      </c>
      <c r="N1440" s="28" t="s">
        <v>2015</v>
      </c>
      <c r="O1440" s="28" t="s">
        <v>2016</v>
      </c>
      <c r="P1440" s="29">
        <v>3245</v>
      </c>
      <c r="Q1440" s="28" t="s">
        <v>2017</v>
      </c>
      <c r="R1440" s="21"/>
      <c r="S1440" s="21"/>
      <c r="T1440" s="21"/>
      <c r="U1440" s="21"/>
      <c r="V1440" s="21"/>
      <c r="W1440" s="21"/>
      <c r="X1440" s="21"/>
    </row>
    <row r="1441" spans="1:24" ht="15.75" thickBot="1" x14ac:dyDescent="0.3">
      <c r="A1441" t="str">
        <f t="shared" si="22"/>
        <v>DET85775609</v>
      </c>
      <c r="B1441" s="22" t="s">
        <v>6442</v>
      </c>
      <c r="C1441" s="22" t="s">
        <v>6443</v>
      </c>
      <c r="D1441" s="22" t="s">
        <v>6444</v>
      </c>
      <c r="E1441" s="21"/>
      <c r="F1441" s="22" t="s">
        <v>6445</v>
      </c>
      <c r="G1441" s="28" t="s">
        <v>2012</v>
      </c>
      <c r="H1441" s="22" t="s">
        <v>6446</v>
      </c>
      <c r="I1441" s="21"/>
      <c r="J1441" s="22" t="s">
        <v>404</v>
      </c>
      <c r="K1441" s="22" t="s">
        <v>924</v>
      </c>
      <c r="L1441" s="21"/>
      <c r="M1441" s="22" t="s">
        <v>2034</v>
      </c>
      <c r="N1441" s="28" t="s">
        <v>2015</v>
      </c>
      <c r="O1441" s="28" t="s">
        <v>2016</v>
      </c>
      <c r="P1441" s="29">
        <v>105</v>
      </c>
      <c r="Q1441" s="28" t="s">
        <v>2017</v>
      </c>
      <c r="R1441" s="21"/>
      <c r="S1441" s="21"/>
      <c r="T1441" s="21"/>
      <c r="U1441" s="21"/>
      <c r="V1441" s="21"/>
      <c r="W1441" s="21"/>
      <c r="X1441" s="21"/>
    </row>
    <row r="1442" spans="1:24" ht="15.75" thickBot="1" x14ac:dyDescent="0.3">
      <c r="A1442" t="str">
        <f t="shared" si="22"/>
        <v>DET85775610</v>
      </c>
      <c r="B1442" s="22" t="s">
        <v>6447</v>
      </c>
      <c r="C1442" s="22" t="s">
        <v>6448</v>
      </c>
      <c r="D1442" s="22" t="s">
        <v>6449</v>
      </c>
      <c r="E1442" s="21"/>
      <c r="F1442" s="22" t="s">
        <v>6445</v>
      </c>
      <c r="G1442" s="28" t="s">
        <v>2012</v>
      </c>
      <c r="H1442" s="22" t="s">
        <v>6446</v>
      </c>
      <c r="I1442" s="21"/>
      <c r="J1442" s="22" t="s">
        <v>404</v>
      </c>
      <c r="K1442" s="22" t="s">
        <v>924</v>
      </c>
      <c r="L1442" s="21"/>
      <c r="M1442" s="22" t="s">
        <v>2034</v>
      </c>
      <c r="N1442" s="28" t="s">
        <v>2015</v>
      </c>
      <c r="O1442" s="28" t="s">
        <v>2016</v>
      </c>
      <c r="P1442" s="29">
        <v>50</v>
      </c>
      <c r="Q1442" s="28" t="s">
        <v>2017</v>
      </c>
      <c r="R1442" s="21"/>
      <c r="S1442" s="21"/>
      <c r="T1442" s="21"/>
      <c r="U1442" s="21"/>
      <c r="V1442" s="21"/>
      <c r="W1442" s="21"/>
      <c r="X1442" s="21"/>
    </row>
    <row r="1443" spans="1:24" ht="15.75" thickBot="1" x14ac:dyDescent="0.3">
      <c r="A1443" t="str">
        <f t="shared" si="22"/>
        <v>DET8B054A</v>
      </c>
      <c r="B1443" s="22" t="s">
        <v>6450</v>
      </c>
      <c r="C1443" s="22" t="s">
        <v>5580</v>
      </c>
      <c r="D1443" s="22" t="s">
        <v>6451</v>
      </c>
      <c r="E1443" s="22" t="s">
        <v>6452</v>
      </c>
      <c r="F1443" s="22" t="s">
        <v>6453</v>
      </c>
      <c r="G1443" s="28" t="s">
        <v>2012</v>
      </c>
      <c r="H1443" s="22" t="s">
        <v>2055</v>
      </c>
      <c r="I1443" s="21"/>
      <c r="J1443" s="22" t="s">
        <v>494</v>
      </c>
      <c r="K1443" s="22" t="s">
        <v>924</v>
      </c>
      <c r="L1443" s="21"/>
      <c r="M1443" s="22" t="s">
        <v>2034</v>
      </c>
      <c r="N1443" s="28" t="s">
        <v>2015</v>
      </c>
      <c r="O1443" s="28" t="s">
        <v>2016</v>
      </c>
      <c r="P1443" s="29">
        <v>509</v>
      </c>
      <c r="Q1443" s="28" t="s">
        <v>2017</v>
      </c>
      <c r="R1443" s="21"/>
      <c r="S1443" s="21"/>
      <c r="T1443" s="21"/>
      <c r="U1443" s="21"/>
      <c r="V1443" s="21"/>
      <c r="W1443" s="21"/>
      <c r="X1443" s="21"/>
    </row>
    <row r="1444" spans="1:24" ht="15.75" thickBot="1" x14ac:dyDescent="0.3">
      <c r="A1444" t="str">
        <f t="shared" si="22"/>
        <v>DET8B055A</v>
      </c>
      <c r="B1444" s="22" t="s">
        <v>6454</v>
      </c>
      <c r="C1444" s="22" t="s">
        <v>5763</v>
      </c>
      <c r="D1444" s="22" t="s">
        <v>6455</v>
      </c>
      <c r="E1444" s="22" t="s">
        <v>6456</v>
      </c>
      <c r="F1444" s="22" t="s">
        <v>6457</v>
      </c>
      <c r="G1444" s="28" t="s">
        <v>2012</v>
      </c>
      <c r="H1444" s="22" t="s">
        <v>2055</v>
      </c>
      <c r="I1444" s="21"/>
      <c r="J1444" s="22" t="s">
        <v>494</v>
      </c>
      <c r="K1444" s="22" t="s">
        <v>924</v>
      </c>
      <c r="L1444" s="21"/>
      <c r="M1444" s="22" t="s">
        <v>2034</v>
      </c>
      <c r="N1444" s="28" t="s">
        <v>2015</v>
      </c>
      <c r="O1444" s="28" t="s">
        <v>2016</v>
      </c>
      <c r="P1444" s="29">
        <v>378</v>
      </c>
      <c r="Q1444" s="28" t="s">
        <v>2017</v>
      </c>
      <c r="R1444" s="21"/>
      <c r="S1444" s="21"/>
      <c r="T1444" s="21"/>
      <c r="U1444" s="21"/>
      <c r="V1444" s="21"/>
      <c r="W1444" s="21"/>
      <c r="X1444" s="21"/>
    </row>
    <row r="1445" spans="1:24" ht="15.75" thickBot="1" x14ac:dyDescent="0.3">
      <c r="A1445" t="str">
        <f t="shared" si="22"/>
        <v>DET8B222A</v>
      </c>
      <c r="B1445" s="22" t="s">
        <v>6458</v>
      </c>
      <c r="C1445" s="22" t="s">
        <v>5566</v>
      </c>
      <c r="D1445" s="22" t="s">
        <v>6459</v>
      </c>
      <c r="E1445" s="22" t="s">
        <v>6460</v>
      </c>
      <c r="F1445" s="22" t="s">
        <v>6461</v>
      </c>
      <c r="G1445" s="28" t="s">
        <v>2012</v>
      </c>
      <c r="H1445" s="22" t="s">
        <v>2055</v>
      </c>
      <c r="I1445" s="21"/>
      <c r="J1445" s="22" t="s">
        <v>494</v>
      </c>
      <c r="K1445" s="22" t="s">
        <v>924</v>
      </c>
      <c r="L1445" s="21"/>
      <c r="M1445" s="22" t="s">
        <v>2034</v>
      </c>
      <c r="N1445" s="28" t="s">
        <v>2015</v>
      </c>
      <c r="O1445" s="28" t="s">
        <v>2016</v>
      </c>
      <c r="P1445" s="29">
        <v>603</v>
      </c>
      <c r="Q1445" s="28" t="s">
        <v>2017</v>
      </c>
      <c r="R1445" s="21"/>
      <c r="S1445" s="21"/>
      <c r="T1445" s="21"/>
      <c r="U1445" s="21"/>
      <c r="V1445" s="21"/>
      <c r="W1445" s="21"/>
      <c r="X1445" s="21"/>
    </row>
    <row r="1446" spans="1:24" ht="15.75" thickBot="1" x14ac:dyDescent="0.3">
      <c r="A1446" t="str">
        <f t="shared" si="22"/>
        <v>DET8B236A</v>
      </c>
      <c r="B1446" s="22" t="s">
        <v>6462</v>
      </c>
      <c r="C1446" s="22" t="s">
        <v>5580</v>
      </c>
      <c r="D1446" s="22" t="s">
        <v>6463</v>
      </c>
      <c r="E1446" s="22" t="s">
        <v>6464</v>
      </c>
      <c r="F1446" s="22" t="s">
        <v>6465</v>
      </c>
      <c r="G1446" s="28" t="s">
        <v>2012</v>
      </c>
      <c r="H1446" s="22" t="s">
        <v>2055</v>
      </c>
      <c r="I1446" s="21"/>
      <c r="J1446" s="22" t="s">
        <v>494</v>
      </c>
      <c r="K1446" s="22" t="s">
        <v>924</v>
      </c>
      <c r="L1446" s="21"/>
      <c r="M1446" s="22" t="s">
        <v>2034</v>
      </c>
      <c r="N1446" s="28" t="s">
        <v>2015</v>
      </c>
      <c r="O1446" s="28" t="s">
        <v>2016</v>
      </c>
      <c r="P1446" s="29">
        <v>361</v>
      </c>
      <c r="Q1446" s="28" t="s">
        <v>2017</v>
      </c>
      <c r="R1446" s="21"/>
      <c r="S1446" s="21"/>
      <c r="T1446" s="21"/>
      <c r="U1446" s="21"/>
      <c r="V1446" s="21"/>
      <c r="W1446" s="21"/>
      <c r="X1446" s="21"/>
    </row>
    <row r="1447" spans="1:24" ht="15.75" thickBot="1" x14ac:dyDescent="0.3">
      <c r="A1447" t="str">
        <f t="shared" si="22"/>
        <v>DET8B237A</v>
      </c>
      <c r="B1447" s="22" t="s">
        <v>6466</v>
      </c>
      <c r="C1447" s="22" t="s">
        <v>5763</v>
      </c>
      <c r="D1447" s="22" t="s">
        <v>6463</v>
      </c>
      <c r="E1447" s="22" t="s">
        <v>6467</v>
      </c>
      <c r="F1447" s="22" t="s">
        <v>6468</v>
      </c>
      <c r="G1447" s="28" t="s">
        <v>2012</v>
      </c>
      <c r="H1447" s="22" t="s">
        <v>2055</v>
      </c>
      <c r="I1447" s="21"/>
      <c r="J1447" s="22" t="s">
        <v>494</v>
      </c>
      <c r="K1447" s="22" t="s">
        <v>924</v>
      </c>
      <c r="L1447" s="21"/>
      <c r="M1447" s="22" t="s">
        <v>2034</v>
      </c>
      <c r="N1447" s="28" t="s">
        <v>2015</v>
      </c>
      <c r="O1447" s="28" t="s">
        <v>2016</v>
      </c>
      <c r="P1447" s="29">
        <v>507</v>
      </c>
      <c r="Q1447" s="28" t="s">
        <v>2017</v>
      </c>
      <c r="R1447" s="21"/>
      <c r="S1447" s="21"/>
      <c r="T1447" s="21"/>
      <c r="U1447" s="21"/>
      <c r="V1447" s="21"/>
      <c r="W1447" s="21"/>
      <c r="X1447" s="21"/>
    </row>
    <row r="1448" spans="1:24" ht="15.75" thickBot="1" x14ac:dyDescent="0.3">
      <c r="A1448" t="str">
        <f t="shared" si="22"/>
        <v>DET8B410A</v>
      </c>
      <c r="B1448" s="22" t="s">
        <v>6469</v>
      </c>
      <c r="C1448" s="22" t="s">
        <v>5566</v>
      </c>
      <c r="D1448" s="22" t="s">
        <v>6470</v>
      </c>
      <c r="E1448" s="22" t="s">
        <v>5816</v>
      </c>
      <c r="F1448" s="22" t="s">
        <v>6471</v>
      </c>
      <c r="G1448" s="28" t="s">
        <v>2012</v>
      </c>
      <c r="H1448" s="22" t="s">
        <v>2055</v>
      </c>
      <c r="I1448" s="21"/>
      <c r="J1448" s="22" t="s">
        <v>494</v>
      </c>
      <c r="K1448" s="22" t="s">
        <v>924</v>
      </c>
      <c r="L1448" s="21"/>
      <c r="M1448" s="22" t="s">
        <v>2034</v>
      </c>
      <c r="N1448" s="28" t="s">
        <v>2015</v>
      </c>
      <c r="O1448" s="28" t="s">
        <v>2016</v>
      </c>
      <c r="P1448" s="29">
        <v>852</v>
      </c>
      <c r="Q1448" s="28" t="s">
        <v>2017</v>
      </c>
      <c r="R1448" s="21"/>
      <c r="S1448" s="21"/>
      <c r="T1448" s="21"/>
      <c r="U1448" s="21"/>
      <c r="V1448" s="21"/>
      <c r="W1448" s="21"/>
      <c r="X1448" s="21"/>
    </row>
    <row r="1449" spans="1:24" ht="15.75" thickBot="1" x14ac:dyDescent="0.3">
      <c r="A1449" t="str">
        <f t="shared" si="22"/>
        <v>DET8B411A</v>
      </c>
      <c r="B1449" s="22" t="s">
        <v>6472</v>
      </c>
      <c r="C1449" s="22" t="s">
        <v>5566</v>
      </c>
      <c r="D1449" s="22" t="s">
        <v>6473</v>
      </c>
      <c r="E1449" s="22" t="s">
        <v>5568</v>
      </c>
      <c r="F1449" s="22" t="s">
        <v>6474</v>
      </c>
      <c r="G1449" s="28" t="s">
        <v>2012</v>
      </c>
      <c r="H1449" s="22" t="s">
        <v>2055</v>
      </c>
      <c r="I1449" s="21"/>
      <c r="J1449" s="22" t="s">
        <v>494</v>
      </c>
      <c r="K1449" s="22" t="s">
        <v>924</v>
      </c>
      <c r="L1449" s="21"/>
      <c r="M1449" s="22" t="s">
        <v>2034</v>
      </c>
      <c r="N1449" s="28" t="s">
        <v>2015</v>
      </c>
      <c r="O1449" s="28" t="s">
        <v>2016</v>
      </c>
      <c r="P1449" s="29">
        <v>2320</v>
      </c>
      <c r="Q1449" s="28" t="s">
        <v>2017</v>
      </c>
      <c r="R1449" s="21"/>
      <c r="S1449" s="21"/>
      <c r="T1449" s="21"/>
      <c r="U1449" s="21"/>
      <c r="V1449" s="21"/>
      <c r="W1449" s="21"/>
      <c r="X1449" s="21"/>
    </row>
    <row r="1450" spans="1:24" ht="15.75" thickBot="1" x14ac:dyDescent="0.3">
      <c r="A1450" t="str">
        <f t="shared" si="22"/>
        <v>DET8B412A</v>
      </c>
      <c r="B1450" s="22" t="s">
        <v>6475</v>
      </c>
      <c r="C1450" s="22" t="s">
        <v>5566</v>
      </c>
      <c r="D1450" s="22" t="s">
        <v>6476</v>
      </c>
      <c r="E1450" s="22" t="s">
        <v>6477</v>
      </c>
      <c r="F1450" s="22" t="s">
        <v>6478</v>
      </c>
      <c r="G1450" s="28" t="s">
        <v>2012</v>
      </c>
      <c r="H1450" s="22" t="s">
        <v>2055</v>
      </c>
      <c r="I1450" s="21"/>
      <c r="J1450" s="22" t="s">
        <v>494</v>
      </c>
      <c r="K1450" s="22" t="s">
        <v>924</v>
      </c>
      <c r="L1450" s="21"/>
      <c r="M1450" s="22" t="s">
        <v>2034</v>
      </c>
      <c r="N1450" s="28" t="s">
        <v>2015</v>
      </c>
      <c r="O1450" s="28" t="s">
        <v>2016</v>
      </c>
      <c r="P1450" s="29">
        <v>506</v>
      </c>
      <c r="Q1450" s="28" t="s">
        <v>2017</v>
      </c>
      <c r="R1450" s="21"/>
      <c r="S1450" s="21"/>
      <c r="T1450" s="21"/>
      <c r="U1450" s="21"/>
      <c r="V1450" s="21"/>
      <c r="W1450" s="21"/>
      <c r="X1450" s="21"/>
    </row>
    <row r="1451" spans="1:24" ht="15.75" thickBot="1" x14ac:dyDescent="0.3">
      <c r="A1451" t="str">
        <f t="shared" si="22"/>
        <v>DET8B413A</v>
      </c>
      <c r="B1451" s="22" t="s">
        <v>6479</v>
      </c>
      <c r="C1451" s="22" t="s">
        <v>5566</v>
      </c>
      <c r="D1451" s="22" t="s">
        <v>6480</v>
      </c>
      <c r="E1451" s="22" t="s">
        <v>6481</v>
      </c>
      <c r="F1451" s="22" t="s">
        <v>6482</v>
      </c>
      <c r="G1451" s="28" t="s">
        <v>2012</v>
      </c>
      <c r="H1451" s="22" t="s">
        <v>2055</v>
      </c>
      <c r="I1451" s="21"/>
      <c r="J1451" s="22" t="s">
        <v>494</v>
      </c>
      <c r="K1451" s="22" t="s">
        <v>924</v>
      </c>
      <c r="L1451" s="21"/>
      <c r="M1451" s="22" t="s">
        <v>2034</v>
      </c>
      <c r="N1451" s="28" t="s">
        <v>2015</v>
      </c>
      <c r="O1451" s="28" t="s">
        <v>2016</v>
      </c>
      <c r="P1451" s="29">
        <v>441</v>
      </c>
      <c r="Q1451" s="28" t="s">
        <v>2017</v>
      </c>
      <c r="R1451" s="21"/>
      <c r="S1451" s="21"/>
      <c r="T1451" s="21"/>
      <c r="U1451" s="21"/>
      <c r="V1451" s="21"/>
      <c r="W1451" s="21"/>
      <c r="X1451" s="21"/>
    </row>
    <row r="1452" spans="1:24" ht="15.75" thickBot="1" x14ac:dyDescent="0.3">
      <c r="A1452" t="str">
        <f t="shared" si="22"/>
        <v>DET8C034A</v>
      </c>
      <c r="B1452" s="22" t="s">
        <v>6483</v>
      </c>
      <c r="C1452" s="22" t="s">
        <v>5566</v>
      </c>
      <c r="D1452" s="22" t="s">
        <v>6484</v>
      </c>
      <c r="E1452" s="22" t="s">
        <v>6485</v>
      </c>
      <c r="F1452" s="22" t="s">
        <v>6486</v>
      </c>
      <c r="G1452" s="28" t="s">
        <v>2012</v>
      </c>
      <c r="H1452" s="22" t="s">
        <v>2055</v>
      </c>
      <c r="I1452" s="21"/>
      <c r="J1452" s="22" t="s">
        <v>494</v>
      </c>
      <c r="K1452" s="22" t="s">
        <v>924</v>
      </c>
      <c r="L1452" s="21"/>
      <c r="M1452" s="22" t="s">
        <v>2034</v>
      </c>
      <c r="N1452" s="28" t="s">
        <v>2015</v>
      </c>
      <c r="O1452" s="28" t="s">
        <v>2016</v>
      </c>
      <c r="P1452" s="29">
        <v>389</v>
      </c>
      <c r="Q1452" s="28" t="s">
        <v>2017</v>
      </c>
      <c r="R1452" s="21"/>
      <c r="S1452" s="21"/>
      <c r="T1452" s="21"/>
      <c r="U1452" s="21"/>
      <c r="V1452" s="21"/>
      <c r="W1452" s="21"/>
      <c r="X1452" s="21"/>
    </row>
    <row r="1453" spans="1:24" ht="15.75" thickBot="1" x14ac:dyDescent="0.3">
      <c r="A1453" t="str">
        <f t="shared" si="22"/>
        <v>DET8C347A</v>
      </c>
      <c r="B1453" s="22" t="s">
        <v>6487</v>
      </c>
      <c r="C1453" s="22" t="s">
        <v>5566</v>
      </c>
      <c r="D1453" s="22" t="s">
        <v>6488</v>
      </c>
      <c r="E1453" s="22" t="s">
        <v>6489</v>
      </c>
      <c r="F1453" s="22" t="s">
        <v>6490</v>
      </c>
      <c r="G1453" s="28" t="s">
        <v>2012</v>
      </c>
      <c r="H1453" s="22" t="s">
        <v>2055</v>
      </c>
      <c r="I1453" s="21"/>
      <c r="J1453" s="22" t="s">
        <v>494</v>
      </c>
      <c r="K1453" s="22" t="s">
        <v>924</v>
      </c>
      <c r="L1453" s="21"/>
      <c r="M1453" s="22" t="s">
        <v>2034</v>
      </c>
      <c r="N1453" s="28" t="s">
        <v>2015</v>
      </c>
      <c r="O1453" s="28" t="s">
        <v>2016</v>
      </c>
      <c r="P1453" s="29">
        <v>2573</v>
      </c>
      <c r="Q1453" s="28" t="s">
        <v>2017</v>
      </c>
      <c r="R1453" s="21"/>
      <c r="S1453" s="21"/>
      <c r="T1453" s="21"/>
      <c r="U1453" s="21"/>
      <c r="V1453" s="21"/>
      <c r="W1453" s="21"/>
      <c r="X1453" s="21"/>
    </row>
    <row r="1454" spans="1:24" ht="15.75" thickBot="1" x14ac:dyDescent="0.3">
      <c r="A1454" t="str">
        <f t="shared" si="22"/>
        <v>DETE10522B</v>
      </c>
      <c r="B1454" s="22" t="s">
        <v>1272</v>
      </c>
      <c r="C1454" s="22" t="s">
        <v>6491</v>
      </c>
      <c r="D1454" s="22" t="s">
        <v>6492</v>
      </c>
      <c r="E1454" s="21"/>
      <c r="F1454" s="22" t="s">
        <v>6493</v>
      </c>
      <c r="G1454" s="28" t="s">
        <v>2012</v>
      </c>
      <c r="H1454" s="22" t="s">
        <v>2080</v>
      </c>
      <c r="I1454" s="21"/>
      <c r="J1454" s="22" t="s">
        <v>261</v>
      </c>
      <c r="K1454" s="22" t="s">
        <v>924</v>
      </c>
      <c r="L1454" s="21"/>
      <c r="M1454" s="22" t="s">
        <v>2034</v>
      </c>
      <c r="N1454" s="28" t="s">
        <v>2015</v>
      </c>
      <c r="O1454" s="28" t="s">
        <v>2016</v>
      </c>
      <c r="P1454" s="29">
        <v>561</v>
      </c>
      <c r="Q1454" s="28" t="s">
        <v>2017</v>
      </c>
      <c r="R1454" s="41">
        <v>0.99183976552499997</v>
      </c>
      <c r="S1454" s="29">
        <v>36361</v>
      </c>
      <c r="T1454" s="32">
        <v>565.61555555555503</v>
      </c>
      <c r="U1454" s="32">
        <v>0</v>
      </c>
      <c r="V1454" s="41">
        <v>0.99183976552499997</v>
      </c>
      <c r="W1454" s="21"/>
      <c r="X1454" s="21"/>
    </row>
    <row r="1455" spans="1:24" ht="15.75" thickBot="1" x14ac:dyDescent="0.3">
      <c r="A1455" t="str">
        <f t="shared" si="22"/>
        <v>DETE107A60AB</v>
      </c>
      <c r="B1455" s="22" t="s">
        <v>6494</v>
      </c>
      <c r="C1455" s="22" t="s">
        <v>4168</v>
      </c>
      <c r="D1455" s="22" t="s">
        <v>6495</v>
      </c>
      <c r="E1455" s="21"/>
      <c r="F1455" s="22" t="s">
        <v>6496</v>
      </c>
      <c r="G1455" s="28" t="s">
        <v>2012</v>
      </c>
      <c r="H1455" s="22" t="s">
        <v>2013</v>
      </c>
      <c r="I1455" s="21"/>
      <c r="J1455" s="22" t="s">
        <v>261</v>
      </c>
      <c r="K1455" s="22" t="s">
        <v>924</v>
      </c>
      <c r="L1455" s="21"/>
      <c r="M1455" s="22" t="s">
        <v>2034</v>
      </c>
      <c r="N1455" s="28" t="s">
        <v>2015</v>
      </c>
      <c r="O1455" s="28" t="s">
        <v>2016</v>
      </c>
      <c r="P1455" s="29">
        <v>8000</v>
      </c>
      <c r="Q1455" s="28" t="s">
        <v>2017</v>
      </c>
      <c r="R1455" s="21"/>
      <c r="S1455" s="21"/>
      <c r="T1455" s="21"/>
      <c r="U1455" s="21"/>
      <c r="V1455" s="21"/>
      <c r="W1455" s="21"/>
      <c r="X1455" s="21"/>
    </row>
    <row r="1456" spans="1:24" ht="15.75" thickBot="1" x14ac:dyDescent="0.3">
      <c r="A1456" t="str">
        <f t="shared" si="22"/>
        <v>DETE107A61AB</v>
      </c>
      <c r="B1456" s="22" t="s">
        <v>6497</v>
      </c>
      <c r="C1456" s="22" t="s">
        <v>4168</v>
      </c>
      <c r="D1456" s="22" t="s">
        <v>6498</v>
      </c>
      <c r="E1456" s="21"/>
      <c r="F1456" s="22" t="s">
        <v>6499</v>
      </c>
      <c r="G1456" s="28" t="s">
        <v>2012</v>
      </c>
      <c r="H1456" s="22" t="s">
        <v>2013</v>
      </c>
      <c r="I1456" s="21"/>
      <c r="J1456" s="22" t="s">
        <v>261</v>
      </c>
      <c r="K1456" s="22" t="s">
        <v>924</v>
      </c>
      <c r="L1456" s="21"/>
      <c r="M1456" s="22" t="s">
        <v>2034</v>
      </c>
      <c r="N1456" s="28" t="s">
        <v>2015</v>
      </c>
      <c r="O1456" s="28" t="s">
        <v>2016</v>
      </c>
      <c r="P1456" s="29">
        <v>8000</v>
      </c>
      <c r="Q1456" s="28" t="s">
        <v>2017</v>
      </c>
      <c r="R1456" s="21"/>
      <c r="S1456" s="21"/>
      <c r="T1456" s="21"/>
      <c r="U1456" s="21"/>
      <c r="V1456" s="21"/>
      <c r="W1456" s="21"/>
      <c r="X1456" s="21"/>
    </row>
    <row r="1457" spans="1:24" ht="15.75" thickBot="1" x14ac:dyDescent="0.3">
      <c r="A1457" t="str">
        <f t="shared" si="22"/>
        <v>DETE200L77A</v>
      </c>
      <c r="B1457" s="22" t="s">
        <v>1229</v>
      </c>
      <c r="C1457" s="22" t="s">
        <v>2073</v>
      </c>
      <c r="D1457" s="22" t="s">
        <v>6500</v>
      </c>
      <c r="E1457" s="22" t="s">
        <v>6501</v>
      </c>
      <c r="F1457" s="22" t="s">
        <v>6502</v>
      </c>
      <c r="G1457" s="28" t="s">
        <v>2012</v>
      </c>
      <c r="H1457" s="22" t="s">
        <v>2055</v>
      </c>
      <c r="I1457" s="21"/>
      <c r="J1457" s="22" t="s">
        <v>261</v>
      </c>
      <c r="K1457" s="22" t="s">
        <v>924</v>
      </c>
      <c r="L1457" s="21"/>
      <c r="M1457" s="22" t="s">
        <v>2034</v>
      </c>
      <c r="N1457" s="28" t="s">
        <v>2015</v>
      </c>
      <c r="O1457" s="28" t="s">
        <v>2016</v>
      </c>
      <c r="P1457" s="29">
        <v>-821</v>
      </c>
      <c r="Q1457" s="28" t="s">
        <v>2017</v>
      </c>
      <c r="R1457" s="41">
        <v>-3.1395259906350002</v>
      </c>
      <c r="S1457" s="29">
        <v>16811</v>
      </c>
      <c r="T1457" s="32">
        <v>261.504444444444</v>
      </c>
      <c r="U1457" s="32">
        <v>0</v>
      </c>
      <c r="V1457" s="41">
        <v>0</v>
      </c>
      <c r="W1457" s="21"/>
      <c r="X1457" s="21"/>
    </row>
    <row r="1458" spans="1:24" ht="15.75" thickBot="1" x14ac:dyDescent="0.3">
      <c r="A1458" t="str">
        <f t="shared" si="22"/>
        <v>DETE281A30AA</v>
      </c>
      <c r="B1458" s="22" t="s">
        <v>1231</v>
      </c>
      <c r="C1458" s="22" t="s">
        <v>5325</v>
      </c>
      <c r="D1458" s="22" t="s">
        <v>6503</v>
      </c>
      <c r="E1458" s="21"/>
      <c r="F1458" s="22" t="s">
        <v>3218</v>
      </c>
      <c r="G1458" s="28" t="s">
        <v>2012</v>
      </c>
      <c r="H1458" s="22" t="s">
        <v>2080</v>
      </c>
      <c r="I1458" s="21"/>
      <c r="J1458" s="22" t="s">
        <v>261</v>
      </c>
      <c r="K1458" s="22" t="s">
        <v>924</v>
      </c>
      <c r="L1458" s="21"/>
      <c r="M1458" s="22" t="s">
        <v>2034</v>
      </c>
      <c r="N1458" s="28" t="s">
        <v>2015</v>
      </c>
      <c r="O1458" s="28" t="s">
        <v>2016</v>
      </c>
      <c r="P1458" s="29">
        <v>0</v>
      </c>
      <c r="Q1458" s="28" t="s">
        <v>2017</v>
      </c>
      <c r="R1458" s="41">
        <v>0</v>
      </c>
      <c r="S1458" s="29">
        <v>110</v>
      </c>
      <c r="T1458" s="32">
        <v>1.711111111111</v>
      </c>
      <c r="U1458" s="32">
        <v>0</v>
      </c>
      <c r="V1458" s="41">
        <v>0</v>
      </c>
      <c r="W1458" s="21"/>
      <c r="X1458" s="21"/>
    </row>
    <row r="1459" spans="1:24" ht="15.75" thickBot="1" x14ac:dyDescent="0.3">
      <c r="A1459" t="str">
        <f t="shared" si="22"/>
        <v>DETE281A31AA</v>
      </c>
      <c r="B1459" s="22" t="s">
        <v>1233</v>
      </c>
      <c r="C1459" s="22" t="s">
        <v>5327</v>
      </c>
      <c r="D1459" s="22" t="s">
        <v>6503</v>
      </c>
      <c r="E1459" s="21"/>
      <c r="F1459" s="22" t="s">
        <v>3436</v>
      </c>
      <c r="G1459" s="28" t="s">
        <v>2012</v>
      </c>
      <c r="H1459" s="22" t="s">
        <v>2080</v>
      </c>
      <c r="I1459" s="21"/>
      <c r="J1459" s="22" t="s">
        <v>261</v>
      </c>
      <c r="K1459" s="22" t="s">
        <v>924</v>
      </c>
      <c r="L1459" s="21"/>
      <c r="M1459" s="22" t="s">
        <v>2034</v>
      </c>
      <c r="N1459" s="28" t="s">
        <v>2015</v>
      </c>
      <c r="O1459" s="28" t="s">
        <v>2016</v>
      </c>
      <c r="P1459" s="29">
        <v>0</v>
      </c>
      <c r="Q1459" s="28" t="s">
        <v>2017</v>
      </c>
      <c r="R1459" s="41">
        <v>0</v>
      </c>
      <c r="S1459" s="29">
        <v>110</v>
      </c>
      <c r="T1459" s="32">
        <v>1.711111111111</v>
      </c>
      <c r="U1459" s="32">
        <v>0</v>
      </c>
      <c r="V1459" s="41">
        <v>0</v>
      </c>
      <c r="W1459" s="21"/>
      <c r="X1459" s="21"/>
    </row>
    <row r="1460" spans="1:24" ht="15.75" thickBot="1" x14ac:dyDescent="0.3">
      <c r="A1460" t="str">
        <f t="shared" si="22"/>
        <v>DETE28562A</v>
      </c>
      <c r="B1460" s="22" t="s">
        <v>6504</v>
      </c>
      <c r="C1460" s="22" t="s">
        <v>2185</v>
      </c>
      <c r="D1460" s="22" t="s">
        <v>6505</v>
      </c>
      <c r="E1460" s="21"/>
      <c r="F1460" s="22" t="s">
        <v>3584</v>
      </c>
      <c r="G1460" s="28" t="s">
        <v>2012</v>
      </c>
      <c r="H1460" s="22" t="s">
        <v>2080</v>
      </c>
      <c r="I1460" s="21"/>
      <c r="J1460" s="22" t="s">
        <v>261</v>
      </c>
      <c r="K1460" s="22" t="s">
        <v>924</v>
      </c>
      <c r="L1460" s="21"/>
      <c r="M1460" s="22" t="s">
        <v>2034</v>
      </c>
      <c r="N1460" s="28" t="s">
        <v>2015</v>
      </c>
      <c r="O1460" s="28" t="s">
        <v>2016</v>
      </c>
      <c r="P1460" s="29">
        <v>287</v>
      </c>
      <c r="Q1460" s="28" t="s">
        <v>2017</v>
      </c>
      <c r="R1460" s="21"/>
      <c r="S1460" s="21"/>
      <c r="T1460" s="21"/>
      <c r="U1460" s="21"/>
      <c r="V1460" s="21"/>
      <c r="W1460" s="21"/>
      <c r="X1460" s="21"/>
    </row>
    <row r="1461" spans="1:24" ht="15.75" thickBot="1" x14ac:dyDescent="0.3">
      <c r="A1461" t="str">
        <f t="shared" si="22"/>
        <v>DETE28563A</v>
      </c>
      <c r="B1461" s="22" t="s">
        <v>6506</v>
      </c>
      <c r="C1461" s="22" t="s">
        <v>2073</v>
      </c>
      <c r="D1461" s="22" t="s">
        <v>2910</v>
      </c>
      <c r="E1461" s="21"/>
      <c r="F1461" s="22" t="s">
        <v>2911</v>
      </c>
      <c r="G1461" s="28" t="s">
        <v>2012</v>
      </c>
      <c r="H1461" s="22" t="s">
        <v>2080</v>
      </c>
      <c r="I1461" s="21"/>
      <c r="J1461" s="22" t="s">
        <v>261</v>
      </c>
      <c r="K1461" s="22" t="s">
        <v>924</v>
      </c>
      <c r="L1461" s="21"/>
      <c r="M1461" s="22" t="s">
        <v>2034</v>
      </c>
      <c r="N1461" s="28" t="s">
        <v>2015</v>
      </c>
      <c r="O1461" s="28" t="s">
        <v>2016</v>
      </c>
      <c r="P1461" s="29">
        <v>0</v>
      </c>
      <c r="Q1461" s="28" t="s">
        <v>2017</v>
      </c>
      <c r="R1461" s="21"/>
      <c r="S1461" s="21"/>
      <c r="T1461" s="21"/>
      <c r="U1461" s="21"/>
      <c r="V1461" s="21"/>
      <c r="W1461" s="21"/>
      <c r="X1461" s="21"/>
    </row>
    <row r="1462" spans="1:24" ht="15.75" thickBot="1" x14ac:dyDescent="0.3">
      <c r="A1462" t="str">
        <f t="shared" si="22"/>
        <v>DETE405K02A</v>
      </c>
      <c r="B1462" s="22" t="s">
        <v>1488</v>
      </c>
      <c r="C1462" s="22" t="s">
        <v>2735</v>
      </c>
      <c r="D1462" s="22" t="s">
        <v>6507</v>
      </c>
      <c r="E1462" s="22" t="s">
        <v>6508</v>
      </c>
      <c r="F1462" s="22" t="s">
        <v>6509</v>
      </c>
      <c r="G1462" s="28" t="s">
        <v>2012</v>
      </c>
      <c r="H1462" s="22" t="s">
        <v>2013</v>
      </c>
      <c r="I1462" s="21"/>
      <c r="J1462" s="22" t="s">
        <v>261</v>
      </c>
      <c r="K1462" s="22" t="s">
        <v>924</v>
      </c>
      <c r="L1462" s="21"/>
      <c r="M1462" s="22" t="s">
        <v>2034</v>
      </c>
      <c r="N1462" s="28" t="s">
        <v>2015</v>
      </c>
      <c r="O1462" s="28" t="s">
        <v>2016</v>
      </c>
      <c r="P1462" s="29">
        <v>41</v>
      </c>
      <c r="Q1462" s="28" t="s">
        <v>2017</v>
      </c>
      <c r="R1462" s="41">
        <v>0.16386162795799999</v>
      </c>
      <c r="S1462" s="29">
        <v>16085</v>
      </c>
      <c r="T1462" s="32">
        <v>250.21111111111099</v>
      </c>
      <c r="U1462" s="32">
        <v>0</v>
      </c>
      <c r="V1462" s="41">
        <v>0.16386162795799999</v>
      </c>
      <c r="W1462" s="21"/>
      <c r="X1462" s="21"/>
    </row>
    <row r="1463" spans="1:24" ht="15.75" thickBot="1" x14ac:dyDescent="0.3">
      <c r="A1463" t="str">
        <f t="shared" si="22"/>
        <v>DETE41058A</v>
      </c>
      <c r="B1463" s="22" t="s">
        <v>1293</v>
      </c>
      <c r="C1463" s="22" t="s">
        <v>6510</v>
      </c>
      <c r="D1463" s="22" t="s">
        <v>3246</v>
      </c>
      <c r="E1463" s="22" t="s">
        <v>3247</v>
      </c>
      <c r="F1463" s="22" t="s">
        <v>3248</v>
      </c>
      <c r="G1463" s="28" t="s">
        <v>2012</v>
      </c>
      <c r="H1463" s="22" t="s">
        <v>2080</v>
      </c>
      <c r="I1463" s="21"/>
      <c r="J1463" s="22" t="s">
        <v>261</v>
      </c>
      <c r="K1463" s="22" t="s">
        <v>924</v>
      </c>
      <c r="L1463" s="21"/>
      <c r="M1463" s="22" t="s">
        <v>2034</v>
      </c>
      <c r="N1463" s="28" t="s">
        <v>2015</v>
      </c>
      <c r="O1463" s="28" t="s">
        <v>2016</v>
      </c>
      <c r="P1463" s="29">
        <v>0</v>
      </c>
      <c r="Q1463" s="28" t="s">
        <v>2017</v>
      </c>
      <c r="R1463" s="41">
        <v>0</v>
      </c>
      <c r="S1463" s="29">
        <v>110</v>
      </c>
      <c r="T1463" s="32">
        <v>1.711111111111</v>
      </c>
      <c r="U1463" s="32">
        <v>0</v>
      </c>
      <c r="V1463" s="41">
        <v>0</v>
      </c>
      <c r="W1463" s="21"/>
      <c r="X1463" s="21"/>
    </row>
    <row r="1464" spans="1:24" ht="15.75" thickBot="1" x14ac:dyDescent="0.3">
      <c r="A1464" t="str">
        <f t="shared" si="22"/>
        <v>DETE41059A</v>
      </c>
      <c r="B1464" s="22" t="s">
        <v>1296</v>
      </c>
      <c r="C1464" s="22" t="s">
        <v>6511</v>
      </c>
      <c r="D1464" s="22" t="s">
        <v>3246</v>
      </c>
      <c r="E1464" s="22" t="s">
        <v>3446</v>
      </c>
      <c r="F1464" s="22" t="s">
        <v>3447</v>
      </c>
      <c r="G1464" s="28" t="s">
        <v>2012</v>
      </c>
      <c r="H1464" s="22" t="s">
        <v>2080</v>
      </c>
      <c r="I1464" s="21"/>
      <c r="J1464" s="22" t="s">
        <v>261</v>
      </c>
      <c r="K1464" s="22" t="s">
        <v>924</v>
      </c>
      <c r="L1464" s="21"/>
      <c r="M1464" s="22" t="s">
        <v>2034</v>
      </c>
      <c r="N1464" s="28" t="s">
        <v>2015</v>
      </c>
      <c r="O1464" s="28" t="s">
        <v>2016</v>
      </c>
      <c r="P1464" s="29">
        <v>0</v>
      </c>
      <c r="Q1464" s="28" t="s">
        <v>2017</v>
      </c>
      <c r="R1464" s="41">
        <v>0</v>
      </c>
      <c r="S1464" s="29">
        <v>110</v>
      </c>
      <c r="T1464" s="32">
        <v>1.711111111111</v>
      </c>
      <c r="U1464" s="32">
        <v>0</v>
      </c>
      <c r="V1464" s="41">
        <v>0</v>
      </c>
      <c r="W1464" s="21"/>
      <c r="X1464" s="21"/>
    </row>
    <row r="1465" spans="1:24" ht="15.75" thickBot="1" x14ac:dyDescent="0.3">
      <c r="A1465" t="str">
        <f t="shared" si="22"/>
        <v>DETE41212AA</v>
      </c>
      <c r="B1465" s="22" t="s">
        <v>1368</v>
      </c>
      <c r="C1465" s="22" t="s">
        <v>5325</v>
      </c>
      <c r="D1465" s="22" t="s">
        <v>2912</v>
      </c>
      <c r="E1465" s="22" t="s">
        <v>6512</v>
      </c>
      <c r="F1465" s="22" t="s">
        <v>4171</v>
      </c>
      <c r="G1465" s="28" t="s">
        <v>2012</v>
      </c>
      <c r="H1465" s="22" t="s">
        <v>2080</v>
      </c>
      <c r="I1465" s="21"/>
      <c r="J1465" s="22" t="s">
        <v>261</v>
      </c>
      <c r="K1465" s="22" t="s">
        <v>924</v>
      </c>
      <c r="L1465" s="21"/>
      <c r="M1465" s="22" t="s">
        <v>2034</v>
      </c>
      <c r="N1465" s="28" t="s">
        <v>2015</v>
      </c>
      <c r="O1465" s="28" t="s">
        <v>2016</v>
      </c>
      <c r="P1465" s="29">
        <v>0</v>
      </c>
      <c r="Q1465" s="28" t="s">
        <v>2017</v>
      </c>
      <c r="R1465" s="41">
        <v>0</v>
      </c>
      <c r="S1465" s="29">
        <v>110</v>
      </c>
      <c r="T1465" s="32">
        <v>1.711111111111</v>
      </c>
      <c r="U1465" s="32">
        <v>0</v>
      </c>
      <c r="V1465" s="41">
        <v>0</v>
      </c>
      <c r="W1465" s="21"/>
      <c r="X1465" s="21"/>
    </row>
    <row r="1466" spans="1:24" ht="15.75" thickBot="1" x14ac:dyDescent="0.3">
      <c r="A1466" t="str">
        <f t="shared" si="22"/>
        <v>DETE41213AA</v>
      </c>
      <c r="B1466" s="22" t="s">
        <v>1370</v>
      </c>
      <c r="C1466" s="22" t="s">
        <v>5327</v>
      </c>
      <c r="D1466" s="22" t="s">
        <v>2912</v>
      </c>
      <c r="E1466" s="22" t="s">
        <v>5620</v>
      </c>
      <c r="F1466" s="22" t="s">
        <v>2913</v>
      </c>
      <c r="G1466" s="28" t="s">
        <v>2012</v>
      </c>
      <c r="H1466" s="22" t="s">
        <v>2080</v>
      </c>
      <c r="I1466" s="21"/>
      <c r="J1466" s="22" t="s">
        <v>261</v>
      </c>
      <c r="K1466" s="22" t="s">
        <v>924</v>
      </c>
      <c r="L1466" s="21"/>
      <c r="M1466" s="22" t="s">
        <v>2034</v>
      </c>
      <c r="N1466" s="28" t="s">
        <v>2015</v>
      </c>
      <c r="O1466" s="28" t="s">
        <v>2016</v>
      </c>
      <c r="P1466" s="29">
        <v>0</v>
      </c>
      <c r="Q1466" s="28" t="s">
        <v>2017</v>
      </c>
      <c r="R1466" s="41">
        <v>0</v>
      </c>
      <c r="S1466" s="29">
        <v>110</v>
      </c>
      <c r="T1466" s="32">
        <v>1.711111111111</v>
      </c>
      <c r="U1466" s="32">
        <v>0</v>
      </c>
      <c r="V1466" s="41">
        <v>0</v>
      </c>
      <c r="W1466" s="21"/>
      <c r="X1466" s="21"/>
    </row>
    <row r="1467" spans="1:24" ht="15.75" thickBot="1" x14ac:dyDescent="0.3">
      <c r="A1467" t="str">
        <f t="shared" si="22"/>
        <v>DETE42909A</v>
      </c>
      <c r="B1467" s="22" t="s">
        <v>1492</v>
      </c>
      <c r="C1467" s="22" t="s">
        <v>2937</v>
      </c>
      <c r="D1467" s="22" t="s">
        <v>6513</v>
      </c>
      <c r="E1467" s="21"/>
      <c r="F1467" s="22" t="s">
        <v>6514</v>
      </c>
      <c r="G1467" s="28" t="s">
        <v>2012</v>
      </c>
      <c r="H1467" s="22" t="s">
        <v>2013</v>
      </c>
      <c r="I1467" s="21"/>
      <c r="J1467" s="22" t="s">
        <v>261</v>
      </c>
      <c r="K1467" s="22" t="s">
        <v>924</v>
      </c>
      <c r="L1467" s="21"/>
      <c r="M1467" s="22" t="s">
        <v>2034</v>
      </c>
      <c r="N1467" s="28" t="s">
        <v>2015</v>
      </c>
      <c r="O1467" s="28" t="s">
        <v>2016</v>
      </c>
      <c r="P1467" s="29">
        <v>-1093</v>
      </c>
      <c r="Q1467" s="28" t="s">
        <v>2017</v>
      </c>
      <c r="R1467" s="41">
        <v>-4.3699412721110003</v>
      </c>
      <c r="S1467" s="29">
        <v>16079</v>
      </c>
      <c r="T1467" s="32">
        <v>250.117777777778</v>
      </c>
      <c r="U1467" s="32">
        <v>0</v>
      </c>
      <c r="V1467" s="41">
        <v>0</v>
      </c>
      <c r="W1467" s="21"/>
      <c r="X1467" s="21"/>
    </row>
    <row r="1468" spans="1:24" ht="15.75" thickBot="1" x14ac:dyDescent="0.3">
      <c r="A1468" t="str">
        <f t="shared" si="22"/>
        <v>DETE431F93A</v>
      </c>
      <c r="B1468" s="22" t="s">
        <v>1152</v>
      </c>
      <c r="C1468" s="22" t="s">
        <v>6515</v>
      </c>
      <c r="D1468" s="22" t="s">
        <v>1151</v>
      </c>
      <c r="E1468" s="22" t="s">
        <v>2660</v>
      </c>
      <c r="F1468" s="22" t="s">
        <v>6516</v>
      </c>
      <c r="G1468" s="28" t="s">
        <v>2012</v>
      </c>
      <c r="H1468" s="22" t="s">
        <v>2080</v>
      </c>
      <c r="I1468" s="21"/>
      <c r="J1468" s="22" t="s">
        <v>261</v>
      </c>
      <c r="K1468" s="22" t="s">
        <v>924</v>
      </c>
      <c r="L1468" s="21"/>
      <c r="M1468" s="22" t="s">
        <v>2034</v>
      </c>
      <c r="N1468" s="28" t="s">
        <v>2015</v>
      </c>
      <c r="O1468" s="28" t="s">
        <v>2016</v>
      </c>
      <c r="P1468" s="29">
        <v>-987</v>
      </c>
      <c r="Q1468" s="28" t="s">
        <v>2017</v>
      </c>
      <c r="R1468" s="41">
        <v>-4.2181890706020004</v>
      </c>
      <c r="S1468" s="29">
        <v>15042</v>
      </c>
      <c r="T1468" s="32">
        <v>233.98666666666699</v>
      </c>
      <c r="U1468" s="32">
        <v>0</v>
      </c>
      <c r="V1468" s="41">
        <v>0</v>
      </c>
      <c r="W1468" s="21"/>
      <c r="X1468" s="21"/>
    </row>
    <row r="1469" spans="1:24" ht="15.75" thickBot="1" x14ac:dyDescent="0.3">
      <c r="A1469" t="str">
        <f t="shared" si="22"/>
        <v>DETFC00ACA56922</v>
      </c>
      <c r="B1469" s="22" t="s">
        <v>6517</v>
      </c>
      <c r="C1469" s="22" t="s">
        <v>6518</v>
      </c>
      <c r="D1469" s="22" t="s">
        <v>6519</v>
      </c>
      <c r="E1469" s="21"/>
      <c r="F1469" s="22" t="s">
        <v>2030</v>
      </c>
      <c r="G1469" s="28" t="s">
        <v>5499</v>
      </c>
      <c r="H1469" s="22" t="s">
        <v>6520</v>
      </c>
      <c r="I1469" s="21"/>
      <c r="J1469" s="22" t="s">
        <v>394</v>
      </c>
      <c r="K1469" s="22" t="s">
        <v>924</v>
      </c>
      <c r="L1469" s="21"/>
      <c r="M1469" s="22" t="s">
        <v>2034</v>
      </c>
      <c r="N1469" s="28" t="s">
        <v>2015</v>
      </c>
      <c r="O1469" s="28" t="s">
        <v>2016</v>
      </c>
      <c r="P1469" s="29">
        <v>0</v>
      </c>
      <c r="Q1469" s="28" t="s">
        <v>2017</v>
      </c>
      <c r="R1469" s="21"/>
      <c r="S1469" s="21"/>
      <c r="T1469" s="21"/>
      <c r="U1469" s="21"/>
      <c r="V1469" s="21"/>
      <c r="W1469" s="21"/>
      <c r="X1469" s="21"/>
    </row>
    <row r="1470" spans="1:24" ht="15.75" thickBot="1" x14ac:dyDescent="0.3">
      <c r="A1470" t="str">
        <f t="shared" si="22"/>
        <v>DETJ266A58</v>
      </c>
      <c r="B1470" s="22" t="s">
        <v>6521</v>
      </c>
      <c r="C1470" s="22" t="s">
        <v>6522</v>
      </c>
      <c r="D1470" s="22" t="s">
        <v>6523</v>
      </c>
      <c r="E1470" s="21"/>
      <c r="F1470" s="22" t="s">
        <v>6524</v>
      </c>
      <c r="G1470" s="28" t="s">
        <v>2012</v>
      </c>
      <c r="H1470" s="22" t="s">
        <v>2055</v>
      </c>
      <c r="I1470" s="21"/>
      <c r="J1470" s="22" t="s">
        <v>261</v>
      </c>
      <c r="K1470" s="22" t="s">
        <v>924</v>
      </c>
      <c r="L1470" s="21"/>
      <c r="M1470" s="22" t="s">
        <v>2034</v>
      </c>
      <c r="N1470" s="28" t="s">
        <v>2015</v>
      </c>
      <c r="O1470" s="28" t="s">
        <v>2016</v>
      </c>
      <c r="P1470" s="29">
        <v>4900</v>
      </c>
      <c r="Q1470" s="28" t="s">
        <v>2017</v>
      </c>
      <c r="R1470" s="21"/>
      <c r="S1470" s="21"/>
      <c r="T1470" s="21"/>
      <c r="U1470" s="21"/>
      <c r="V1470" s="21"/>
      <c r="W1470" s="21"/>
      <c r="X1470" s="21"/>
    </row>
    <row r="1471" spans="1:24" ht="15.75" thickBot="1" x14ac:dyDescent="0.3">
      <c r="A1471" t="str">
        <f t="shared" si="22"/>
        <v>DETJ50291</v>
      </c>
      <c r="B1471" s="22" t="s">
        <v>6525</v>
      </c>
      <c r="C1471" s="22" t="s">
        <v>6526</v>
      </c>
      <c r="D1471" s="22" t="s">
        <v>6527</v>
      </c>
      <c r="E1471" s="22" t="s">
        <v>6528</v>
      </c>
      <c r="F1471" s="22" t="s">
        <v>2486</v>
      </c>
      <c r="G1471" s="28" t="s">
        <v>2012</v>
      </c>
      <c r="H1471" s="22" t="s">
        <v>2080</v>
      </c>
      <c r="I1471" s="21"/>
      <c r="J1471" s="22" t="s">
        <v>494</v>
      </c>
      <c r="K1471" s="22" t="s">
        <v>924</v>
      </c>
      <c r="L1471" s="21"/>
      <c r="M1471" s="22" t="s">
        <v>2034</v>
      </c>
      <c r="N1471" s="28" t="s">
        <v>2015</v>
      </c>
      <c r="O1471" s="28" t="s">
        <v>2016</v>
      </c>
      <c r="P1471" s="29">
        <v>524</v>
      </c>
      <c r="Q1471" s="28" t="s">
        <v>2017</v>
      </c>
      <c r="R1471" s="21"/>
      <c r="S1471" s="21"/>
      <c r="T1471" s="21"/>
      <c r="U1471" s="21"/>
      <c r="V1471" s="21"/>
      <c r="W1471" s="21"/>
      <c r="X1471" s="21"/>
    </row>
    <row r="1472" spans="1:24" ht="15.75" thickBot="1" x14ac:dyDescent="0.3">
      <c r="A1472" t="str">
        <f t="shared" si="22"/>
        <v>DETPC17210001AB</v>
      </c>
      <c r="B1472" s="22" t="s">
        <v>6529</v>
      </c>
      <c r="C1472" s="22" t="s">
        <v>6530</v>
      </c>
      <c r="D1472" s="22" t="s">
        <v>6531</v>
      </c>
      <c r="E1472" s="22" t="s">
        <v>6532</v>
      </c>
      <c r="F1472" s="22" t="s">
        <v>6533</v>
      </c>
      <c r="G1472" s="28" t="s">
        <v>2012</v>
      </c>
      <c r="H1472" s="22" t="s">
        <v>2751</v>
      </c>
      <c r="I1472" s="21"/>
      <c r="J1472" s="22" t="s">
        <v>892</v>
      </c>
      <c r="K1472" s="22" t="s">
        <v>924</v>
      </c>
      <c r="L1472" s="21"/>
      <c r="M1472" s="22" t="s">
        <v>2014</v>
      </c>
      <c r="N1472" s="28" t="s">
        <v>2015</v>
      </c>
      <c r="O1472" s="28" t="s">
        <v>2016</v>
      </c>
      <c r="P1472" s="29">
        <v>2366</v>
      </c>
      <c r="Q1472" s="28" t="s">
        <v>2017</v>
      </c>
      <c r="R1472" s="21"/>
      <c r="S1472" s="21"/>
      <c r="T1472" s="21"/>
      <c r="U1472" s="21"/>
      <c r="V1472" s="21"/>
      <c r="W1472" s="21"/>
      <c r="X1472" s="21"/>
    </row>
    <row r="1473" spans="1:24" ht="15.75" thickBot="1" x14ac:dyDescent="0.3">
      <c r="A1473" t="str">
        <f t="shared" si="22"/>
        <v>DETPC17210002AB</v>
      </c>
      <c r="B1473" s="22" t="s">
        <v>6534</v>
      </c>
      <c r="C1473" s="22" t="s">
        <v>6535</v>
      </c>
      <c r="D1473" s="22" t="s">
        <v>6536</v>
      </c>
      <c r="E1473" s="22" t="s">
        <v>6537</v>
      </c>
      <c r="F1473" s="22" t="s">
        <v>6538</v>
      </c>
      <c r="G1473" s="28" t="s">
        <v>2012</v>
      </c>
      <c r="H1473" s="22" t="s">
        <v>2751</v>
      </c>
      <c r="I1473" s="21"/>
      <c r="J1473" s="22" t="s">
        <v>892</v>
      </c>
      <c r="K1473" s="22" t="s">
        <v>924</v>
      </c>
      <c r="L1473" s="21"/>
      <c r="M1473" s="22" t="s">
        <v>2014</v>
      </c>
      <c r="N1473" s="28" t="s">
        <v>2015</v>
      </c>
      <c r="O1473" s="28" t="s">
        <v>2016</v>
      </c>
      <c r="P1473" s="29">
        <v>4158</v>
      </c>
      <c r="Q1473" s="28" t="s">
        <v>2017</v>
      </c>
      <c r="R1473" s="21"/>
      <c r="S1473" s="21"/>
      <c r="T1473" s="21"/>
      <c r="U1473" s="21"/>
      <c r="V1473" s="21"/>
      <c r="W1473" s="21"/>
      <c r="X1473" s="21"/>
    </row>
    <row r="1474" spans="1:24" ht="15.75" thickBot="1" x14ac:dyDescent="0.3">
      <c r="A1474" t="str">
        <f t="shared" si="22"/>
        <v>DETX200B39OS</v>
      </c>
      <c r="B1474" s="22" t="s">
        <v>1609</v>
      </c>
      <c r="C1474" s="22" t="s">
        <v>2883</v>
      </c>
      <c r="D1474" s="22" t="s">
        <v>2884</v>
      </c>
      <c r="E1474" s="22" t="s">
        <v>3038</v>
      </c>
      <c r="F1474" s="22" t="s">
        <v>6539</v>
      </c>
      <c r="G1474" s="28" t="s">
        <v>2012</v>
      </c>
      <c r="H1474" s="22" t="s">
        <v>2013</v>
      </c>
      <c r="I1474" s="21"/>
      <c r="J1474" s="22" t="s">
        <v>364</v>
      </c>
      <c r="K1474" s="22" t="s">
        <v>924</v>
      </c>
      <c r="L1474" s="21"/>
      <c r="M1474" s="22" t="s">
        <v>2034</v>
      </c>
      <c r="N1474" s="28" t="s">
        <v>2015</v>
      </c>
      <c r="O1474" s="28" t="s">
        <v>2016</v>
      </c>
      <c r="P1474" s="29">
        <v>43</v>
      </c>
      <c r="Q1474" s="28" t="s">
        <v>2017</v>
      </c>
      <c r="R1474" s="41">
        <v>0.20476190476100001</v>
      </c>
      <c r="S1474" s="29">
        <v>13500</v>
      </c>
      <c r="T1474" s="32">
        <v>210</v>
      </c>
      <c r="U1474" s="32">
        <v>0</v>
      </c>
      <c r="V1474" s="41">
        <v>0.20476190476100001</v>
      </c>
      <c r="W1474" s="21"/>
      <c r="X1474" s="21"/>
    </row>
    <row r="1475" spans="1:24" ht="15.75" thickBot="1" x14ac:dyDescent="0.3">
      <c r="A1475" t="str">
        <f t="shared" si="22"/>
        <v>DPCBEI82086G00R</v>
      </c>
      <c r="B1475" s="22" t="s">
        <v>6540</v>
      </c>
      <c r="C1475" s="22" t="s">
        <v>6541</v>
      </c>
      <c r="D1475" s="22" t="s">
        <v>6542</v>
      </c>
      <c r="E1475" s="21"/>
      <c r="F1475" s="22" t="s">
        <v>2139</v>
      </c>
      <c r="G1475" s="28" t="s">
        <v>2012</v>
      </c>
      <c r="H1475" s="22" t="s">
        <v>2203</v>
      </c>
      <c r="I1475" s="21"/>
      <c r="J1475" s="22" t="s">
        <v>404</v>
      </c>
      <c r="K1475" s="22" t="s">
        <v>924</v>
      </c>
      <c r="L1475" s="21"/>
      <c r="M1475" s="22" t="s">
        <v>2014</v>
      </c>
      <c r="N1475" s="28" t="s">
        <v>2015</v>
      </c>
      <c r="O1475" s="28" t="s">
        <v>2016</v>
      </c>
      <c r="P1475" s="29">
        <v>2320</v>
      </c>
      <c r="Q1475" s="28" t="s">
        <v>2017</v>
      </c>
      <c r="R1475" s="21"/>
      <c r="S1475" s="21"/>
      <c r="T1475" s="21"/>
      <c r="U1475" s="21"/>
      <c r="V1475" s="21"/>
      <c r="W1475" s="21"/>
      <c r="X1475" s="21"/>
    </row>
    <row r="1476" spans="1:24" ht="15.75" thickBot="1" x14ac:dyDescent="0.3">
      <c r="A1476" t="str">
        <f t="shared" si="22"/>
        <v>DPCBEI82116G00L</v>
      </c>
      <c r="B1476" s="22" t="s">
        <v>6543</v>
      </c>
      <c r="C1476" s="22" t="s">
        <v>6544</v>
      </c>
      <c r="D1476" s="22" t="s">
        <v>6545</v>
      </c>
      <c r="E1476" s="21"/>
      <c r="F1476" s="22" t="s">
        <v>2139</v>
      </c>
      <c r="G1476" s="28" t="s">
        <v>2012</v>
      </c>
      <c r="H1476" s="22" t="s">
        <v>2203</v>
      </c>
      <c r="I1476" s="21"/>
      <c r="J1476" s="22" t="s">
        <v>404</v>
      </c>
      <c r="K1476" s="22" t="s">
        <v>924</v>
      </c>
      <c r="L1476" s="21"/>
      <c r="M1476" s="22" t="s">
        <v>2014</v>
      </c>
      <c r="N1476" s="28" t="s">
        <v>2015</v>
      </c>
      <c r="O1476" s="28" t="s">
        <v>2016</v>
      </c>
      <c r="P1476" s="29">
        <v>2565</v>
      </c>
      <c r="Q1476" s="28" t="s">
        <v>2017</v>
      </c>
      <c r="R1476" s="21"/>
      <c r="S1476" s="21"/>
      <c r="T1476" s="21"/>
      <c r="U1476" s="21"/>
      <c r="V1476" s="21"/>
      <c r="W1476" s="21"/>
      <c r="X1476" s="21"/>
    </row>
    <row r="1477" spans="1:24" ht="15.75" thickBot="1" x14ac:dyDescent="0.3">
      <c r="A1477" t="str">
        <f t="shared" ref="A1477:A1540" si="23">TRIM(B1477)</f>
        <v>DT.68741516AA</v>
      </c>
      <c r="B1477" s="22" t="s">
        <v>6546</v>
      </c>
      <c r="C1477" s="22" t="s">
        <v>6547</v>
      </c>
      <c r="D1477" s="22" t="s">
        <v>6548</v>
      </c>
      <c r="E1477" s="21"/>
      <c r="F1477" s="22" t="s">
        <v>2030</v>
      </c>
      <c r="G1477" s="28" t="s">
        <v>2012</v>
      </c>
      <c r="H1477" s="22" t="s">
        <v>2751</v>
      </c>
      <c r="I1477" s="21"/>
      <c r="J1477" s="22" t="s">
        <v>394</v>
      </c>
      <c r="K1477" s="22" t="s">
        <v>924</v>
      </c>
      <c r="L1477" s="21"/>
      <c r="M1477" s="22" t="s">
        <v>2014</v>
      </c>
      <c r="N1477" s="28" t="s">
        <v>2015</v>
      </c>
      <c r="O1477" s="28" t="s">
        <v>2016</v>
      </c>
      <c r="P1477" s="29">
        <v>276</v>
      </c>
      <c r="Q1477" s="28" t="s">
        <v>2017</v>
      </c>
      <c r="R1477" s="21"/>
      <c r="S1477" s="21"/>
      <c r="T1477" s="21"/>
      <c r="U1477" s="21"/>
      <c r="V1477" s="21"/>
      <c r="W1477" s="21"/>
      <c r="X1477" s="21"/>
    </row>
    <row r="1478" spans="1:24" ht="15.75" thickBot="1" x14ac:dyDescent="0.3">
      <c r="A1478" t="str">
        <f t="shared" si="23"/>
        <v>DT.68742642AA</v>
      </c>
      <c r="B1478" s="22" t="s">
        <v>6549</v>
      </c>
      <c r="C1478" s="22" t="s">
        <v>6550</v>
      </c>
      <c r="D1478" s="22" t="s">
        <v>6551</v>
      </c>
      <c r="E1478" s="21"/>
      <c r="F1478" s="22" t="s">
        <v>2030</v>
      </c>
      <c r="G1478" s="28" t="s">
        <v>2012</v>
      </c>
      <c r="H1478" s="22" t="s">
        <v>2751</v>
      </c>
      <c r="I1478" s="21"/>
      <c r="J1478" s="22" t="s">
        <v>394</v>
      </c>
      <c r="K1478" s="22" t="s">
        <v>924</v>
      </c>
      <c r="L1478" s="21"/>
      <c r="M1478" s="22" t="s">
        <v>2014</v>
      </c>
      <c r="N1478" s="28" t="s">
        <v>2015</v>
      </c>
      <c r="O1478" s="28" t="s">
        <v>2016</v>
      </c>
      <c r="P1478" s="29">
        <v>324</v>
      </c>
      <c r="Q1478" s="28" t="s">
        <v>2017</v>
      </c>
      <c r="R1478" s="21"/>
      <c r="S1478" s="21"/>
      <c r="T1478" s="21"/>
      <c r="U1478" s="21"/>
      <c r="V1478" s="21"/>
      <c r="W1478" s="21"/>
      <c r="X1478" s="21"/>
    </row>
    <row r="1479" spans="1:24" ht="15.75" thickBot="1" x14ac:dyDescent="0.3">
      <c r="A1479" t="str">
        <f t="shared" si="23"/>
        <v>DT.68756922AA</v>
      </c>
      <c r="B1479" s="22" t="s">
        <v>6552</v>
      </c>
      <c r="C1479" s="22" t="s">
        <v>6553</v>
      </c>
      <c r="D1479" s="22" t="s">
        <v>6519</v>
      </c>
      <c r="E1479" s="21"/>
      <c r="F1479" s="22" t="s">
        <v>2030</v>
      </c>
      <c r="G1479" s="28" t="s">
        <v>2012</v>
      </c>
      <c r="H1479" s="22" t="s">
        <v>2751</v>
      </c>
      <c r="I1479" s="21"/>
      <c r="J1479" s="22" t="s">
        <v>394</v>
      </c>
      <c r="K1479" s="22" t="s">
        <v>924</v>
      </c>
      <c r="L1479" s="21"/>
      <c r="M1479" s="22" t="s">
        <v>2014</v>
      </c>
      <c r="N1479" s="28" t="s">
        <v>2015</v>
      </c>
      <c r="O1479" s="28" t="s">
        <v>2016</v>
      </c>
      <c r="P1479" s="29">
        <v>43</v>
      </c>
      <c r="Q1479" s="28" t="s">
        <v>2017</v>
      </c>
      <c r="R1479" s="21"/>
      <c r="S1479" s="21"/>
      <c r="T1479" s="21"/>
      <c r="U1479" s="21"/>
      <c r="V1479" s="21"/>
      <c r="W1479" s="21"/>
      <c r="X1479" s="21"/>
    </row>
    <row r="1480" spans="1:24" ht="15.75" thickBot="1" x14ac:dyDescent="0.3">
      <c r="A1480" t="str">
        <f t="shared" si="23"/>
        <v>FC00ACA56922</v>
      </c>
      <c r="B1480" s="22" t="s">
        <v>6554</v>
      </c>
      <c r="C1480" s="22" t="s">
        <v>6518</v>
      </c>
      <c r="D1480" s="22" t="s">
        <v>6519</v>
      </c>
      <c r="E1480" s="21"/>
      <c r="F1480" s="22" t="s">
        <v>2030</v>
      </c>
      <c r="G1480" s="28" t="s">
        <v>5499</v>
      </c>
      <c r="H1480" s="22" t="s">
        <v>2751</v>
      </c>
      <c r="I1480" s="21"/>
      <c r="J1480" s="22" t="s">
        <v>394</v>
      </c>
      <c r="K1480" s="22" t="s">
        <v>924</v>
      </c>
      <c r="L1480" s="21"/>
      <c r="M1480" s="22" t="s">
        <v>2034</v>
      </c>
      <c r="N1480" s="28" t="s">
        <v>2015</v>
      </c>
      <c r="O1480" s="28" t="s">
        <v>2016</v>
      </c>
      <c r="P1480" s="29">
        <v>363</v>
      </c>
      <c r="Q1480" s="28" t="s">
        <v>2017</v>
      </c>
      <c r="R1480" s="21"/>
      <c r="S1480" s="21"/>
      <c r="T1480" s="21"/>
      <c r="U1480" s="21"/>
      <c r="V1480" s="21"/>
      <c r="W1480" s="21"/>
      <c r="X1480" s="21"/>
    </row>
    <row r="1481" spans="1:24" ht="15.75" thickBot="1" x14ac:dyDescent="0.3">
      <c r="A1481" t="str">
        <f t="shared" si="23"/>
        <v>GM85544313-103H</v>
      </c>
      <c r="B1481" s="22" t="s">
        <v>6555</v>
      </c>
      <c r="C1481" s="22" t="s">
        <v>6556</v>
      </c>
      <c r="D1481" s="22" t="s">
        <v>4669</v>
      </c>
      <c r="E1481" s="22" t="s">
        <v>4670</v>
      </c>
      <c r="F1481" s="22" t="s">
        <v>2026</v>
      </c>
      <c r="G1481" s="28" t="s">
        <v>5499</v>
      </c>
      <c r="H1481" s="22" t="s">
        <v>4671</v>
      </c>
      <c r="I1481" s="21"/>
      <c r="J1481" s="22" t="s">
        <v>404</v>
      </c>
      <c r="K1481" s="22" t="s">
        <v>262</v>
      </c>
      <c r="L1481" s="21"/>
      <c r="M1481" s="22" t="s">
        <v>2014</v>
      </c>
      <c r="N1481" s="28" t="s">
        <v>2015</v>
      </c>
      <c r="O1481" s="28" t="s">
        <v>2016</v>
      </c>
      <c r="P1481" s="29">
        <v>0</v>
      </c>
      <c r="Q1481" s="28" t="s">
        <v>2017</v>
      </c>
      <c r="R1481" s="21"/>
      <c r="S1481" s="21"/>
      <c r="T1481" s="21"/>
      <c r="U1481" s="21"/>
      <c r="V1481" s="21"/>
      <c r="W1481" s="21"/>
      <c r="X1481" s="21"/>
    </row>
    <row r="1482" spans="1:24" ht="15.75" thickBot="1" x14ac:dyDescent="0.3">
      <c r="A1482" t="str">
        <f t="shared" si="23"/>
        <v>GM85544315-103H</v>
      </c>
      <c r="B1482" s="22" t="s">
        <v>6557</v>
      </c>
      <c r="C1482" s="22" t="s">
        <v>6558</v>
      </c>
      <c r="D1482" s="22" t="s">
        <v>5176</v>
      </c>
      <c r="E1482" s="22" t="s">
        <v>4670</v>
      </c>
      <c r="F1482" s="22" t="s">
        <v>2026</v>
      </c>
      <c r="G1482" s="28" t="s">
        <v>5499</v>
      </c>
      <c r="H1482" s="22" t="s">
        <v>4671</v>
      </c>
      <c r="I1482" s="21"/>
      <c r="J1482" s="22" t="s">
        <v>404</v>
      </c>
      <c r="K1482" s="22" t="s">
        <v>262</v>
      </c>
      <c r="L1482" s="21"/>
      <c r="M1482" s="22" t="s">
        <v>2014</v>
      </c>
      <c r="N1482" s="28" t="s">
        <v>2015</v>
      </c>
      <c r="O1482" s="28" t="s">
        <v>2016</v>
      </c>
      <c r="P1482" s="29">
        <v>0</v>
      </c>
      <c r="Q1482" s="28" t="s">
        <v>2017</v>
      </c>
      <c r="R1482" s="21"/>
      <c r="S1482" s="21"/>
      <c r="T1482" s="21"/>
      <c r="U1482" s="21"/>
      <c r="V1482" s="21"/>
      <c r="W1482" s="21"/>
      <c r="X1482" s="21"/>
    </row>
    <row r="1483" spans="1:24" ht="15.75" thickBot="1" x14ac:dyDescent="0.3">
      <c r="A1483" t="str">
        <f t="shared" si="23"/>
        <v>HB3B 16L556 BA</v>
      </c>
      <c r="B1483" s="22" t="s">
        <v>6559</v>
      </c>
      <c r="C1483" s="22" t="s">
        <v>6560</v>
      </c>
      <c r="D1483" s="22" t="s">
        <v>6561</v>
      </c>
      <c r="E1483" s="21"/>
      <c r="F1483" s="22" t="s">
        <v>2030</v>
      </c>
      <c r="G1483" s="28" t="s">
        <v>2012</v>
      </c>
      <c r="H1483" s="22" t="s">
        <v>2080</v>
      </c>
      <c r="I1483" s="21"/>
      <c r="J1483" s="22" t="s">
        <v>494</v>
      </c>
      <c r="K1483" s="22" t="s">
        <v>262</v>
      </c>
      <c r="L1483" s="21"/>
      <c r="M1483" s="22" t="s">
        <v>2014</v>
      </c>
      <c r="N1483" s="28" t="s">
        <v>2015</v>
      </c>
      <c r="O1483" s="28" t="s">
        <v>2016</v>
      </c>
      <c r="P1483" s="29">
        <v>1952</v>
      </c>
      <c r="Q1483" s="28" t="s">
        <v>2017</v>
      </c>
      <c r="R1483" s="21"/>
      <c r="S1483" s="21"/>
      <c r="T1483" s="21"/>
      <c r="U1483" s="21"/>
      <c r="V1483" s="21"/>
      <c r="W1483" s="21"/>
      <c r="X1483" s="21"/>
    </row>
    <row r="1484" spans="1:24" ht="15.75" thickBot="1" x14ac:dyDescent="0.3">
      <c r="A1484" t="str">
        <f t="shared" si="23"/>
        <v>HB3B 16L557 BA</v>
      </c>
      <c r="B1484" s="22" t="s">
        <v>6562</v>
      </c>
      <c r="C1484" s="22" t="s">
        <v>6563</v>
      </c>
      <c r="D1484" s="22" t="s">
        <v>5483</v>
      </c>
      <c r="E1484" s="21"/>
      <c r="F1484" s="22" t="s">
        <v>2030</v>
      </c>
      <c r="G1484" s="28" t="s">
        <v>2012</v>
      </c>
      <c r="H1484" s="22" t="s">
        <v>2080</v>
      </c>
      <c r="I1484" s="21"/>
      <c r="J1484" s="22" t="s">
        <v>494</v>
      </c>
      <c r="K1484" s="22" t="s">
        <v>262</v>
      </c>
      <c r="L1484" s="21"/>
      <c r="M1484" s="22" t="s">
        <v>2014</v>
      </c>
      <c r="N1484" s="28" t="s">
        <v>2015</v>
      </c>
      <c r="O1484" s="28" t="s">
        <v>2016</v>
      </c>
      <c r="P1484" s="29">
        <v>2092</v>
      </c>
      <c r="Q1484" s="28" t="s">
        <v>2017</v>
      </c>
      <c r="R1484" s="40">
        <v>8965.7142857142899</v>
      </c>
      <c r="S1484" s="29">
        <v>15</v>
      </c>
      <c r="T1484" s="32">
        <v>0.23333333333299999</v>
      </c>
      <c r="U1484" s="32">
        <v>0</v>
      </c>
      <c r="V1484" s="40">
        <v>8965.7142857142899</v>
      </c>
      <c r="W1484" s="30"/>
      <c r="X1484" s="30"/>
    </row>
    <row r="1485" spans="1:24" ht="15.75" thickBot="1" x14ac:dyDescent="0.3">
      <c r="A1485" t="str">
        <f t="shared" si="23"/>
        <v>HB3B 2623942 AB3ZHE</v>
      </c>
      <c r="B1485" s="22" t="s">
        <v>6564</v>
      </c>
      <c r="C1485" s="22" t="s">
        <v>6565</v>
      </c>
      <c r="D1485" s="22" t="s">
        <v>6566</v>
      </c>
      <c r="E1485" s="22" t="s">
        <v>6567</v>
      </c>
      <c r="F1485" s="22" t="s">
        <v>2030</v>
      </c>
      <c r="G1485" s="28" t="s">
        <v>2012</v>
      </c>
      <c r="H1485" s="22" t="s">
        <v>6568</v>
      </c>
      <c r="I1485" s="21"/>
      <c r="J1485" s="22" t="s">
        <v>494</v>
      </c>
      <c r="K1485" s="22" t="s">
        <v>262</v>
      </c>
      <c r="L1485" s="21"/>
      <c r="M1485" s="22" t="s">
        <v>2014</v>
      </c>
      <c r="N1485" s="28" t="s">
        <v>2015</v>
      </c>
      <c r="O1485" s="28" t="s">
        <v>2016</v>
      </c>
      <c r="P1485" s="29">
        <v>0</v>
      </c>
      <c r="Q1485" s="28" t="s">
        <v>2017</v>
      </c>
      <c r="R1485" s="21"/>
      <c r="S1485" s="21"/>
      <c r="T1485" s="21"/>
      <c r="U1485" s="21"/>
      <c r="V1485" s="21"/>
      <c r="W1485" s="21"/>
      <c r="X1485" s="21"/>
    </row>
    <row r="1486" spans="1:24" ht="15.75" thickBot="1" x14ac:dyDescent="0.3">
      <c r="A1486" t="str">
        <f t="shared" si="23"/>
        <v>HB3B 2623943 AB3ZHE</v>
      </c>
      <c r="B1486" s="22" t="s">
        <v>6569</v>
      </c>
      <c r="C1486" s="22" t="s">
        <v>6570</v>
      </c>
      <c r="D1486" s="22" t="s">
        <v>6571</v>
      </c>
      <c r="E1486" s="22" t="s">
        <v>6567</v>
      </c>
      <c r="F1486" s="22" t="s">
        <v>2030</v>
      </c>
      <c r="G1486" s="28" t="s">
        <v>2012</v>
      </c>
      <c r="H1486" s="22" t="s">
        <v>6568</v>
      </c>
      <c r="I1486" s="21"/>
      <c r="J1486" s="22" t="s">
        <v>494</v>
      </c>
      <c r="K1486" s="22" t="s">
        <v>262</v>
      </c>
      <c r="L1486" s="21"/>
      <c r="M1486" s="22" t="s">
        <v>2014</v>
      </c>
      <c r="N1486" s="28" t="s">
        <v>2015</v>
      </c>
      <c r="O1486" s="28" t="s">
        <v>2016</v>
      </c>
      <c r="P1486" s="29">
        <v>0</v>
      </c>
      <c r="Q1486" s="28" t="s">
        <v>2017</v>
      </c>
      <c r="R1486" s="21"/>
      <c r="S1486" s="21"/>
      <c r="T1486" s="21"/>
      <c r="U1486" s="21"/>
      <c r="V1486" s="21"/>
      <c r="W1486" s="21"/>
      <c r="X1486" s="21"/>
    </row>
    <row r="1487" spans="1:24" ht="15.75" thickBot="1" x14ac:dyDescent="0.3">
      <c r="A1487" t="str">
        <f t="shared" si="23"/>
        <v>KB3B 10732 AC</v>
      </c>
      <c r="B1487" s="22" t="s">
        <v>6572</v>
      </c>
      <c r="C1487" s="22" t="s">
        <v>6573</v>
      </c>
      <c r="D1487" s="22" t="s">
        <v>6574</v>
      </c>
      <c r="E1487" s="22" t="s">
        <v>6575</v>
      </c>
      <c r="F1487" s="22" t="s">
        <v>6576</v>
      </c>
      <c r="G1487" s="28" t="s">
        <v>2012</v>
      </c>
      <c r="H1487" s="22" t="s">
        <v>5080</v>
      </c>
      <c r="I1487" s="21"/>
      <c r="J1487" s="22" t="s">
        <v>494</v>
      </c>
      <c r="K1487" s="22" t="s">
        <v>924</v>
      </c>
      <c r="L1487" s="21"/>
      <c r="M1487" s="22" t="s">
        <v>2014</v>
      </c>
      <c r="N1487" s="28" t="s">
        <v>2015</v>
      </c>
      <c r="O1487" s="28" t="s">
        <v>2016</v>
      </c>
      <c r="P1487" s="29">
        <v>0</v>
      </c>
      <c r="Q1487" s="28" t="s">
        <v>2017</v>
      </c>
      <c r="R1487" s="21"/>
      <c r="S1487" s="21"/>
      <c r="T1487" s="21"/>
      <c r="U1487" s="21"/>
      <c r="V1487" s="21"/>
      <c r="W1487" s="21"/>
      <c r="X1487" s="21"/>
    </row>
    <row r="1488" spans="1:24" ht="15.75" thickBot="1" x14ac:dyDescent="0.3">
      <c r="A1488" t="str">
        <f t="shared" si="23"/>
        <v>KB3B 16A598 AA</v>
      </c>
      <c r="B1488" s="22" t="s">
        <v>1876</v>
      </c>
      <c r="C1488" s="22" t="s">
        <v>6577</v>
      </c>
      <c r="D1488" s="22" t="s">
        <v>6578</v>
      </c>
      <c r="E1488" s="22" t="s">
        <v>6579</v>
      </c>
      <c r="F1488" s="22" t="s">
        <v>2030</v>
      </c>
      <c r="G1488" s="28" t="s">
        <v>2012</v>
      </c>
      <c r="H1488" s="22" t="s">
        <v>5080</v>
      </c>
      <c r="I1488" s="21"/>
      <c r="J1488" s="22" t="s">
        <v>494</v>
      </c>
      <c r="K1488" s="22" t="s">
        <v>924</v>
      </c>
      <c r="L1488" s="21"/>
      <c r="M1488" s="22" t="s">
        <v>2014</v>
      </c>
      <c r="N1488" s="28" t="s">
        <v>2015</v>
      </c>
      <c r="O1488" s="28" t="s">
        <v>2016</v>
      </c>
      <c r="P1488" s="29">
        <v>0</v>
      </c>
      <c r="Q1488" s="28" t="s">
        <v>2017</v>
      </c>
      <c r="R1488" s="21"/>
      <c r="S1488" s="21"/>
      <c r="T1488" s="21"/>
      <c r="U1488" s="21"/>
      <c r="V1488" s="21"/>
      <c r="W1488" s="21"/>
      <c r="X1488" s="21"/>
    </row>
    <row r="1489" spans="1:24" ht="15.75" thickBot="1" x14ac:dyDescent="0.3">
      <c r="A1489" t="str">
        <f t="shared" si="23"/>
        <v>KB3B 16A599 AA</v>
      </c>
      <c r="B1489" s="22" t="s">
        <v>1878</v>
      </c>
      <c r="C1489" s="22" t="s">
        <v>6580</v>
      </c>
      <c r="D1489" s="22" t="s">
        <v>6578</v>
      </c>
      <c r="E1489" s="22" t="s">
        <v>6581</v>
      </c>
      <c r="F1489" s="22" t="s">
        <v>2030</v>
      </c>
      <c r="G1489" s="28" t="s">
        <v>2012</v>
      </c>
      <c r="H1489" s="22" t="s">
        <v>5080</v>
      </c>
      <c r="I1489" s="21"/>
      <c r="J1489" s="22" t="s">
        <v>494</v>
      </c>
      <c r="K1489" s="22" t="s">
        <v>924</v>
      </c>
      <c r="L1489" s="21"/>
      <c r="M1489" s="22" t="s">
        <v>2014</v>
      </c>
      <c r="N1489" s="28" t="s">
        <v>2015</v>
      </c>
      <c r="O1489" s="28" t="s">
        <v>2016</v>
      </c>
      <c r="P1489" s="29">
        <v>0</v>
      </c>
      <c r="Q1489" s="28" t="s">
        <v>2017</v>
      </c>
      <c r="R1489" s="41">
        <v>0</v>
      </c>
      <c r="S1489" s="29">
        <v>4</v>
      </c>
      <c r="T1489" s="32">
        <v>6.2222222222000002E-2</v>
      </c>
      <c r="U1489" s="32">
        <v>0</v>
      </c>
      <c r="V1489" s="41">
        <v>0</v>
      </c>
      <c r="W1489" s="21"/>
      <c r="X1489" s="21"/>
    </row>
    <row r="1490" spans="1:24" ht="15.75" thickBot="1" x14ac:dyDescent="0.3">
      <c r="A1490" t="str">
        <f t="shared" si="23"/>
        <v>KB3B 16B144 AA</v>
      </c>
      <c r="B1490" s="22" t="s">
        <v>6582</v>
      </c>
      <c r="C1490" s="22" t="s">
        <v>6583</v>
      </c>
      <c r="D1490" s="22" t="s">
        <v>5078</v>
      </c>
      <c r="E1490" s="22" t="s">
        <v>6584</v>
      </c>
      <c r="F1490" s="22" t="s">
        <v>2030</v>
      </c>
      <c r="G1490" s="28" t="s">
        <v>2012</v>
      </c>
      <c r="H1490" s="22" t="s">
        <v>5080</v>
      </c>
      <c r="I1490" s="21"/>
      <c r="J1490" s="22" t="s">
        <v>494</v>
      </c>
      <c r="K1490" s="22" t="s">
        <v>924</v>
      </c>
      <c r="L1490" s="21"/>
      <c r="M1490" s="22" t="s">
        <v>2014</v>
      </c>
      <c r="N1490" s="28" t="s">
        <v>2015</v>
      </c>
      <c r="O1490" s="28" t="s">
        <v>2016</v>
      </c>
      <c r="P1490" s="29">
        <v>0</v>
      </c>
      <c r="Q1490" s="28" t="s">
        <v>2017</v>
      </c>
      <c r="R1490" s="21"/>
      <c r="S1490" s="21"/>
      <c r="T1490" s="21"/>
      <c r="U1490" s="21"/>
      <c r="V1490" s="21"/>
      <c r="W1490" s="21"/>
      <c r="X1490" s="21"/>
    </row>
    <row r="1491" spans="1:24" ht="15.75" thickBot="1" x14ac:dyDescent="0.3">
      <c r="A1491" t="str">
        <f t="shared" si="23"/>
        <v>KB3B 16B144 AB</v>
      </c>
      <c r="B1491" s="22" t="s">
        <v>1670</v>
      </c>
      <c r="C1491" s="22" t="s">
        <v>6585</v>
      </c>
      <c r="D1491" s="22" t="s">
        <v>5078</v>
      </c>
      <c r="E1491" s="22" t="s">
        <v>6584</v>
      </c>
      <c r="F1491" s="22" t="s">
        <v>2030</v>
      </c>
      <c r="G1491" s="28" t="s">
        <v>2012</v>
      </c>
      <c r="H1491" s="22" t="s">
        <v>5080</v>
      </c>
      <c r="I1491" s="21"/>
      <c r="J1491" s="22" t="s">
        <v>494</v>
      </c>
      <c r="K1491" s="22" t="s">
        <v>924</v>
      </c>
      <c r="L1491" s="21"/>
      <c r="M1491" s="22" t="s">
        <v>2014</v>
      </c>
      <c r="N1491" s="28" t="s">
        <v>2015</v>
      </c>
      <c r="O1491" s="28" t="s">
        <v>2016</v>
      </c>
      <c r="P1491" s="29">
        <v>0</v>
      </c>
      <c r="Q1491" s="28" t="s">
        <v>2017</v>
      </c>
      <c r="R1491" s="21"/>
      <c r="S1491" s="21"/>
      <c r="T1491" s="21"/>
      <c r="U1491" s="21"/>
      <c r="V1491" s="21"/>
      <c r="W1491" s="21"/>
      <c r="X1491" s="21"/>
    </row>
    <row r="1492" spans="1:24" ht="15.75" thickBot="1" x14ac:dyDescent="0.3">
      <c r="A1492" t="str">
        <f t="shared" si="23"/>
        <v>KB3B 16C117 AA</v>
      </c>
      <c r="B1492" s="22" t="s">
        <v>6586</v>
      </c>
      <c r="C1492" s="22" t="s">
        <v>6587</v>
      </c>
      <c r="D1492" s="22" t="s">
        <v>6588</v>
      </c>
      <c r="E1492" s="22" t="s">
        <v>6589</v>
      </c>
      <c r="F1492" s="22" t="s">
        <v>2030</v>
      </c>
      <c r="G1492" s="28" t="s">
        <v>2012</v>
      </c>
      <c r="H1492" s="22" t="s">
        <v>5080</v>
      </c>
      <c r="I1492" s="21"/>
      <c r="J1492" s="22" t="s">
        <v>494</v>
      </c>
      <c r="K1492" s="22" t="s">
        <v>924</v>
      </c>
      <c r="L1492" s="21"/>
      <c r="M1492" s="22" t="s">
        <v>2014</v>
      </c>
      <c r="N1492" s="28" t="s">
        <v>2015</v>
      </c>
      <c r="O1492" s="28" t="s">
        <v>2016</v>
      </c>
      <c r="P1492" s="29">
        <v>500</v>
      </c>
      <c r="Q1492" s="28" t="s">
        <v>2017</v>
      </c>
      <c r="R1492" s="21"/>
      <c r="S1492" s="21"/>
      <c r="T1492" s="21"/>
      <c r="U1492" s="21"/>
      <c r="V1492" s="21"/>
      <c r="W1492" s="21"/>
      <c r="X1492" s="21"/>
    </row>
    <row r="1493" spans="1:24" ht="15.75" thickBot="1" x14ac:dyDescent="0.3">
      <c r="A1493" t="str">
        <f t="shared" si="23"/>
        <v>KB3B 16E060 AE</v>
      </c>
      <c r="B1493" s="22" t="s">
        <v>6590</v>
      </c>
      <c r="C1493" s="22" t="s">
        <v>6591</v>
      </c>
      <c r="D1493" s="22" t="s">
        <v>6463</v>
      </c>
      <c r="E1493" s="21"/>
      <c r="F1493" s="22" t="s">
        <v>2030</v>
      </c>
      <c r="G1493" s="28" t="s">
        <v>2012</v>
      </c>
      <c r="H1493" s="22" t="s">
        <v>2080</v>
      </c>
      <c r="I1493" s="21"/>
      <c r="J1493" s="22" t="s">
        <v>494</v>
      </c>
      <c r="K1493" s="22" t="s">
        <v>924</v>
      </c>
      <c r="L1493" s="21"/>
      <c r="M1493" s="22" t="s">
        <v>2014</v>
      </c>
      <c r="N1493" s="28" t="s">
        <v>2015</v>
      </c>
      <c r="O1493" s="28" t="s">
        <v>2016</v>
      </c>
      <c r="P1493" s="29">
        <v>0</v>
      </c>
      <c r="Q1493" s="28" t="s">
        <v>2017</v>
      </c>
      <c r="R1493" s="21"/>
      <c r="S1493" s="21"/>
      <c r="T1493" s="21"/>
      <c r="U1493" s="21"/>
      <c r="V1493" s="21"/>
      <c r="W1493" s="21"/>
      <c r="X1493" s="21"/>
    </row>
    <row r="1494" spans="1:24" ht="15.75" thickBot="1" x14ac:dyDescent="0.3">
      <c r="A1494" t="str">
        <f t="shared" si="23"/>
        <v>KB3B 16E060 AF</v>
      </c>
      <c r="B1494" s="22" t="s">
        <v>6592</v>
      </c>
      <c r="C1494" s="22" t="s">
        <v>6593</v>
      </c>
      <c r="D1494" s="22" t="s">
        <v>6463</v>
      </c>
      <c r="E1494" s="21"/>
      <c r="F1494" s="22" t="s">
        <v>2030</v>
      </c>
      <c r="G1494" s="28" t="s">
        <v>2012</v>
      </c>
      <c r="H1494" s="22" t="s">
        <v>2080</v>
      </c>
      <c r="I1494" s="21"/>
      <c r="J1494" s="22" t="s">
        <v>494</v>
      </c>
      <c r="K1494" s="22" t="s">
        <v>924</v>
      </c>
      <c r="L1494" s="21"/>
      <c r="M1494" s="22" t="s">
        <v>2014</v>
      </c>
      <c r="N1494" s="28" t="s">
        <v>2015</v>
      </c>
      <c r="O1494" s="28" t="s">
        <v>2016</v>
      </c>
      <c r="P1494" s="29">
        <v>303</v>
      </c>
      <c r="Q1494" s="28" t="s">
        <v>2017</v>
      </c>
      <c r="R1494" s="40">
        <v>2164.2857142857101</v>
      </c>
      <c r="S1494" s="29">
        <v>9</v>
      </c>
      <c r="T1494" s="32">
        <v>0.14000000000000001</v>
      </c>
      <c r="U1494" s="32">
        <v>0</v>
      </c>
      <c r="V1494" s="40">
        <v>2164.2857142857101</v>
      </c>
      <c r="W1494" s="30"/>
      <c r="X1494" s="30"/>
    </row>
    <row r="1495" spans="1:24" ht="15.75" thickBot="1" x14ac:dyDescent="0.3">
      <c r="A1495" t="str">
        <f t="shared" si="23"/>
        <v>KB3B 16E061 AF</v>
      </c>
      <c r="B1495" s="22" t="s">
        <v>6594</v>
      </c>
      <c r="C1495" s="22" t="s">
        <v>6595</v>
      </c>
      <c r="D1495" s="22" t="s">
        <v>6596</v>
      </c>
      <c r="E1495" s="21"/>
      <c r="F1495" s="22" t="s">
        <v>2030</v>
      </c>
      <c r="G1495" s="28" t="s">
        <v>2012</v>
      </c>
      <c r="H1495" s="22" t="s">
        <v>2080</v>
      </c>
      <c r="I1495" s="21"/>
      <c r="J1495" s="22" t="s">
        <v>494</v>
      </c>
      <c r="K1495" s="22" t="s">
        <v>924</v>
      </c>
      <c r="L1495" s="21"/>
      <c r="M1495" s="22" t="s">
        <v>2014</v>
      </c>
      <c r="N1495" s="28" t="s">
        <v>2015</v>
      </c>
      <c r="O1495" s="28" t="s">
        <v>2016</v>
      </c>
      <c r="P1495" s="29">
        <v>10</v>
      </c>
      <c r="Q1495" s="28" t="s">
        <v>2017</v>
      </c>
      <c r="R1495" s="21"/>
      <c r="S1495" s="21"/>
      <c r="T1495" s="21"/>
      <c r="U1495" s="21"/>
      <c r="V1495" s="21"/>
      <c r="W1495" s="21"/>
      <c r="X1495" s="21"/>
    </row>
    <row r="1496" spans="1:24" ht="15.75" thickBot="1" x14ac:dyDescent="0.3">
      <c r="A1496" t="str">
        <f t="shared" si="23"/>
        <v>KB3B 16E061 AK</v>
      </c>
      <c r="B1496" s="22" t="s">
        <v>6597</v>
      </c>
      <c r="C1496" s="22" t="s">
        <v>6598</v>
      </c>
      <c r="D1496" s="22" t="s">
        <v>6596</v>
      </c>
      <c r="E1496" s="21"/>
      <c r="F1496" s="22" t="s">
        <v>2030</v>
      </c>
      <c r="G1496" s="28" t="s">
        <v>2012</v>
      </c>
      <c r="H1496" s="22" t="s">
        <v>2080</v>
      </c>
      <c r="I1496" s="21"/>
      <c r="J1496" s="22" t="s">
        <v>494</v>
      </c>
      <c r="K1496" s="22" t="s">
        <v>924</v>
      </c>
      <c r="L1496" s="21"/>
      <c r="M1496" s="22" t="s">
        <v>2014</v>
      </c>
      <c r="N1496" s="28" t="s">
        <v>2015</v>
      </c>
      <c r="O1496" s="28" t="s">
        <v>2016</v>
      </c>
      <c r="P1496" s="29">
        <v>131</v>
      </c>
      <c r="Q1496" s="28" t="s">
        <v>2017</v>
      </c>
      <c r="R1496" s="21"/>
      <c r="S1496" s="21"/>
      <c r="T1496" s="21"/>
      <c r="U1496" s="21"/>
      <c r="V1496" s="21"/>
      <c r="W1496" s="21"/>
      <c r="X1496" s="21"/>
    </row>
    <row r="1497" spans="1:24" ht="15.75" thickBot="1" x14ac:dyDescent="0.3">
      <c r="A1497" t="str">
        <f t="shared" si="23"/>
        <v>KB3B 16E214 AC</v>
      </c>
      <c r="B1497" s="22" t="s">
        <v>1972</v>
      </c>
      <c r="C1497" s="22" t="s">
        <v>6599</v>
      </c>
      <c r="D1497" s="22" t="s">
        <v>5390</v>
      </c>
      <c r="E1497" s="22" t="s">
        <v>6600</v>
      </c>
      <c r="F1497" s="22" t="s">
        <v>2030</v>
      </c>
      <c r="G1497" s="28" t="s">
        <v>2012</v>
      </c>
      <c r="H1497" s="22" t="s">
        <v>5080</v>
      </c>
      <c r="I1497" s="21"/>
      <c r="J1497" s="22" t="s">
        <v>494</v>
      </c>
      <c r="K1497" s="22" t="s">
        <v>924</v>
      </c>
      <c r="L1497" s="21"/>
      <c r="M1497" s="22" t="s">
        <v>2014</v>
      </c>
      <c r="N1497" s="28" t="s">
        <v>2015</v>
      </c>
      <c r="O1497" s="28" t="s">
        <v>2016</v>
      </c>
      <c r="P1497" s="29">
        <v>0</v>
      </c>
      <c r="Q1497" s="28" t="s">
        <v>2017</v>
      </c>
      <c r="R1497" s="21"/>
      <c r="S1497" s="21"/>
      <c r="T1497" s="21"/>
      <c r="U1497" s="21"/>
      <c r="V1497" s="21"/>
      <c r="W1497" s="21"/>
      <c r="X1497" s="21"/>
    </row>
    <row r="1498" spans="1:24" ht="15.75" thickBot="1" x14ac:dyDescent="0.3">
      <c r="A1498" t="str">
        <f t="shared" si="23"/>
        <v>KB3B 16L556 AB</v>
      </c>
      <c r="B1498" s="22" t="s">
        <v>6601</v>
      </c>
      <c r="C1498" s="22" t="s">
        <v>6602</v>
      </c>
      <c r="D1498" s="22" t="s">
        <v>2921</v>
      </c>
      <c r="E1498" s="21"/>
      <c r="F1498" s="22" t="s">
        <v>6603</v>
      </c>
      <c r="G1498" s="28" t="s">
        <v>2012</v>
      </c>
      <c r="H1498" s="22" t="s">
        <v>5080</v>
      </c>
      <c r="I1498" s="21"/>
      <c r="J1498" s="22" t="s">
        <v>494</v>
      </c>
      <c r="K1498" s="22" t="s">
        <v>262</v>
      </c>
      <c r="L1498" s="21"/>
      <c r="M1498" s="22" t="s">
        <v>2014</v>
      </c>
      <c r="N1498" s="28" t="s">
        <v>2015</v>
      </c>
      <c r="O1498" s="28" t="s">
        <v>2016</v>
      </c>
      <c r="P1498" s="29">
        <v>844</v>
      </c>
      <c r="Q1498" s="28" t="s">
        <v>2017</v>
      </c>
      <c r="R1498" s="21"/>
      <c r="S1498" s="21"/>
      <c r="T1498" s="21"/>
      <c r="U1498" s="21"/>
      <c r="V1498" s="21"/>
      <c r="W1498" s="21"/>
      <c r="X1498" s="21"/>
    </row>
    <row r="1499" spans="1:24" ht="15.75" thickBot="1" x14ac:dyDescent="0.3">
      <c r="A1499" t="str">
        <f t="shared" si="23"/>
        <v>KB3B 16L556 BA</v>
      </c>
      <c r="B1499" s="22" t="s">
        <v>6604</v>
      </c>
      <c r="C1499" s="22" t="s">
        <v>6605</v>
      </c>
      <c r="D1499" s="22" t="s">
        <v>6561</v>
      </c>
      <c r="E1499" s="21"/>
      <c r="F1499" s="22" t="s">
        <v>5484</v>
      </c>
      <c r="G1499" s="28" t="s">
        <v>2012</v>
      </c>
      <c r="H1499" s="22" t="s">
        <v>2080</v>
      </c>
      <c r="I1499" s="21"/>
      <c r="J1499" s="22" t="s">
        <v>494</v>
      </c>
      <c r="K1499" s="22" t="s">
        <v>262</v>
      </c>
      <c r="L1499" s="21"/>
      <c r="M1499" s="22" t="s">
        <v>2014</v>
      </c>
      <c r="N1499" s="28" t="s">
        <v>2015</v>
      </c>
      <c r="O1499" s="28" t="s">
        <v>2016</v>
      </c>
      <c r="P1499" s="29">
        <v>392</v>
      </c>
      <c r="Q1499" s="28" t="s">
        <v>2017</v>
      </c>
      <c r="R1499" s="21"/>
      <c r="S1499" s="21"/>
      <c r="T1499" s="21"/>
      <c r="U1499" s="21"/>
      <c r="V1499" s="21"/>
      <c r="W1499" s="21"/>
      <c r="X1499" s="21"/>
    </row>
    <row r="1500" spans="1:24" ht="15.75" thickBot="1" x14ac:dyDescent="0.3">
      <c r="A1500" t="str">
        <f t="shared" si="23"/>
        <v>KB3B 16L557 AB</v>
      </c>
      <c r="B1500" s="22" t="s">
        <v>6606</v>
      </c>
      <c r="C1500" s="22" t="s">
        <v>6607</v>
      </c>
      <c r="D1500" s="22" t="s">
        <v>2791</v>
      </c>
      <c r="E1500" s="21"/>
      <c r="F1500" s="22" t="s">
        <v>6603</v>
      </c>
      <c r="G1500" s="28" t="s">
        <v>2012</v>
      </c>
      <c r="H1500" s="22" t="s">
        <v>5080</v>
      </c>
      <c r="I1500" s="21"/>
      <c r="J1500" s="22" t="s">
        <v>494</v>
      </c>
      <c r="K1500" s="22" t="s">
        <v>262</v>
      </c>
      <c r="L1500" s="21"/>
      <c r="M1500" s="22" t="s">
        <v>2014</v>
      </c>
      <c r="N1500" s="28" t="s">
        <v>2015</v>
      </c>
      <c r="O1500" s="28" t="s">
        <v>2016</v>
      </c>
      <c r="P1500" s="29">
        <v>1583</v>
      </c>
      <c r="Q1500" s="28" t="s">
        <v>2017</v>
      </c>
      <c r="R1500" s="21"/>
      <c r="S1500" s="21"/>
      <c r="T1500" s="21"/>
      <c r="U1500" s="21"/>
      <c r="V1500" s="21"/>
      <c r="W1500" s="21"/>
      <c r="X1500" s="21"/>
    </row>
    <row r="1501" spans="1:24" ht="15.75" thickBot="1" x14ac:dyDescent="0.3">
      <c r="A1501" t="str">
        <f t="shared" si="23"/>
        <v>KB3B 16L560 AB</v>
      </c>
      <c r="B1501" s="22" t="s">
        <v>6608</v>
      </c>
      <c r="C1501" s="22" t="s">
        <v>6609</v>
      </c>
      <c r="D1501" s="22" t="s">
        <v>6610</v>
      </c>
      <c r="E1501" s="21"/>
      <c r="F1501" s="22" t="s">
        <v>6611</v>
      </c>
      <c r="G1501" s="28" t="s">
        <v>2012</v>
      </c>
      <c r="H1501" s="22" t="s">
        <v>2080</v>
      </c>
      <c r="I1501" s="21"/>
      <c r="J1501" s="22" t="s">
        <v>494</v>
      </c>
      <c r="K1501" s="22" t="s">
        <v>262</v>
      </c>
      <c r="L1501" s="21"/>
      <c r="M1501" s="22" t="s">
        <v>2014</v>
      </c>
      <c r="N1501" s="28" t="s">
        <v>2015</v>
      </c>
      <c r="O1501" s="28" t="s">
        <v>2016</v>
      </c>
      <c r="P1501" s="29">
        <v>575</v>
      </c>
      <c r="Q1501" s="28" t="s">
        <v>2017</v>
      </c>
      <c r="R1501" s="21"/>
      <c r="S1501" s="21"/>
      <c r="T1501" s="21"/>
      <c r="U1501" s="21"/>
      <c r="V1501" s="21"/>
      <c r="W1501" s="21"/>
      <c r="X1501" s="21"/>
    </row>
    <row r="1502" spans="1:24" ht="15.75" thickBot="1" x14ac:dyDescent="0.3">
      <c r="A1502" t="str">
        <f t="shared" si="23"/>
        <v>KB3B 17A386 AD</v>
      </c>
      <c r="B1502" s="22" t="s">
        <v>6612</v>
      </c>
      <c r="C1502" s="22" t="s">
        <v>6613</v>
      </c>
      <c r="D1502" s="22" t="s">
        <v>6614</v>
      </c>
      <c r="E1502" s="21"/>
      <c r="F1502" s="22" t="s">
        <v>3255</v>
      </c>
      <c r="G1502" s="28" t="s">
        <v>2012</v>
      </c>
      <c r="H1502" s="22" t="s">
        <v>2080</v>
      </c>
      <c r="I1502" s="21"/>
      <c r="J1502" s="22" t="s">
        <v>494</v>
      </c>
      <c r="K1502" s="22" t="s">
        <v>262</v>
      </c>
      <c r="L1502" s="21"/>
      <c r="M1502" s="22" t="s">
        <v>2014</v>
      </c>
      <c r="N1502" s="28" t="s">
        <v>2015</v>
      </c>
      <c r="O1502" s="28" t="s">
        <v>2016</v>
      </c>
      <c r="P1502" s="29">
        <v>336</v>
      </c>
      <c r="Q1502" s="28" t="s">
        <v>2017</v>
      </c>
      <c r="R1502" s="21"/>
      <c r="S1502" s="21"/>
      <c r="T1502" s="21"/>
      <c r="U1502" s="21"/>
      <c r="V1502" s="21"/>
      <c r="W1502" s="21"/>
      <c r="X1502" s="21"/>
    </row>
    <row r="1503" spans="1:24" ht="15.75" thickBot="1" x14ac:dyDescent="0.3">
      <c r="A1503" t="str">
        <f t="shared" si="23"/>
        <v>KB3B 17W997 AB</v>
      </c>
      <c r="B1503" s="22" t="s">
        <v>6615</v>
      </c>
      <c r="C1503" s="22" t="s">
        <v>6616</v>
      </c>
      <c r="D1503" s="22" t="s">
        <v>5773</v>
      </c>
      <c r="E1503" s="22" t="s">
        <v>5462</v>
      </c>
      <c r="F1503" s="22" t="s">
        <v>2030</v>
      </c>
      <c r="G1503" s="28" t="s">
        <v>2012</v>
      </c>
      <c r="H1503" s="22" t="s">
        <v>2080</v>
      </c>
      <c r="I1503" s="21"/>
      <c r="J1503" s="22" t="s">
        <v>494</v>
      </c>
      <c r="K1503" s="22" t="s">
        <v>924</v>
      </c>
      <c r="L1503" s="21"/>
      <c r="M1503" s="22" t="s">
        <v>2014</v>
      </c>
      <c r="N1503" s="28" t="s">
        <v>2015</v>
      </c>
      <c r="O1503" s="28" t="s">
        <v>2016</v>
      </c>
      <c r="P1503" s="29">
        <v>1199</v>
      </c>
      <c r="Q1503" s="28" t="s">
        <v>2017</v>
      </c>
      <c r="R1503" s="21"/>
      <c r="S1503" s="21"/>
      <c r="T1503" s="21"/>
      <c r="U1503" s="21"/>
      <c r="V1503" s="21"/>
      <c r="W1503" s="21"/>
      <c r="X1503" s="21"/>
    </row>
    <row r="1504" spans="1:24" ht="15.75" thickBot="1" x14ac:dyDescent="0.3">
      <c r="A1504" t="str">
        <f t="shared" si="23"/>
        <v>KB3B 2100170 AA</v>
      </c>
      <c r="B1504" s="22" t="s">
        <v>6617</v>
      </c>
      <c r="C1504" s="22" t="s">
        <v>6618</v>
      </c>
      <c r="D1504" s="22" t="s">
        <v>6619</v>
      </c>
      <c r="E1504" s="21"/>
      <c r="F1504" s="22" t="s">
        <v>2030</v>
      </c>
      <c r="G1504" s="28" t="s">
        <v>2012</v>
      </c>
      <c r="H1504" s="22" t="s">
        <v>2080</v>
      </c>
      <c r="I1504" s="21"/>
      <c r="J1504" s="22" t="s">
        <v>494</v>
      </c>
      <c r="K1504" s="22" t="s">
        <v>924</v>
      </c>
      <c r="L1504" s="21"/>
      <c r="M1504" s="22" t="s">
        <v>2014</v>
      </c>
      <c r="N1504" s="28" t="s">
        <v>2015</v>
      </c>
      <c r="O1504" s="28" t="s">
        <v>2016</v>
      </c>
      <c r="P1504" s="29">
        <v>327</v>
      </c>
      <c r="Q1504" s="28" t="s">
        <v>2017</v>
      </c>
      <c r="R1504" s="21"/>
      <c r="S1504" s="21"/>
      <c r="T1504" s="21"/>
      <c r="U1504" s="21"/>
      <c r="V1504" s="21"/>
      <c r="W1504" s="21"/>
      <c r="X1504" s="21"/>
    </row>
    <row r="1505" spans="1:24" ht="15.75" thickBot="1" x14ac:dyDescent="0.3">
      <c r="A1505" t="str">
        <f t="shared" si="23"/>
        <v>KB3B 2101514 AA</v>
      </c>
      <c r="B1505" s="22" t="s">
        <v>969</v>
      </c>
      <c r="C1505" s="22" t="s">
        <v>3635</v>
      </c>
      <c r="D1505" s="22" t="s">
        <v>3636</v>
      </c>
      <c r="E1505" s="21"/>
      <c r="F1505" s="22" t="s">
        <v>2030</v>
      </c>
      <c r="G1505" s="28" t="s">
        <v>2012</v>
      </c>
      <c r="H1505" s="22" t="s">
        <v>2080</v>
      </c>
      <c r="I1505" s="21"/>
      <c r="J1505" s="22" t="s">
        <v>494</v>
      </c>
      <c r="K1505" s="22" t="s">
        <v>924</v>
      </c>
      <c r="L1505" s="21"/>
      <c r="M1505" s="22" t="s">
        <v>2014</v>
      </c>
      <c r="N1505" s="28" t="s">
        <v>2015</v>
      </c>
      <c r="O1505" s="28" t="s">
        <v>2016</v>
      </c>
      <c r="P1505" s="29">
        <v>-250</v>
      </c>
      <c r="Q1505" s="28" t="s">
        <v>2017</v>
      </c>
      <c r="R1505" s="41">
        <v>-0.14023934181</v>
      </c>
      <c r="S1505" s="29">
        <v>114600</v>
      </c>
      <c r="T1505" s="32">
        <v>1782.6666666666699</v>
      </c>
      <c r="U1505" s="32">
        <v>0</v>
      </c>
      <c r="V1505" s="41">
        <v>0</v>
      </c>
      <c r="W1505" s="21"/>
      <c r="X1505" s="21"/>
    </row>
    <row r="1506" spans="1:24" ht="15.75" thickBot="1" x14ac:dyDescent="0.3">
      <c r="A1506" t="str">
        <f t="shared" si="23"/>
        <v>KB3B 21016A22 AA</v>
      </c>
      <c r="B1506" s="22" t="s">
        <v>6620</v>
      </c>
      <c r="C1506" s="22" t="s">
        <v>6621</v>
      </c>
      <c r="D1506" s="22" t="s">
        <v>6622</v>
      </c>
      <c r="E1506" s="21"/>
      <c r="F1506" s="22" t="s">
        <v>2030</v>
      </c>
      <c r="G1506" s="28" t="s">
        <v>2012</v>
      </c>
      <c r="H1506" s="22" t="s">
        <v>2080</v>
      </c>
      <c r="I1506" s="21"/>
      <c r="J1506" s="22" t="s">
        <v>494</v>
      </c>
      <c r="K1506" s="22" t="s">
        <v>924</v>
      </c>
      <c r="L1506" s="21"/>
      <c r="M1506" s="22" t="s">
        <v>2014</v>
      </c>
      <c r="N1506" s="28" t="s">
        <v>2015</v>
      </c>
      <c r="O1506" s="28" t="s">
        <v>2016</v>
      </c>
      <c r="P1506" s="29">
        <v>280</v>
      </c>
      <c r="Q1506" s="28" t="s">
        <v>2017</v>
      </c>
      <c r="R1506" s="21"/>
      <c r="S1506" s="21"/>
      <c r="T1506" s="21"/>
      <c r="U1506" s="21"/>
      <c r="V1506" s="21"/>
      <c r="W1506" s="21"/>
      <c r="X1506" s="21"/>
    </row>
    <row r="1507" spans="1:24" ht="15.75" thickBot="1" x14ac:dyDescent="0.3">
      <c r="A1507" t="str">
        <f t="shared" si="23"/>
        <v>KB3B 21016A23 AA</v>
      </c>
      <c r="B1507" s="22" t="s">
        <v>6623</v>
      </c>
      <c r="C1507" s="22" t="s">
        <v>6624</v>
      </c>
      <c r="D1507" s="22" t="s">
        <v>6625</v>
      </c>
      <c r="E1507" s="21"/>
      <c r="F1507" s="22" t="s">
        <v>2030</v>
      </c>
      <c r="G1507" s="28" t="s">
        <v>2012</v>
      </c>
      <c r="H1507" s="22" t="s">
        <v>2080</v>
      </c>
      <c r="I1507" s="21"/>
      <c r="J1507" s="22" t="s">
        <v>494</v>
      </c>
      <c r="K1507" s="22" t="s">
        <v>924</v>
      </c>
      <c r="L1507" s="21"/>
      <c r="M1507" s="22" t="s">
        <v>2014</v>
      </c>
      <c r="N1507" s="28" t="s">
        <v>2015</v>
      </c>
      <c r="O1507" s="28" t="s">
        <v>2016</v>
      </c>
      <c r="P1507" s="29">
        <v>100</v>
      </c>
      <c r="Q1507" s="28" t="s">
        <v>2017</v>
      </c>
      <c r="R1507" s="21"/>
      <c r="S1507" s="21"/>
      <c r="T1507" s="21"/>
      <c r="U1507" s="21"/>
      <c r="V1507" s="21"/>
      <c r="W1507" s="21"/>
      <c r="X1507" s="21"/>
    </row>
    <row r="1508" spans="1:24" ht="15.75" thickBot="1" x14ac:dyDescent="0.3">
      <c r="A1508" t="str">
        <f t="shared" si="23"/>
        <v>KB3B 21016C02 AA</v>
      </c>
      <c r="B1508" s="22" t="s">
        <v>971</v>
      </c>
      <c r="C1508" s="22" t="s">
        <v>5011</v>
      </c>
      <c r="D1508" s="22" t="s">
        <v>5012</v>
      </c>
      <c r="E1508" s="21"/>
      <c r="F1508" s="22" t="s">
        <v>2030</v>
      </c>
      <c r="G1508" s="28" t="s">
        <v>2012</v>
      </c>
      <c r="H1508" s="22" t="s">
        <v>2080</v>
      </c>
      <c r="I1508" s="21"/>
      <c r="J1508" s="22" t="s">
        <v>494</v>
      </c>
      <c r="K1508" s="22" t="s">
        <v>924</v>
      </c>
      <c r="L1508" s="21"/>
      <c r="M1508" s="22" t="s">
        <v>2014</v>
      </c>
      <c r="N1508" s="28" t="s">
        <v>2015</v>
      </c>
      <c r="O1508" s="28" t="s">
        <v>2016</v>
      </c>
      <c r="P1508" s="29">
        <v>0</v>
      </c>
      <c r="Q1508" s="28" t="s">
        <v>2017</v>
      </c>
      <c r="R1508" s="41">
        <v>0</v>
      </c>
      <c r="S1508" s="29">
        <v>30888</v>
      </c>
      <c r="T1508" s="32">
        <v>480.48</v>
      </c>
      <c r="U1508" s="32">
        <v>0</v>
      </c>
      <c r="V1508" s="41">
        <v>0</v>
      </c>
      <c r="W1508" s="21"/>
      <c r="X1508" s="21"/>
    </row>
    <row r="1509" spans="1:24" ht="15.75" thickBot="1" x14ac:dyDescent="0.3">
      <c r="A1509" t="str">
        <f t="shared" si="23"/>
        <v>KB3B 21017B56 BA</v>
      </c>
      <c r="B1509" s="22" t="s">
        <v>6626</v>
      </c>
      <c r="C1509" s="22" t="s">
        <v>6627</v>
      </c>
      <c r="D1509" s="22" t="s">
        <v>6628</v>
      </c>
      <c r="E1509" s="21"/>
      <c r="F1509" s="22" t="s">
        <v>2030</v>
      </c>
      <c r="G1509" s="28" t="s">
        <v>2012</v>
      </c>
      <c r="H1509" s="22" t="s">
        <v>2080</v>
      </c>
      <c r="I1509" s="21"/>
      <c r="J1509" s="22" t="s">
        <v>494</v>
      </c>
      <c r="K1509" s="22" t="s">
        <v>924</v>
      </c>
      <c r="L1509" s="21"/>
      <c r="M1509" s="22" t="s">
        <v>2014</v>
      </c>
      <c r="N1509" s="28" t="s">
        <v>2015</v>
      </c>
      <c r="O1509" s="28" t="s">
        <v>2016</v>
      </c>
      <c r="P1509" s="29">
        <v>1460</v>
      </c>
      <c r="Q1509" s="28" t="s">
        <v>2017</v>
      </c>
      <c r="R1509" s="21"/>
      <c r="S1509" s="21"/>
      <c r="T1509" s="21"/>
      <c r="U1509" s="21"/>
      <c r="V1509" s="21"/>
      <c r="W1509" s="21"/>
      <c r="X1509" s="21"/>
    </row>
    <row r="1510" spans="1:24" ht="15.75" thickBot="1" x14ac:dyDescent="0.3">
      <c r="A1510" t="str">
        <f t="shared" si="23"/>
        <v>KB3B 2102018 AB</v>
      </c>
      <c r="B1510" s="22" t="s">
        <v>6629</v>
      </c>
      <c r="C1510" s="22" t="s">
        <v>6630</v>
      </c>
      <c r="D1510" s="22" t="s">
        <v>6631</v>
      </c>
      <c r="E1510" s="21"/>
      <c r="F1510" s="22" t="s">
        <v>2030</v>
      </c>
      <c r="G1510" s="28" t="s">
        <v>2012</v>
      </c>
      <c r="H1510" s="22" t="s">
        <v>2080</v>
      </c>
      <c r="I1510" s="21"/>
      <c r="J1510" s="22" t="s">
        <v>494</v>
      </c>
      <c r="K1510" s="22" t="s">
        <v>924</v>
      </c>
      <c r="L1510" s="21"/>
      <c r="M1510" s="22" t="s">
        <v>2014</v>
      </c>
      <c r="N1510" s="28" t="s">
        <v>2015</v>
      </c>
      <c r="O1510" s="28" t="s">
        <v>2016</v>
      </c>
      <c r="P1510" s="29">
        <v>199</v>
      </c>
      <c r="Q1510" s="28" t="s">
        <v>2017</v>
      </c>
      <c r="R1510" s="40">
        <v>4264.2857142857101</v>
      </c>
      <c r="S1510" s="29">
        <v>3</v>
      </c>
      <c r="T1510" s="32">
        <v>4.6666666666000001E-2</v>
      </c>
      <c r="U1510" s="32">
        <v>0</v>
      </c>
      <c r="V1510" s="40">
        <v>4264.2857142857101</v>
      </c>
      <c r="W1510" s="30"/>
      <c r="X1510" s="30"/>
    </row>
    <row r="1511" spans="1:24" ht="15.75" thickBot="1" x14ac:dyDescent="0.3">
      <c r="A1511" t="str">
        <f t="shared" si="23"/>
        <v>KB3B 21020A99 AA</v>
      </c>
      <c r="B1511" s="22" t="s">
        <v>6632</v>
      </c>
      <c r="C1511" s="22" t="s">
        <v>6633</v>
      </c>
      <c r="D1511" s="22" t="s">
        <v>6634</v>
      </c>
      <c r="E1511" s="21"/>
      <c r="F1511" s="22" t="s">
        <v>2030</v>
      </c>
      <c r="G1511" s="28" t="s">
        <v>2012</v>
      </c>
      <c r="H1511" s="22" t="s">
        <v>2080</v>
      </c>
      <c r="I1511" s="21"/>
      <c r="J1511" s="22" t="s">
        <v>494</v>
      </c>
      <c r="K1511" s="22" t="s">
        <v>924</v>
      </c>
      <c r="L1511" s="21"/>
      <c r="M1511" s="22" t="s">
        <v>2014</v>
      </c>
      <c r="N1511" s="28" t="s">
        <v>2015</v>
      </c>
      <c r="O1511" s="28" t="s">
        <v>2016</v>
      </c>
      <c r="P1511" s="29">
        <v>1735</v>
      </c>
      <c r="Q1511" s="28" t="s">
        <v>2017</v>
      </c>
      <c r="R1511" s="21"/>
      <c r="S1511" s="21"/>
      <c r="T1511" s="21"/>
      <c r="U1511" s="21"/>
      <c r="V1511" s="21"/>
      <c r="W1511" s="21"/>
      <c r="X1511" s="21"/>
    </row>
    <row r="1512" spans="1:24" ht="15.75" thickBot="1" x14ac:dyDescent="0.3">
      <c r="A1512" t="str">
        <f t="shared" si="23"/>
        <v>KB3B 21021A40 AB</v>
      </c>
      <c r="B1512" s="22" t="s">
        <v>6635</v>
      </c>
      <c r="C1512" s="22" t="s">
        <v>6636</v>
      </c>
      <c r="D1512" s="22" t="s">
        <v>6637</v>
      </c>
      <c r="E1512" s="21"/>
      <c r="F1512" s="22" t="s">
        <v>2030</v>
      </c>
      <c r="G1512" s="28" t="s">
        <v>2012</v>
      </c>
      <c r="H1512" s="22" t="s">
        <v>2080</v>
      </c>
      <c r="I1512" s="21"/>
      <c r="J1512" s="22" t="s">
        <v>494</v>
      </c>
      <c r="K1512" s="22" t="s">
        <v>924</v>
      </c>
      <c r="L1512" s="21"/>
      <c r="M1512" s="22" t="s">
        <v>2014</v>
      </c>
      <c r="N1512" s="28" t="s">
        <v>2015</v>
      </c>
      <c r="O1512" s="28" t="s">
        <v>2016</v>
      </c>
      <c r="P1512" s="29">
        <v>130</v>
      </c>
      <c r="Q1512" s="28" t="s">
        <v>2017</v>
      </c>
      <c r="R1512" s="21"/>
      <c r="S1512" s="21"/>
      <c r="T1512" s="21"/>
      <c r="U1512" s="21"/>
      <c r="V1512" s="21"/>
      <c r="W1512" s="21"/>
      <c r="X1512" s="21"/>
    </row>
    <row r="1513" spans="1:24" ht="15.75" thickBot="1" x14ac:dyDescent="0.3">
      <c r="A1513" t="str">
        <f t="shared" si="23"/>
        <v>KB3B 2102222 AC</v>
      </c>
      <c r="B1513" s="22" t="s">
        <v>6638</v>
      </c>
      <c r="C1513" s="22" t="s">
        <v>6639</v>
      </c>
      <c r="D1513" s="22" t="s">
        <v>6640</v>
      </c>
      <c r="E1513" s="21"/>
      <c r="F1513" s="22" t="s">
        <v>6641</v>
      </c>
      <c r="G1513" s="28" t="s">
        <v>2012</v>
      </c>
      <c r="H1513" s="22" t="s">
        <v>2080</v>
      </c>
      <c r="I1513" s="21"/>
      <c r="J1513" s="22" t="s">
        <v>494</v>
      </c>
      <c r="K1513" s="22" t="s">
        <v>262</v>
      </c>
      <c r="L1513" s="21"/>
      <c r="M1513" s="22" t="s">
        <v>2014</v>
      </c>
      <c r="N1513" s="28" t="s">
        <v>2015</v>
      </c>
      <c r="O1513" s="28" t="s">
        <v>2016</v>
      </c>
      <c r="P1513" s="29">
        <v>86</v>
      </c>
      <c r="Q1513" s="28" t="s">
        <v>2017</v>
      </c>
      <c r="R1513" s="21"/>
      <c r="S1513" s="21"/>
      <c r="T1513" s="21"/>
      <c r="U1513" s="21"/>
      <c r="V1513" s="21"/>
      <c r="W1513" s="21"/>
      <c r="X1513" s="21"/>
    </row>
    <row r="1514" spans="1:24" ht="15.75" thickBot="1" x14ac:dyDescent="0.3">
      <c r="A1514" t="str">
        <f t="shared" si="23"/>
        <v>KB3B 2102222 AD</v>
      </c>
      <c r="B1514" s="22" t="s">
        <v>6642</v>
      </c>
      <c r="C1514" s="22" t="s">
        <v>6643</v>
      </c>
      <c r="D1514" s="22" t="s">
        <v>6640</v>
      </c>
      <c r="E1514" s="21"/>
      <c r="F1514" s="22" t="s">
        <v>6641</v>
      </c>
      <c r="G1514" s="28" t="s">
        <v>2012</v>
      </c>
      <c r="H1514" s="22" t="s">
        <v>2080</v>
      </c>
      <c r="I1514" s="21"/>
      <c r="J1514" s="22" t="s">
        <v>494</v>
      </c>
      <c r="K1514" s="22" t="s">
        <v>262</v>
      </c>
      <c r="L1514" s="21"/>
      <c r="M1514" s="22" t="s">
        <v>2014</v>
      </c>
      <c r="N1514" s="28" t="s">
        <v>2015</v>
      </c>
      <c r="O1514" s="28" t="s">
        <v>2016</v>
      </c>
      <c r="P1514" s="29">
        <v>601</v>
      </c>
      <c r="Q1514" s="28" t="s">
        <v>2017</v>
      </c>
      <c r="R1514" s="40">
        <v>3512.3376623376598</v>
      </c>
      <c r="S1514" s="29">
        <v>11</v>
      </c>
      <c r="T1514" s="32">
        <v>0.171111111111</v>
      </c>
      <c r="U1514" s="32">
        <v>0</v>
      </c>
      <c r="V1514" s="40">
        <v>3512.3376623376598</v>
      </c>
      <c r="W1514" s="30"/>
      <c r="X1514" s="30"/>
    </row>
    <row r="1515" spans="1:24" ht="15.75" thickBot="1" x14ac:dyDescent="0.3">
      <c r="A1515" t="str">
        <f t="shared" si="23"/>
        <v>KB3B 2102223 AD</v>
      </c>
      <c r="B1515" s="22" t="s">
        <v>6644</v>
      </c>
      <c r="C1515" s="22" t="s">
        <v>6645</v>
      </c>
      <c r="D1515" s="22" t="s">
        <v>5487</v>
      </c>
      <c r="E1515" s="21"/>
      <c r="F1515" s="22" t="s">
        <v>5488</v>
      </c>
      <c r="G1515" s="28" t="s">
        <v>2012</v>
      </c>
      <c r="H1515" s="22" t="s">
        <v>2080</v>
      </c>
      <c r="I1515" s="21"/>
      <c r="J1515" s="22" t="s">
        <v>494</v>
      </c>
      <c r="K1515" s="22" t="s">
        <v>262</v>
      </c>
      <c r="L1515" s="21"/>
      <c r="M1515" s="22" t="s">
        <v>2014</v>
      </c>
      <c r="N1515" s="28" t="s">
        <v>2015</v>
      </c>
      <c r="O1515" s="28" t="s">
        <v>2016</v>
      </c>
      <c r="P1515" s="29">
        <v>156</v>
      </c>
      <c r="Q1515" s="28" t="s">
        <v>2017</v>
      </c>
      <c r="R1515" s="21"/>
      <c r="S1515" s="21"/>
      <c r="T1515" s="21"/>
      <c r="U1515" s="21"/>
      <c r="V1515" s="21"/>
      <c r="W1515" s="21"/>
      <c r="X1515" s="21"/>
    </row>
    <row r="1516" spans="1:24" ht="15.75" thickBot="1" x14ac:dyDescent="0.3">
      <c r="A1516" t="str">
        <f t="shared" si="23"/>
        <v>KB3B 2102349 AC3ZHE</v>
      </c>
      <c r="B1516" s="22" t="s">
        <v>6646</v>
      </c>
      <c r="C1516" s="22" t="s">
        <v>6647</v>
      </c>
      <c r="D1516" s="22" t="s">
        <v>6648</v>
      </c>
      <c r="E1516" s="21"/>
      <c r="F1516" s="22" t="s">
        <v>6649</v>
      </c>
      <c r="G1516" s="28" t="s">
        <v>2012</v>
      </c>
      <c r="H1516" s="22" t="s">
        <v>2080</v>
      </c>
      <c r="I1516" s="21"/>
      <c r="J1516" s="22" t="s">
        <v>494</v>
      </c>
      <c r="K1516" s="22" t="s">
        <v>262</v>
      </c>
      <c r="L1516" s="21"/>
      <c r="M1516" s="22" t="s">
        <v>2014</v>
      </c>
      <c r="N1516" s="28" t="s">
        <v>2015</v>
      </c>
      <c r="O1516" s="28" t="s">
        <v>2016</v>
      </c>
      <c r="P1516" s="29">
        <v>11</v>
      </c>
      <c r="Q1516" s="28" t="s">
        <v>2017</v>
      </c>
      <c r="R1516" s="21"/>
      <c r="S1516" s="21"/>
      <c r="T1516" s="21"/>
      <c r="U1516" s="21"/>
      <c r="V1516" s="21"/>
      <c r="W1516" s="21"/>
      <c r="X1516" s="21"/>
    </row>
    <row r="1517" spans="1:24" ht="15.75" thickBot="1" x14ac:dyDescent="0.3">
      <c r="A1517" t="str">
        <f t="shared" si="23"/>
        <v>KB3B 2102349 AD3ZHE</v>
      </c>
      <c r="B1517" s="22" t="s">
        <v>6650</v>
      </c>
      <c r="C1517" s="22" t="s">
        <v>6651</v>
      </c>
      <c r="D1517" s="22" t="s">
        <v>6648</v>
      </c>
      <c r="E1517" s="21"/>
      <c r="F1517" s="22" t="s">
        <v>6649</v>
      </c>
      <c r="G1517" s="28" t="s">
        <v>2012</v>
      </c>
      <c r="H1517" s="22" t="s">
        <v>2080</v>
      </c>
      <c r="I1517" s="21"/>
      <c r="J1517" s="22" t="s">
        <v>494</v>
      </c>
      <c r="K1517" s="22" t="s">
        <v>262</v>
      </c>
      <c r="L1517" s="21"/>
      <c r="M1517" s="22" t="s">
        <v>2014</v>
      </c>
      <c r="N1517" s="28" t="s">
        <v>2015</v>
      </c>
      <c r="O1517" s="28" t="s">
        <v>2016</v>
      </c>
      <c r="P1517" s="29">
        <v>62</v>
      </c>
      <c r="Q1517" s="28" t="s">
        <v>2017</v>
      </c>
      <c r="R1517" s="21"/>
      <c r="S1517" s="21"/>
      <c r="T1517" s="21"/>
      <c r="U1517" s="21"/>
      <c r="V1517" s="21"/>
      <c r="W1517" s="21"/>
      <c r="X1517" s="21"/>
    </row>
    <row r="1518" spans="1:24" ht="15.75" thickBot="1" x14ac:dyDescent="0.3">
      <c r="A1518" t="str">
        <f t="shared" si="23"/>
        <v>KB3B 2102429 AA</v>
      </c>
      <c r="B1518" s="22" t="s">
        <v>6652</v>
      </c>
      <c r="C1518" s="22" t="s">
        <v>6653</v>
      </c>
      <c r="D1518" s="22" t="s">
        <v>6654</v>
      </c>
      <c r="E1518" s="21"/>
      <c r="F1518" s="22" t="s">
        <v>2030</v>
      </c>
      <c r="G1518" s="28" t="s">
        <v>2012</v>
      </c>
      <c r="H1518" s="22" t="s">
        <v>2080</v>
      </c>
      <c r="I1518" s="21"/>
      <c r="J1518" s="22" t="s">
        <v>494</v>
      </c>
      <c r="K1518" s="22" t="s">
        <v>924</v>
      </c>
      <c r="L1518" s="21"/>
      <c r="M1518" s="22" t="s">
        <v>2014</v>
      </c>
      <c r="N1518" s="28" t="s">
        <v>2015</v>
      </c>
      <c r="O1518" s="28" t="s">
        <v>2016</v>
      </c>
      <c r="P1518" s="29">
        <v>0</v>
      </c>
      <c r="Q1518" s="28" t="s">
        <v>2017</v>
      </c>
      <c r="R1518" s="21"/>
      <c r="S1518" s="21"/>
      <c r="T1518" s="21"/>
      <c r="U1518" s="21"/>
      <c r="V1518" s="21"/>
      <c r="W1518" s="21"/>
      <c r="X1518" s="21"/>
    </row>
    <row r="1519" spans="1:24" ht="15.75" thickBot="1" x14ac:dyDescent="0.3">
      <c r="A1519" t="str">
        <f t="shared" si="23"/>
        <v>KB3B 2102884 AA</v>
      </c>
      <c r="B1519" s="22" t="s">
        <v>6655</v>
      </c>
      <c r="C1519" s="22" t="s">
        <v>6656</v>
      </c>
      <c r="D1519" s="22" t="s">
        <v>6657</v>
      </c>
      <c r="E1519" s="21"/>
      <c r="F1519" s="22" t="s">
        <v>2030</v>
      </c>
      <c r="G1519" s="28" t="s">
        <v>2012</v>
      </c>
      <c r="H1519" s="22" t="s">
        <v>2080</v>
      </c>
      <c r="I1519" s="21"/>
      <c r="J1519" s="22" t="s">
        <v>494</v>
      </c>
      <c r="K1519" s="22" t="s">
        <v>924</v>
      </c>
      <c r="L1519" s="21"/>
      <c r="M1519" s="22" t="s">
        <v>2014</v>
      </c>
      <c r="N1519" s="28" t="s">
        <v>2015</v>
      </c>
      <c r="O1519" s="28" t="s">
        <v>2016</v>
      </c>
      <c r="P1519" s="29">
        <v>203</v>
      </c>
      <c r="Q1519" s="28" t="s">
        <v>2017</v>
      </c>
      <c r="R1519" s="21"/>
      <c r="S1519" s="21"/>
      <c r="T1519" s="21"/>
      <c r="U1519" s="21"/>
      <c r="V1519" s="21"/>
      <c r="W1519" s="21"/>
      <c r="X1519" s="21"/>
    </row>
    <row r="1520" spans="1:24" ht="15.75" thickBot="1" x14ac:dyDescent="0.3">
      <c r="A1520" t="str">
        <f t="shared" si="23"/>
        <v>KB3B 2102885 AA</v>
      </c>
      <c r="B1520" s="22" t="s">
        <v>6658</v>
      </c>
      <c r="C1520" s="22" t="s">
        <v>6659</v>
      </c>
      <c r="D1520" s="22" t="s">
        <v>6660</v>
      </c>
      <c r="E1520" s="21"/>
      <c r="F1520" s="22" t="s">
        <v>2030</v>
      </c>
      <c r="G1520" s="28" t="s">
        <v>2012</v>
      </c>
      <c r="H1520" s="22" t="s">
        <v>2080</v>
      </c>
      <c r="I1520" s="21"/>
      <c r="J1520" s="22" t="s">
        <v>494</v>
      </c>
      <c r="K1520" s="22" t="s">
        <v>924</v>
      </c>
      <c r="L1520" s="21"/>
      <c r="M1520" s="22" t="s">
        <v>2014</v>
      </c>
      <c r="N1520" s="28" t="s">
        <v>2015</v>
      </c>
      <c r="O1520" s="28" t="s">
        <v>2016</v>
      </c>
      <c r="P1520" s="29">
        <v>514</v>
      </c>
      <c r="Q1520" s="28" t="s">
        <v>2017</v>
      </c>
      <c r="R1520" s="40">
        <v>3304.2857142857101</v>
      </c>
      <c r="S1520" s="29">
        <v>10</v>
      </c>
      <c r="T1520" s="32">
        <v>0.155555555555</v>
      </c>
      <c r="U1520" s="32">
        <v>0</v>
      </c>
      <c r="V1520" s="40">
        <v>3304.2857142857101</v>
      </c>
      <c r="W1520" s="30"/>
      <c r="X1520" s="30"/>
    </row>
    <row r="1521" spans="1:24" ht="15.75" thickBot="1" x14ac:dyDescent="0.3">
      <c r="A1521" t="str">
        <f t="shared" si="23"/>
        <v>KB3B 2102885 AB</v>
      </c>
      <c r="B1521" s="22" t="s">
        <v>1905</v>
      </c>
      <c r="C1521" s="22" t="s">
        <v>6661</v>
      </c>
      <c r="D1521" s="22" t="s">
        <v>6662</v>
      </c>
      <c r="E1521" s="22" t="s">
        <v>6663</v>
      </c>
      <c r="F1521" s="22" t="s">
        <v>2030</v>
      </c>
      <c r="G1521" s="28" t="s">
        <v>2012</v>
      </c>
      <c r="H1521" s="22" t="s">
        <v>2080</v>
      </c>
      <c r="I1521" s="21"/>
      <c r="J1521" s="22" t="s">
        <v>494</v>
      </c>
      <c r="K1521" s="22" t="s">
        <v>924</v>
      </c>
      <c r="L1521" s="21"/>
      <c r="M1521" s="22" t="s">
        <v>2014</v>
      </c>
      <c r="N1521" s="28" t="s">
        <v>2015</v>
      </c>
      <c r="O1521" s="28" t="s">
        <v>2016</v>
      </c>
      <c r="P1521" s="29">
        <v>0</v>
      </c>
      <c r="Q1521" s="28" t="s">
        <v>2017</v>
      </c>
      <c r="R1521" s="41">
        <v>0</v>
      </c>
      <c r="S1521" s="29">
        <v>10</v>
      </c>
      <c r="T1521" s="32">
        <v>0.155555555555</v>
      </c>
      <c r="U1521" s="32">
        <v>0</v>
      </c>
      <c r="V1521" s="41">
        <v>0</v>
      </c>
      <c r="W1521" s="21"/>
      <c r="X1521" s="21"/>
    </row>
    <row r="1522" spans="1:24" ht="15.75" thickBot="1" x14ac:dyDescent="0.3">
      <c r="A1522" t="str">
        <f t="shared" si="23"/>
        <v>KB3B 2103512 AD31TB</v>
      </c>
      <c r="B1522" s="22" t="s">
        <v>6664</v>
      </c>
      <c r="C1522" s="22" t="s">
        <v>6665</v>
      </c>
      <c r="D1522" s="22" t="s">
        <v>6666</v>
      </c>
      <c r="E1522" s="21"/>
      <c r="F1522" s="22" t="s">
        <v>6667</v>
      </c>
      <c r="G1522" s="28" t="s">
        <v>2012</v>
      </c>
      <c r="H1522" s="22" t="s">
        <v>2080</v>
      </c>
      <c r="I1522" s="21"/>
      <c r="J1522" s="22" t="s">
        <v>494</v>
      </c>
      <c r="K1522" s="22" t="s">
        <v>262</v>
      </c>
      <c r="L1522" s="21"/>
      <c r="M1522" s="22" t="s">
        <v>2014</v>
      </c>
      <c r="N1522" s="28" t="s">
        <v>2015</v>
      </c>
      <c r="O1522" s="28" t="s">
        <v>2016</v>
      </c>
      <c r="P1522" s="29">
        <v>185</v>
      </c>
      <c r="Q1522" s="28" t="s">
        <v>2017</v>
      </c>
      <c r="R1522" s="21"/>
      <c r="S1522" s="21"/>
      <c r="T1522" s="21"/>
      <c r="U1522" s="21"/>
      <c r="V1522" s="21"/>
      <c r="W1522" s="21"/>
      <c r="X1522" s="21"/>
    </row>
    <row r="1523" spans="1:24" ht="15.75" thickBot="1" x14ac:dyDescent="0.3">
      <c r="A1523" t="str">
        <f t="shared" si="23"/>
        <v>KB3B 2103512 BD31TB</v>
      </c>
      <c r="B1523" s="22" t="s">
        <v>6668</v>
      </c>
      <c r="C1523" s="22" t="s">
        <v>6669</v>
      </c>
      <c r="D1523" s="22" t="s">
        <v>6666</v>
      </c>
      <c r="E1523" s="21"/>
      <c r="F1523" s="22" t="s">
        <v>6670</v>
      </c>
      <c r="G1523" s="28" t="s">
        <v>2012</v>
      </c>
      <c r="H1523" s="22" t="s">
        <v>2080</v>
      </c>
      <c r="I1523" s="21"/>
      <c r="J1523" s="22" t="s">
        <v>494</v>
      </c>
      <c r="K1523" s="22" t="s">
        <v>262</v>
      </c>
      <c r="L1523" s="21"/>
      <c r="M1523" s="22" t="s">
        <v>2014</v>
      </c>
      <c r="N1523" s="28" t="s">
        <v>2015</v>
      </c>
      <c r="O1523" s="28" t="s">
        <v>2016</v>
      </c>
      <c r="P1523" s="29">
        <v>737</v>
      </c>
      <c r="Q1523" s="28" t="s">
        <v>2017</v>
      </c>
      <c r="R1523" s="21"/>
      <c r="S1523" s="21"/>
      <c r="T1523" s="21"/>
      <c r="U1523" s="21"/>
      <c r="V1523" s="21"/>
      <c r="W1523" s="21"/>
      <c r="X1523" s="21"/>
    </row>
    <row r="1524" spans="1:24" ht="15.75" thickBot="1" x14ac:dyDescent="0.3">
      <c r="A1524" t="str">
        <f t="shared" si="23"/>
        <v>KB3B 2103513 AD31TB</v>
      </c>
      <c r="B1524" s="22" t="s">
        <v>6671</v>
      </c>
      <c r="C1524" s="22" t="s">
        <v>6672</v>
      </c>
      <c r="D1524" s="22" t="s">
        <v>6673</v>
      </c>
      <c r="E1524" s="21"/>
      <c r="F1524" s="22" t="s">
        <v>6674</v>
      </c>
      <c r="G1524" s="28" t="s">
        <v>2012</v>
      </c>
      <c r="H1524" s="22" t="s">
        <v>2080</v>
      </c>
      <c r="I1524" s="21"/>
      <c r="J1524" s="22" t="s">
        <v>494</v>
      </c>
      <c r="K1524" s="22" t="s">
        <v>262</v>
      </c>
      <c r="L1524" s="21"/>
      <c r="M1524" s="22" t="s">
        <v>2014</v>
      </c>
      <c r="N1524" s="28" t="s">
        <v>2015</v>
      </c>
      <c r="O1524" s="28" t="s">
        <v>2016</v>
      </c>
      <c r="P1524" s="29">
        <v>333</v>
      </c>
      <c r="Q1524" s="28" t="s">
        <v>2017</v>
      </c>
      <c r="R1524" s="40">
        <v>10703.5714285714</v>
      </c>
      <c r="S1524" s="29">
        <v>2</v>
      </c>
      <c r="T1524" s="32">
        <v>3.1111111111000001E-2</v>
      </c>
      <c r="U1524" s="32">
        <v>0</v>
      </c>
      <c r="V1524" s="40">
        <v>10703.5714285714</v>
      </c>
      <c r="W1524" s="30"/>
      <c r="X1524" s="30"/>
    </row>
    <row r="1525" spans="1:24" ht="15.75" thickBot="1" x14ac:dyDescent="0.3">
      <c r="A1525" t="str">
        <f t="shared" si="23"/>
        <v>KB3B 2103513 BD31TB</v>
      </c>
      <c r="B1525" s="22" t="s">
        <v>507</v>
      </c>
      <c r="C1525" s="22" t="s">
        <v>6675</v>
      </c>
      <c r="D1525" s="22" t="s">
        <v>6673</v>
      </c>
      <c r="E1525" s="21"/>
      <c r="F1525" s="22" t="s">
        <v>6676</v>
      </c>
      <c r="G1525" s="28" t="s">
        <v>2012</v>
      </c>
      <c r="H1525" s="22" t="s">
        <v>2080</v>
      </c>
      <c r="I1525" s="21"/>
      <c r="J1525" s="22" t="s">
        <v>494</v>
      </c>
      <c r="K1525" s="22" t="s">
        <v>262</v>
      </c>
      <c r="L1525" s="21"/>
      <c r="M1525" s="22" t="s">
        <v>2014</v>
      </c>
      <c r="N1525" s="28" t="s">
        <v>2015</v>
      </c>
      <c r="O1525" s="28" t="s">
        <v>2016</v>
      </c>
      <c r="P1525" s="29">
        <v>0</v>
      </c>
      <c r="Q1525" s="28" t="s">
        <v>2017</v>
      </c>
      <c r="R1525" s="21"/>
      <c r="S1525" s="21"/>
      <c r="T1525" s="21"/>
      <c r="U1525" s="21"/>
      <c r="V1525" s="21"/>
      <c r="W1525" s="21"/>
      <c r="X1525" s="21"/>
    </row>
    <row r="1526" spans="1:24" ht="15.75" thickBot="1" x14ac:dyDescent="0.3">
      <c r="A1526" t="str">
        <f t="shared" si="23"/>
        <v>KB3B 2110020 AG</v>
      </c>
      <c r="B1526" s="22" t="s">
        <v>6677</v>
      </c>
      <c r="C1526" s="22" t="s">
        <v>6678</v>
      </c>
      <c r="D1526" s="22" t="s">
        <v>6679</v>
      </c>
      <c r="E1526" s="22" t="s">
        <v>6680</v>
      </c>
      <c r="F1526" s="22" t="s">
        <v>2030</v>
      </c>
      <c r="G1526" s="28" t="s">
        <v>2012</v>
      </c>
      <c r="H1526" s="22" t="s">
        <v>2080</v>
      </c>
      <c r="I1526" s="21"/>
      <c r="J1526" s="22" t="s">
        <v>494</v>
      </c>
      <c r="K1526" s="22" t="s">
        <v>924</v>
      </c>
      <c r="L1526" s="21"/>
      <c r="M1526" s="22" t="s">
        <v>2014</v>
      </c>
      <c r="N1526" s="28" t="s">
        <v>2015</v>
      </c>
      <c r="O1526" s="28" t="s">
        <v>2016</v>
      </c>
      <c r="P1526" s="29">
        <v>0</v>
      </c>
      <c r="Q1526" s="28" t="s">
        <v>2017</v>
      </c>
      <c r="R1526" s="21"/>
      <c r="S1526" s="21"/>
      <c r="T1526" s="21"/>
      <c r="U1526" s="21"/>
      <c r="V1526" s="21"/>
      <c r="W1526" s="21"/>
      <c r="X1526" s="21"/>
    </row>
    <row r="1527" spans="1:24" ht="15.75" thickBot="1" x14ac:dyDescent="0.3">
      <c r="A1527" t="str">
        <f t="shared" si="23"/>
        <v>KB3B 2110110 AB</v>
      </c>
      <c r="B1527" s="22" t="s">
        <v>6681</v>
      </c>
      <c r="C1527" s="22" t="s">
        <v>6682</v>
      </c>
      <c r="D1527" s="22" t="s">
        <v>6683</v>
      </c>
      <c r="E1527" s="21"/>
      <c r="F1527" s="22" t="s">
        <v>2030</v>
      </c>
      <c r="G1527" s="28" t="s">
        <v>5499</v>
      </c>
      <c r="H1527" s="22" t="s">
        <v>2080</v>
      </c>
      <c r="I1527" s="21"/>
      <c r="J1527" s="22" t="s">
        <v>494</v>
      </c>
      <c r="K1527" s="22" t="s">
        <v>924</v>
      </c>
      <c r="L1527" s="21"/>
      <c r="M1527" s="22" t="s">
        <v>2014</v>
      </c>
      <c r="N1527" s="28" t="s">
        <v>2015</v>
      </c>
      <c r="O1527" s="28" t="s">
        <v>2016</v>
      </c>
      <c r="P1527" s="29">
        <v>0</v>
      </c>
      <c r="Q1527" s="28" t="s">
        <v>2017</v>
      </c>
      <c r="R1527" s="21"/>
      <c r="S1527" s="21"/>
      <c r="T1527" s="21"/>
      <c r="U1527" s="21"/>
      <c r="V1527" s="21"/>
      <c r="W1527" s="21"/>
      <c r="X1527" s="21"/>
    </row>
    <row r="1528" spans="1:24" ht="15.75" thickBot="1" x14ac:dyDescent="0.3">
      <c r="A1528" t="str">
        <f t="shared" si="23"/>
        <v>KB3B 2110111 AB</v>
      </c>
      <c r="B1528" s="22" t="s">
        <v>6684</v>
      </c>
      <c r="C1528" s="22" t="s">
        <v>6685</v>
      </c>
      <c r="D1528" s="22" t="s">
        <v>6686</v>
      </c>
      <c r="E1528" s="21"/>
      <c r="F1528" s="22" t="s">
        <v>2030</v>
      </c>
      <c r="G1528" s="28" t="s">
        <v>5499</v>
      </c>
      <c r="H1528" s="22" t="s">
        <v>2080</v>
      </c>
      <c r="I1528" s="21"/>
      <c r="J1528" s="22" t="s">
        <v>494</v>
      </c>
      <c r="K1528" s="22" t="s">
        <v>924</v>
      </c>
      <c r="L1528" s="21"/>
      <c r="M1528" s="22" t="s">
        <v>2014</v>
      </c>
      <c r="N1528" s="28" t="s">
        <v>2015</v>
      </c>
      <c r="O1528" s="28" t="s">
        <v>2016</v>
      </c>
      <c r="P1528" s="29">
        <v>0</v>
      </c>
      <c r="Q1528" s="28" t="s">
        <v>2017</v>
      </c>
      <c r="R1528" s="21"/>
      <c r="S1528" s="21"/>
      <c r="T1528" s="21"/>
      <c r="U1528" s="21"/>
      <c r="V1528" s="21"/>
      <c r="W1528" s="21"/>
      <c r="X1528" s="21"/>
    </row>
    <row r="1529" spans="1:24" ht="15.75" thickBot="1" x14ac:dyDescent="0.3">
      <c r="A1529" t="str">
        <f t="shared" si="23"/>
        <v>KB3B 2110111 AC</v>
      </c>
      <c r="B1529" s="22" t="s">
        <v>6687</v>
      </c>
      <c r="C1529" s="22" t="s">
        <v>6688</v>
      </c>
      <c r="D1529" s="22" t="s">
        <v>6686</v>
      </c>
      <c r="E1529" s="21"/>
      <c r="F1529" s="22" t="s">
        <v>2030</v>
      </c>
      <c r="G1529" s="28" t="s">
        <v>2012</v>
      </c>
      <c r="H1529" s="22" t="s">
        <v>2080</v>
      </c>
      <c r="I1529" s="21"/>
      <c r="J1529" s="22" t="s">
        <v>494</v>
      </c>
      <c r="K1529" s="22" t="s">
        <v>924</v>
      </c>
      <c r="L1529" s="21"/>
      <c r="M1529" s="22" t="s">
        <v>2014</v>
      </c>
      <c r="N1529" s="28" t="s">
        <v>2015</v>
      </c>
      <c r="O1529" s="28" t="s">
        <v>2016</v>
      </c>
      <c r="P1529" s="29">
        <v>44</v>
      </c>
      <c r="Q1529" s="28" t="s">
        <v>2017</v>
      </c>
      <c r="R1529" s="21"/>
      <c r="S1529" s="21"/>
      <c r="T1529" s="21"/>
      <c r="U1529" s="21"/>
      <c r="V1529" s="21"/>
      <c r="W1529" s="21"/>
      <c r="X1529" s="21"/>
    </row>
    <row r="1530" spans="1:24" ht="15.75" thickBot="1" x14ac:dyDescent="0.3">
      <c r="A1530" t="str">
        <f t="shared" si="23"/>
        <v>KB3B 2110128 AC</v>
      </c>
      <c r="B1530" s="22" t="s">
        <v>6689</v>
      </c>
      <c r="C1530" s="22" t="s">
        <v>6690</v>
      </c>
      <c r="D1530" s="22" t="s">
        <v>6691</v>
      </c>
      <c r="E1530" s="21"/>
      <c r="F1530" s="22" t="s">
        <v>2030</v>
      </c>
      <c r="G1530" s="28" t="s">
        <v>2012</v>
      </c>
      <c r="H1530" s="22" t="s">
        <v>2080</v>
      </c>
      <c r="I1530" s="21"/>
      <c r="J1530" s="22" t="s">
        <v>494</v>
      </c>
      <c r="K1530" s="22" t="s">
        <v>924</v>
      </c>
      <c r="L1530" s="21"/>
      <c r="M1530" s="22" t="s">
        <v>2014</v>
      </c>
      <c r="N1530" s="28" t="s">
        <v>2015</v>
      </c>
      <c r="O1530" s="28" t="s">
        <v>2016</v>
      </c>
      <c r="P1530" s="29">
        <v>56</v>
      </c>
      <c r="Q1530" s="28" t="s">
        <v>2017</v>
      </c>
      <c r="R1530" s="40">
        <v>1800</v>
      </c>
      <c r="S1530" s="29">
        <v>2</v>
      </c>
      <c r="T1530" s="32">
        <v>3.1111111111000001E-2</v>
      </c>
      <c r="U1530" s="32">
        <v>0</v>
      </c>
      <c r="V1530" s="40">
        <v>1800</v>
      </c>
      <c r="W1530" s="30"/>
      <c r="X1530" s="30"/>
    </row>
    <row r="1531" spans="1:24" ht="15.75" thickBot="1" x14ac:dyDescent="0.3">
      <c r="A1531" t="str">
        <f t="shared" si="23"/>
        <v>KB3B 2110129 AB</v>
      </c>
      <c r="B1531" s="22" t="s">
        <v>6692</v>
      </c>
      <c r="C1531" s="22" t="s">
        <v>6693</v>
      </c>
      <c r="D1531" s="22" t="s">
        <v>6694</v>
      </c>
      <c r="E1531" s="21"/>
      <c r="F1531" s="22" t="s">
        <v>2030</v>
      </c>
      <c r="G1531" s="28" t="s">
        <v>2012</v>
      </c>
      <c r="H1531" s="22" t="s">
        <v>2080</v>
      </c>
      <c r="I1531" s="21"/>
      <c r="J1531" s="22" t="s">
        <v>494</v>
      </c>
      <c r="K1531" s="22" t="s">
        <v>924</v>
      </c>
      <c r="L1531" s="21"/>
      <c r="M1531" s="22" t="s">
        <v>2014</v>
      </c>
      <c r="N1531" s="28" t="s">
        <v>2015</v>
      </c>
      <c r="O1531" s="28" t="s">
        <v>2016</v>
      </c>
      <c r="P1531" s="29">
        <v>95</v>
      </c>
      <c r="Q1531" s="28" t="s">
        <v>2017</v>
      </c>
      <c r="R1531" s="40">
        <v>3053.5714285714298</v>
      </c>
      <c r="S1531" s="29">
        <v>2</v>
      </c>
      <c r="T1531" s="32">
        <v>3.1111111111000001E-2</v>
      </c>
      <c r="U1531" s="32">
        <v>0</v>
      </c>
      <c r="V1531" s="40">
        <v>3053.5714285714298</v>
      </c>
      <c r="W1531" s="30"/>
      <c r="X1531" s="30"/>
    </row>
    <row r="1532" spans="1:24" ht="15.75" thickBot="1" x14ac:dyDescent="0.3">
      <c r="A1532" t="str">
        <f t="shared" si="23"/>
        <v>KB3B 2110608 AC</v>
      </c>
      <c r="B1532" s="22" t="s">
        <v>6695</v>
      </c>
      <c r="C1532" s="22" t="s">
        <v>6696</v>
      </c>
      <c r="D1532" s="22" t="s">
        <v>6697</v>
      </c>
      <c r="E1532" s="21"/>
      <c r="F1532" s="22" t="s">
        <v>6698</v>
      </c>
      <c r="G1532" s="28" t="s">
        <v>2012</v>
      </c>
      <c r="H1532" s="22" t="s">
        <v>2080</v>
      </c>
      <c r="I1532" s="21"/>
      <c r="J1532" s="22" t="s">
        <v>494</v>
      </c>
      <c r="K1532" s="22" t="s">
        <v>924</v>
      </c>
      <c r="L1532" s="21"/>
      <c r="M1532" s="22" t="s">
        <v>2014</v>
      </c>
      <c r="N1532" s="28" t="s">
        <v>2015</v>
      </c>
      <c r="O1532" s="28" t="s">
        <v>2016</v>
      </c>
      <c r="P1532" s="29">
        <v>318</v>
      </c>
      <c r="Q1532" s="28" t="s">
        <v>2017</v>
      </c>
      <c r="R1532" s="21"/>
      <c r="S1532" s="21"/>
      <c r="T1532" s="21"/>
      <c r="U1532" s="21"/>
      <c r="V1532" s="21"/>
      <c r="W1532" s="21"/>
      <c r="X1532" s="21"/>
    </row>
    <row r="1533" spans="1:24" ht="15.75" thickBot="1" x14ac:dyDescent="0.3">
      <c r="A1533" t="str">
        <f t="shared" si="23"/>
        <v>KB3B 2110610 AC</v>
      </c>
      <c r="B1533" s="22" t="s">
        <v>6699</v>
      </c>
      <c r="C1533" s="22" t="s">
        <v>6384</v>
      </c>
      <c r="D1533" s="22" t="s">
        <v>6700</v>
      </c>
      <c r="E1533" s="21"/>
      <c r="F1533" s="22" t="s">
        <v>2030</v>
      </c>
      <c r="G1533" s="28" t="s">
        <v>2012</v>
      </c>
      <c r="H1533" s="22" t="s">
        <v>2080</v>
      </c>
      <c r="I1533" s="21"/>
      <c r="J1533" s="22" t="s">
        <v>494</v>
      </c>
      <c r="K1533" s="22" t="s">
        <v>924</v>
      </c>
      <c r="L1533" s="21"/>
      <c r="M1533" s="22" t="s">
        <v>2014</v>
      </c>
      <c r="N1533" s="28" t="s">
        <v>2015</v>
      </c>
      <c r="O1533" s="28" t="s">
        <v>2016</v>
      </c>
      <c r="P1533" s="29">
        <v>36</v>
      </c>
      <c r="Q1533" s="28" t="s">
        <v>2017</v>
      </c>
      <c r="R1533" s="21"/>
      <c r="S1533" s="21"/>
      <c r="T1533" s="21"/>
      <c r="U1533" s="21"/>
      <c r="V1533" s="21"/>
      <c r="W1533" s="21"/>
      <c r="X1533" s="21"/>
    </row>
    <row r="1534" spans="1:24" ht="15.75" thickBot="1" x14ac:dyDescent="0.3">
      <c r="A1534" t="str">
        <f t="shared" si="23"/>
        <v>KB3B 2110662 AD</v>
      </c>
      <c r="B1534" s="22" t="s">
        <v>6701</v>
      </c>
      <c r="C1534" s="22" t="s">
        <v>6702</v>
      </c>
      <c r="D1534" s="22" t="s">
        <v>6703</v>
      </c>
      <c r="E1534" s="21"/>
      <c r="F1534" s="22" t="s">
        <v>2030</v>
      </c>
      <c r="G1534" s="28" t="s">
        <v>2012</v>
      </c>
      <c r="H1534" s="22" t="s">
        <v>2080</v>
      </c>
      <c r="I1534" s="21"/>
      <c r="J1534" s="22" t="s">
        <v>494</v>
      </c>
      <c r="K1534" s="22" t="s">
        <v>924</v>
      </c>
      <c r="L1534" s="21"/>
      <c r="M1534" s="22" t="s">
        <v>2014</v>
      </c>
      <c r="N1534" s="28" t="s">
        <v>2015</v>
      </c>
      <c r="O1534" s="28" t="s">
        <v>2016</v>
      </c>
      <c r="P1534" s="29">
        <v>45</v>
      </c>
      <c r="Q1534" s="28" t="s">
        <v>2017</v>
      </c>
      <c r="R1534" s="21"/>
      <c r="S1534" s="21"/>
      <c r="T1534" s="21"/>
      <c r="U1534" s="21"/>
      <c r="V1534" s="21"/>
      <c r="W1534" s="21"/>
      <c r="X1534" s="21"/>
    </row>
    <row r="1535" spans="1:24" ht="15.75" thickBot="1" x14ac:dyDescent="0.3">
      <c r="A1535" t="str">
        <f t="shared" si="23"/>
        <v>KB3B 2110663 AD</v>
      </c>
      <c r="B1535" s="22" t="s">
        <v>6704</v>
      </c>
      <c r="C1535" s="22" t="s">
        <v>6705</v>
      </c>
      <c r="D1535" s="22" t="s">
        <v>6703</v>
      </c>
      <c r="E1535" s="21"/>
      <c r="F1535" s="22" t="s">
        <v>2030</v>
      </c>
      <c r="G1535" s="28" t="s">
        <v>2012</v>
      </c>
      <c r="H1535" s="22" t="s">
        <v>2080</v>
      </c>
      <c r="I1535" s="21"/>
      <c r="J1535" s="22" t="s">
        <v>494</v>
      </c>
      <c r="K1535" s="22" t="s">
        <v>924</v>
      </c>
      <c r="L1535" s="21"/>
      <c r="M1535" s="22" t="s">
        <v>2014</v>
      </c>
      <c r="N1535" s="28" t="s">
        <v>2015</v>
      </c>
      <c r="O1535" s="28" t="s">
        <v>2016</v>
      </c>
      <c r="P1535" s="29">
        <v>170</v>
      </c>
      <c r="Q1535" s="28" t="s">
        <v>2017</v>
      </c>
      <c r="R1535" s="21"/>
      <c r="S1535" s="21"/>
      <c r="T1535" s="21"/>
      <c r="U1535" s="21"/>
      <c r="V1535" s="21"/>
      <c r="W1535" s="21"/>
      <c r="X1535" s="21"/>
    </row>
    <row r="1536" spans="1:24" ht="15.75" thickBot="1" x14ac:dyDescent="0.3">
      <c r="A1536" t="str">
        <f t="shared" si="23"/>
        <v>KB3B 2110680 AC</v>
      </c>
      <c r="B1536" s="22" t="s">
        <v>6706</v>
      </c>
      <c r="C1536" s="22" t="s">
        <v>6707</v>
      </c>
      <c r="D1536" s="22" t="s">
        <v>6708</v>
      </c>
      <c r="E1536" s="21"/>
      <c r="F1536" s="22" t="s">
        <v>2030</v>
      </c>
      <c r="G1536" s="28" t="s">
        <v>2012</v>
      </c>
      <c r="H1536" s="22" t="s">
        <v>2080</v>
      </c>
      <c r="I1536" s="21"/>
      <c r="J1536" s="22" t="s">
        <v>494</v>
      </c>
      <c r="K1536" s="22" t="s">
        <v>924</v>
      </c>
      <c r="L1536" s="21"/>
      <c r="M1536" s="22" t="s">
        <v>2014</v>
      </c>
      <c r="N1536" s="28" t="s">
        <v>2015</v>
      </c>
      <c r="O1536" s="28" t="s">
        <v>2016</v>
      </c>
      <c r="P1536" s="29">
        <v>195</v>
      </c>
      <c r="Q1536" s="28" t="s">
        <v>2017</v>
      </c>
      <c r="R1536" s="21"/>
      <c r="S1536" s="21"/>
      <c r="T1536" s="21"/>
      <c r="U1536" s="21"/>
      <c r="V1536" s="21"/>
      <c r="W1536" s="21"/>
      <c r="X1536" s="21"/>
    </row>
    <row r="1537" spans="1:24" ht="15.75" thickBot="1" x14ac:dyDescent="0.3">
      <c r="A1537" t="str">
        <f t="shared" si="23"/>
        <v>KB3B 2110692 AG</v>
      </c>
      <c r="B1537" s="22" t="s">
        <v>6709</v>
      </c>
      <c r="C1537" s="22" t="s">
        <v>6710</v>
      </c>
      <c r="D1537" s="22" t="s">
        <v>6711</v>
      </c>
      <c r="E1537" s="22" t="s">
        <v>6712</v>
      </c>
      <c r="F1537" s="22" t="s">
        <v>2030</v>
      </c>
      <c r="G1537" s="28" t="s">
        <v>2012</v>
      </c>
      <c r="H1537" s="22" t="s">
        <v>2080</v>
      </c>
      <c r="I1537" s="21"/>
      <c r="J1537" s="22" t="s">
        <v>494</v>
      </c>
      <c r="K1537" s="22" t="s">
        <v>924</v>
      </c>
      <c r="L1537" s="21"/>
      <c r="M1537" s="22" t="s">
        <v>2014</v>
      </c>
      <c r="N1537" s="28" t="s">
        <v>2015</v>
      </c>
      <c r="O1537" s="28" t="s">
        <v>2016</v>
      </c>
      <c r="P1537" s="29">
        <v>96</v>
      </c>
      <c r="Q1537" s="28" t="s">
        <v>2017</v>
      </c>
      <c r="R1537" s="21"/>
      <c r="S1537" s="21"/>
      <c r="T1537" s="21"/>
      <c r="U1537" s="21"/>
      <c r="V1537" s="21"/>
      <c r="W1537" s="21"/>
      <c r="X1537" s="21"/>
    </row>
    <row r="1538" spans="1:24" ht="15.75" thickBot="1" x14ac:dyDescent="0.3">
      <c r="A1538" t="str">
        <f t="shared" si="23"/>
        <v>KB3B 2110699 AA</v>
      </c>
      <c r="B1538" s="22" t="s">
        <v>6713</v>
      </c>
      <c r="C1538" s="22" t="s">
        <v>6714</v>
      </c>
      <c r="D1538" s="22" t="s">
        <v>6715</v>
      </c>
      <c r="E1538" s="21"/>
      <c r="F1538" s="22" t="s">
        <v>2030</v>
      </c>
      <c r="G1538" s="28" t="s">
        <v>2012</v>
      </c>
      <c r="H1538" s="22" t="s">
        <v>2080</v>
      </c>
      <c r="I1538" s="21"/>
      <c r="J1538" s="22" t="s">
        <v>494</v>
      </c>
      <c r="K1538" s="22" t="s">
        <v>924</v>
      </c>
      <c r="L1538" s="21"/>
      <c r="M1538" s="22" t="s">
        <v>2014</v>
      </c>
      <c r="N1538" s="28" t="s">
        <v>2015</v>
      </c>
      <c r="O1538" s="28" t="s">
        <v>2016</v>
      </c>
      <c r="P1538" s="29">
        <v>332</v>
      </c>
      <c r="Q1538" s="28" t="s">
        <v>2017</v>
      </c>
      <c r="R1538" s="21"/>
      <c r="S1538" s="21"/>
      <c r="T1538" s="21"/>
      <c r="U1538" s="21"/>
      <c r="V1538" s="21"/>
      <c r="W1538" s="21"/>
      <c r="X1538" s="21"/>
    </row>
    <row r="1539" spans="1:24" ht="15.75" thickBot="1" x14ac:dyDescent="0.3">
      <c r="A1539" t="str">
        <f t="shared" si="23"/>
        <v>KB3B 21106B46 AB</v>
      </c>
      <c r="B1539" s="22" t="s">
        <v>6716</v>
      </c>
      <c r="C1539" s="22" t="s">
        <v>6717</v>
      </c>
      <c r="D1539" s="22" t="s">
        <v>6718</v>
      </c>
      <c r="E1539" s="21"/>
      <c r="F1539" s="22" t="s">
        <v>2030</v>
      </c>
      <c r="G1539" s="28" t="s">
        <v>2012</v>
      </c>
      <c r="H1539" s="22" t="s">
        <v>2080</v>
      </c>
      <c r="I1539" s="21"/>
      <c r="J1539" s="22" t="s">
        <v>494</v>
      </c>
      <c r="K1539" s="22" t="s">
        <v>924</v>
      </c>
      <c r="L1539" s="21"/>
      <c r="M1539" s="22" t="s">
        <v>2014</v>
      </c>
      <c r="N1539" s="28" t="s">
        <v>2015</v>
      </c>
      <c r="O1539" s="28" t="s">
        <v>2016</v>
      </c>
      <c r="P1539" s="29">
        <v>0</v>
      </c>
      <c r="Q1539" s="28" t="s">
        <v>2017</v>
      </c>
      <c r="R1539" s="21"/>
      <c r="S1539" s="21"/>
      <c r="T1539" s="21"/>
      <c r="U1539" s="21"/>
      <c r="V1539" s="21"/>
      <c r="W1539" s="21"/>
      <c r="X1539" s="21"/>
    </row>
    <row r="1540" spans="1:24" ht="15.75" thickBot="1" x14ac:dyDescent="0.3">
      <c r="A1540" t="str">
        <f t="shared" si="23"/>
        <v>KB3B 2110780 AC</v>
      </c>
      <c r="B1540" s="22" t="s">
        <v>6719</v>
      </c>
      <c r="C1540" s="22" t="s">
        <v>6720</v>
      </c>
      <c r="D1540" s="22" t="s">
        <v>6721</v>
      </c>
      <c r="E1540" s="21"/>
      <c r="F1540" s="22" t="s">
        <v>2030</v>
      </c>
      <c r="G1540" s="28" t="s">
        <v>2012</v>
      </c>
      <c r="H1540" s="22" t="s">
        <v>2080</v>
      </c>
      <c r="I1540" s="21"/>
      <c r="J1540" s="22" t="s">
        <v>494</v>
      </c>
      <c r="K1540" s="22" t="s">
        <v>924</v>
      </c>
      <c r="L1540" s="21"/>
      <c r="M1540" s="22" t="s">
        <v>2014</v>
      </c>
      <c r="N1540" s="28" t="s">
        <v>2015</v>
      </c>
      <c r="O1540" s="28" t="s">
        <v>2016</v>
      </c>
      <c r="P1540" s="29">
        <v>16</v>
      </c>
      <c r="Q1540" s="28" t="s">
        <v>2017</v>
      </c>
      <c r="R1540" s="21"/>
      <c r="S1540" s="21"/>
      <c r="T1540" s="21"/>
      <c r="U1540" s="21"/>
      <c r="V1540" s="21"/>
      <c r="W1540" s="21"/>
      <c r="X1540" s="21"/>
    </row>
    <row r="1541" spans="1:24" ht="15.75" thickBot="1" x14ac:dyDescent="0.3">
      <c r="A1541" t="str">
        <f t="shared" ref="A1541:A1604" si="24">TRIM(B1541)</f>
        <v>KB3B 21107A22 AA</v>
      </c>
      <c r="B1541" s="22" t="s">
        <v>6722</v>
      </c>
      <c r="C1541" s="22" t="s">
        <v>6723</v>
      </c>
      <c r="D1541" s="22" t="s">
        <v>6724</v>
      </c>
      <c r="E1541" s="21"/>
      <c r="F1541" s="22" t="s">
        <v>2030</v>
      </c>
      <c r="G1541" s="28" t="s">
        <v>2012</v>
      </c>
      <c r="H1541" s="22" t="s">
        <v>2080</v>
      </c>
      <c r="I1541" s="21"/>
      <c r="J1541" s="22" t="s">
        <v>494</v>
      </c>
      <c r="K1541" s="22" t="s">
        <v>924</v>
      </c>
      <c r="L1541" s="21"/>
      <c r="M1541" s="22" t="s">
        <v>2014</v>
      </c>
      <c r="N1541" s="28" t="s">
        <v>2015</v>
      </c>
      <c r="O1541" s="28" t="s">
        <v>2016</v>
      </c>
      <c r="P1541" s="29">
        <v>41</v>
      </c>
      <c r="Q1541" s="28" t="s">
        <v>2017</v>
      </c>
      <c r="R1541" s="21"/>
      <c r="S1541" s="21"/>
      <c r="T1541" s="21"/>
      <c r="U1541" s="21"/>
      <c r="V1541" s="21"/>
      <c r="W1541" s="21"/>
      <c r="X1541" s="21"/>
    </row>
    <row r="1542" spans="1:24" ht="15.75" thickBot="1" x14ac:dyDescent="0.3">
      <c r="A1542" t="str">
        <f t="shared" si="24"/>
        <v>KB3B 2110940 AC</v>
      </c>
      <c r="B1542" s="22" t="s">
        <v>6725</v>
      </c>
      <c r="C1542" s="22" t="s">
        <v>6726</v>
      </c>
      <c r="D1542" s="22" t="s">
        <v>6727</v>
      </c>
      <c r="E1542" s="21"/>
      <c r="F1542" s="22" t="s">
        <v>2030</v>
      </c>
      <c r="G1542" s="28" t="s">
        <v>2012</v>
      </c>
      <c r="H1542" s="22" t="s">
        <v>2080</v>
      </c>
      <c r="I1542" s="21"/>
      <c r="J1542" s="22" t="s">
        <v>494</v>
      </c>
      <c r="K1542" s="22" t="s">
        <v>924</v>
      </c>
      <c r="L1542" s="21"/>
      <c r="M1542" s="22" t="s">
        <v>2014</v>
      </c>
      <c r="N1542" s="28" t="s">
        <v>2015</v>
      </c>
      <c r="O1542" s="28" t="s">
        <v>2016</v>
      </c>
      <c r="P1542" s="29">
        <v>138</v>
      </c>
      <c r="Q1542" s="28" t="s">
        <v>2017</v>
      </c>
      <c r="R1542" s="21"/>
      <c r="S1542" s="21"/>
      <c r="T1542" s="21"/>
      <c r="U1542" s="21"/>
      <c r="V1542" s="21"/>
      <c r="W1542" s="21"/>
      <c r="X1542" s="21"/>
    </row>
    <row r="1543" spans="1:24" ht="15.75" thickBot="1" x14ac:dyDescent="0.3">
      <c r="A1543" t="str">
        <f t="shared" si="24"/>
        <v>KB3B 21111K48 AD</v>
      </c>
      <c r="B1543" s="22" t="s">
        <v>6728</v>
      </c>
      <c r="C1543" s="22" t="s">
        <v>6729</v>
      </c>
      <c r="D1543" s="22" t="s">
        <v>6730</v>
      </c>
      <c r="E1543" s="22" t="s">
        <v>6731</v>
      </c>
      <c r="F1543" s="22" t="s">
        <v>2030</v>
      </c>
      <c r="G1543" s="28" t="s">
        <v>5499</v>
      </c>
      <c r="H1543" s="22" t="s">
        <v>2080</v>
      </c>
      <c r="I1543" s="21"/>
      <c r="J1543" s="22" t="s">
        <v>494</v>
      </c>
      <c r="K1543" s="22" t="s">
        <v>924</v>
      </c>
      <c r="L1543" s="21"/>
      <c r="M1543" s="22" t="s">
        <v>2014</v>
      </c>
      <c r="N1543" s="28" t="s">
        <v>2015</v>
      </c>
      <c r="O1543" s="28" t="s">
        <v>2016</v>
      </c>
      <c r="P1543" s="29">
        <v>71</v>
      </c>
      <c r="Q1543" s="28" t="s">
        <v>2017</v>
      </c>
      <c r="R1543" s="21"/>
      <c r="S1543" s="21"/>
      <c r="T1543" s="21"/>
      <c r="U1543" s="21"/>
      <c r="V1543" s="21"/>
      <c r="W1543" s="21"/>
      <c r="X1543" s="21"/>
    </row>
    <row r="1544" spans="1:24" ht="15.75" thickBot="1" x14ac:dyDescent="0.3">
      <c r="A1544" t="str">
        <f t="shared" si="24"/>
        <v>KB3B 2111434 AB</v>
      </c>
      <c r="B1544" s="22" t="s">
        <v>6732</v>
      </c>
      <c r="C1544" s="22" t="s">
        <v>6733</v>
      </c>
      <c r="D1544" s="22" t="s">
        <v>6734</v>
      </c>
      <c r="E1544" s="21"/>
      <c r="F1544" s="22" t="s">
        <v>6735</v>
      </c>
      <c r="G1544" s="28" t="s">
        <v>2012</v>
      </c>
      <c r="H1544" s="22" t="s">
        <v>2080</v>
      </c>
      <c r="I1544" s="21"/>
      <c r="J1544" s="22" t="s">
        <v>494</v>
      </c>
      <c r="K1544" s="22" t="s">
        <v>924</v>
      </c>
      <c r="L1544" s="21"/>
      <c r="M1544" s="22" t="s">
        <v>2014</v>
      </c>
      <c r="N1544" s="28" t="s">
        <v>2015</v>
      </c>
      <c r="O1544" s="28" t="s">
        <v>2016</v>
      </c>
      <c r="P1544" s="29">
        <v>900</v>
      </c>
      <c r="Q1544" s="28" t="s">
        <v>2017</v>
      </c>
      <c r="R1544" s="21"/>
      <c r="S1544" s="21"/>
      <c r="T1544" s="21"/>
      <c r="U1544" s="21"/>
      <c r="V1544" s="21"/>
      <c r="W1544" s="21"/>
      <c r="X1544" s="21"/>
    </row>
    <row r="1545" spans="1:24" ht="15.75" thickBot="1" x14ac:dyDescent="0.3">
      <c r="A1545" t="str">
        <f t="shared" si="24"/>
        <v>KB3B 2111442 AB</v>
      </c>
      <c r="B1545" s="22" t="s">
        <v>6736</v>
      </c>
      <c r="C1545" s="22" t="s">
        <v>6737</v>
      </c>
      <c r="D1545" s="22" t="s">
        <v>6738</v>
      </c>
      <c r="E1545" s="21"/>
      <c r="F1545" s="22" t="s">
        <v>6739</v>
      </c>
      <c r="G1545" s="28" t="s">
        <v>2012</v>
      </c>
      <c r="H1545" s="22" t="s">
        <v>2080</v>
      </c>
      <c r="I1545" s="21"/>
      <c r="J1545" s="22" t="s">
        <v>494</v>
      </c>
      <c r="K1545" s="22" t="s">
        <v>924</v>
      </c>
      <c r="L1545" s="21"/>
      <c r="M1545" s="22" t="s">
        <v>2014</v>
      </c>
      <c r="N1545" s="28" t="s">
        <v>2015</v>
      </c>
      <c r="O1545" s="28" t="s">
        <v>2016</v>
      </c>
      <c r="P1545" s="29">
        <v>190</v>
      </c>
      <c r="Q1545" s="28" t="s">
        <v>2017</v>
      </c>
      <c r="R1545" s="21"/>
      <c r="S1545" s="21"/>
      <c r="T1545" s="21"/>
      <c r="U1545" s="21"/>
      <c r="V1545" s="21"/>
      <c r="W1545" s="21"/>
      <c r="X1545" s="21"/>
    </row>
    <row r="1546" spans="1:24" ht="15.75" thickBot="1" x14ac:dyDescent="0.3">
      <c r="A1546" t="str">
        <f t="shared" si="24"/>
        <v>KB3B 2113200 AD3ZHE</v>
      </c>
      <c r="B1546" s="22" t="s">
        <v>6740</v>
      </c>
      <c r="C1546" s="22" t="s">
        <v>6741</v>
      </c>
      <c r="D1546" s="22" t="s">
        <v>6742</v>
      </c>
      <c r="E1546" s="21"/>
      <c r="F1546" s="22" t="s">
        <v>2030</v>
      </c>
      <c r="G1546" s="28" t="s">
        <v>2012</v>
      </c>
      <c r="H1546" s="22" t="s">
        <v>2080</v>
      </c>
      <c r="I1546" s="21"/>
      <c r="J1546" s="22" t="s">
        <v>494</v>
      </c>
      <c r="K1546" s="22" t="s">
        <v>262</v>
      </c>
      <c r="L1546" s="21"/>
      <c r="M1546" s="22" t="s">
        <v>2014</v>
      </c>
      <c r="N1546" s="28" t="s">
        <v>2015</v>
      </c>
      <c r="O1546" s="28" t="s">
        <v>2016</v>
      </c>
      <c r="P1546" s="29">
        <v>1791</v>
      </c>
      <c r="Q1546" s="28" t="s">
        <v>2017</v>
      </c>
      <c r="R1546" s="40">
        <v>8223.9795918367308</v>
      </c>
      <c r="S1546" s="29">
        <v>14</v>
      </c>
      <c r="T1546" s="32">
        <v>0.217777777777</v>
      </c>
      <c r="U1546" s="32">
        <v>0</v>
      </c>
      <c r="V1546" s="40">
        <v>8223.9795918367308</v>
      </c>
      <c r="W1546" s="30"/>
      <c r="X1546" s="30"/>
    </row>
    <row r="1547" spans="1:24" ht="15.75" thickBot="1" x14ac:dyDescent="0.3">
      <c r="A1547" t="str">
        <f t="shared" si="24"/>
        <v>KB3B 2113201 AD3ZHE</v>
      </c>
      <c r="B1547" s="22" t="s">
        <v>6743</v>
      </c>
      <c r="C1547" s="22" t="s">
        <v>6744</v>
      </c>
      <c r="D1547" s="22" t="s">
        <v>6745</v>
      </c>
      <c r="E1547" s="21"/>
      <c r="F1547" s="22" t="s">
        <v>6746</v>
      </c>
      <c r="G1547" s="28" t="s">
        <v>2012</v>
      </c>
      <c r="H1547" s="22" t="s">
        <v>2080</v>
      </c>
      <c r="I1547" s="21"/>
      <c r="J1547" s="22" t="s">
        <v>494</v>
      </c>
      <c r="K1547" s="22" t="s">
        <v>262</v>
      </c>
      <c r="L1547" s="21"/>
      <c r="M1547" s="22" t="s">
        <v>2014</v>
      </c>
      <c r="N1547" s="28" t="s">
        <v>2015</v>
      </c>
      <c r="O1547" s="28" t="s">
        <v>2016</v>
      </c>
      <c r="P1547" s="29">
        <v>928</v>
      </c>
      <c r="Q1547" s="28" t="s">
        <v>2017</v>
      </c>
      <c r="R1547" s="40">
        <v>2485.7142857142899</v>
      </c>
      <c r="S1547" s="29">
        <v>24</v>
      </c>
      <c r="T1547" s="32">
        <v>0.37333333333300001</v>
      </c>
      <c r="U1547" s="32">
        <v>0</v>
      </c>
      <c r="V1547" s="40">
        <v>2485.7142857142899</v>
      </c>
      <c r="W1547" s="30"/>
      <c r="X1547" s="30"/>
    </row>
    <row r="1548" spans="1:24" ht="15.75" thickBot="1" x14ac:dyDescent="0.3">
      <c r="A1548" t="str">
        <f t="shared" si="24"/>
        <v>KB3B 2113244 AB3ZHE</v>
      </c>
      <c r="B1548" s="22" t="s">
        <v>6747</v>
      </c>
      <c r="C1548" s="22" t="s">
        <v>6748</v>
      </c>
      <c r="D1548" s="22" t="s">
        <v>6749</v>
      </c>
      <c r="E1548" s="21"/>
      <c r="F1548" s="22" t="s">
        <v>6750</v>
      </c>
      <c r="G1548" s="28" t="s">
        <v>2012</v>
      </c>
      <c r="H1548" s="22" t="s">
        <v>2080</v>
      </c>
      <c r="I1548" s="21"/>
      <c r="J1548" s="22" t="s">
        <v>494</v>
      </c>
      <c r="K1548" s="22" t="s">
        <v>262</v>
      </c>
      <c r="L1548" s="21"/>
      <c r="M1548" s="22" t="s">
        <v>2014</v>
      </c>
      <c r="N1548" s="28" t="s">
        <v>2015</v>
      </c>
      <c r="O1548" s="28" t="s">
        <v>2016</v>
      </c>
      <c r="P1548" s="29">
        <v>89</v>
      </c>
      <c r="Q1548" s="28" t="s">
        <v>2017</v>
      </c>
      <c r="R1548" s="21"/>
      <c r="S1548" s="21"/>
      <c r="T1548" s="21"/>
      <c r="U1548" s="21"/>
      <c r="V1548" s="21"/>
      <c r="W1548" s="21"/>
      <c r="X1548" s="21"/>
    </row>
    <row r="1549" spans="1:24" ht="15.75" thickBot="1" x14ac:dyDescent="0.3">
      <c r="A1549" t="str">
        <f t="shared" si="24"/>
        <v>KB3B 2113245 AB3ZHE</v>
      </c>
      <c r="B1549" s="22" t="s">
        <v>6751</v>
      </c>
      <c r="C1549" s="22" t="s">
        <v>6752</v>
      </c>
      <c r="D1549" s="22" t="s">
        <v>6753</v>
      </c>
      <c r="E1549" s="21"/>
      <c r="F1549" s="22" t="s">
        <v>6750</v>
      </c>
      <c r="G1549" s="28" t="s">
        <v>2012</v>
      </c>
      <c r="H1549" s="22" t="s">
        <v>2080</v>
      </c>
      <c r="I1549" s="21"/>
      <c r="J1549" s="22" t="s">
        <v>494</v>
      </c>
      <c r="K1549" s="22" t="s">
        <v>262</v>
      </c>
      <c r="L1549" s="21"/>
      <c r="M1549" s="22" t="s">
        <v>2014</v>
      </c>
      <c r="N1549" s="28" t="s">
        <v>2015</v>
      </c>
      <c r="O1549" s="28" t="s">
        <v>2016</v>
      </c>
      <c r="P1549" s="29">
        <v>105</v>
      </c>
      <c r="Q1549" s="28" t="s">
        <v>2017</v>
      </c>
      <c r="R1549" s="40">
        <v>2250</v>
      </c>
      <c r="S1549" s="29">
        <v>3</v>
      </c>
      <c r="T1549" s="32">
        <v>4.6666666666000001E-2</v>
      </c>
      <c r="U1549" s="32">
        <v>0</v>
      </c>
      <c r="V1549" s="40">
        <v>2250</v>
      </c>
      <c r="W1549" s="30"/>
      <c r="X1549" s="30"/>
    </row>
    <row r="1550" spans="1:24" ht="15.75" thickBot="1" x14ac:dyDescent="0.3">
      <c r="A1550" t="str">
        <f t="shared" si="24"/>
        <v>KB3B 2116B010 AC</v>
      </c>
      <c r="B1550" s="22" t="s">
        <v>6754</v>
      </c>
      <c r="C1550" s="22" t="s">
        <v>6755</v>
      </c>
      <c r="D1550" s="22" t="s">
        <v>6756</v>
      </c>
      <c r="E1550" s="21"/>
      <c r="F1550" s="22" t="s">
        <v>2030</v>
      </c>
      <c r="G1550" s="28" t="s">
        <v>2012</v>
      </c>
      <c r="H1550" s="22" t="s">
        <v>2080</v>
      </c>
      <c r="I1550" s="21"/>
      <c r="J1550" s="22" t="s">
        <v>494</v>
      </c>
      <c r="K1550" s="22" t="s">
        <v>924</v>
      </c>
      <c r="L1550" s="21"/>
      <c r="M1550" s="22" t="s">
        <v>2014</v>
      </c>
      <c r="N1550" s="28" t="s">
        <v>2015</v>
      </c>
      <c r="O1550" s="28" t="s">
        <v>2016</v>
      </c>
      <c r="P1550" s="29">
        <v>2000</v>
      </c>
      <c r="Q1550" s="28" t="s">
        <v>2017</v>
      </c>
      <c r="R1550" s="40">
        <v>7563.0252100840298</v>
      </c>
      <c r="S1550" s="29">
        <v>17</v>
      </c>
      <c r="T1550" s="32">
        <v>0.264444444444</v>
      </c>
      <c r="U1550" s="32">
        <v>0</v>
      </c>
      <c r="V1550" s="40">
        <v>7563.0252100840298</v>
      </c>
      <c r="W1550" s="30"/>
      <c r="X1550" s="30"/>
    </row>
    <row r="1551" spans="1:24" ht="15.75" thickBot="1" x14ac:dyDescent="0.3">
      <c r="A1551" t="str">
        <f t="shared" si="24"/>
        <v>KB3B 2116G040 AB3ZHE</v>
      </c>
      <c r="B1551" s="22" t="s">
        <v>6757</v>
      </c>
      <c r="C1551" s="22" t="s">
        <v>6758</v>
      </c>
      <c r="D1551" s="22" t="s">
        <v>2209</v>
      </c>
      <c r="E1551" s="21"/>
      <c r="F1551" s="22" t="s">
        <v>6759</v>
      </c>
      <c r="G1551" s="28" t="s">
        <v>2012</v>
      </c>
      <c r="H1551" s="22" t="s">
        <v>2080</v>
      </c>
      <c r="I1551" s="21"/>
      <c r="J1551" s="22" t="s">
        <v>494</v>
      </c>
      <c r="K1551" s="22" t="s">
        <v>262</v>
      </c>
      <c r="L1551" s="21"/>
      <c r="M1551" s="22" t="s">
        <v>2014</v>
      </c>
      <c r="N1551" s="28" t="s">
        <v>2015</v>
      </c>
      <c r="O1551" s="28" t="s">
        <v>2016</v>
      </c>
      <c r="P1551" s="29">
        <v>233</v>
      </c>
      <c r="Q1551" s="28" t="s">
        <v>2017</v>
      </c>
      <c r="R1551" s="21"/>
      <c r="S1551" s="21"/>
      <c r="T1551" s="21"/>
      <c r="U1551" s="21"/>
      <c r="V1551" s="21"/>
      <c r="W1551" s="21"/>
      <c r="X1551" s="21"/>
    </row>
    <row r="1552" spans="1:24" ht="15.75" thickBot="1" x14ac:dyDescent="0.3">
      <c r="A1552" t="str">
        <f t="shared" si="24"/>
        <v>KB3B 2116G041 AB3ZHE</v>
      </c>
      <c r="B1552" s="22" t="s">
        <v>6760</v>
      </c>
      <c r="C1552" s="22" t="s">
        <v>6761</v>
      </c>
      <c r="D1552" s="22" t="s">
        <v>2212</v>
      </c>
      <c r="E1552" s="21"/>
      <c r="F1552" s="22" t="s">
        <v>6759</v>
      </c>
      <c r="G1552" s="28" t="s">
        <v>2012</v>
      </c>
      <c r="H1552" s="22" t="s">
        <v>2080</v>
      </c>
      <c r="I1552" s="21"/>
      <c r="J1552" s="22" t="s">
        <v>494</v>
      </c>
      <c r="K1552" s="22" t="s">
        <v>262</v>
      </c>
      <c r="L1552" s="21"/>
      <c r="M1552" s="22" t="s">
        <v>2014</v>
      </c>
      <c r="N1552" s="28" t="s">
        <v>2015</v>
      </c>
      <c r="O1552" s="28" t="s">
        <v>2016</v>
      </c>
      <c r="P1552" s="29">
        <v>168</v>
      </c>
      <c r="Q1552" s="28" t="s">
        <v>2017</v>
      </c>
      <c r="R1552" s="21"/>
      <c r="S1552" s="21"/>
      <c r="T1552" s="21"/>
      <c r="U1552" s="21"/>
      <c r="V1552" s="21"/>
      <c r="W1552" s="21"/>
      <c r="X1552" s="21"/>
    </row>
    <row r="1553" spans="1:24" ht="15.75" thickBot="1" x14ac:dyDescent="0.3">
      <c r="A1553" t="str">
        <f t="shared" si="24"/>
        <v>KB3B 2120170 AA</v>
      </c>
      <c r="B1553" s="22" t="s">
        <v>6762</v>
      </c>
      <c r="C1553" s="22" t="s">
        <v>6763</v>
      </c>
      <c r="D1553" s="22" t="s">
        <v>6764</v>
      </c>
      <c r="E1553" s="21"/>
      <c r="F1553" s="22" t="s">
        <v>2030</v>
      </c>
      <c r="G1553" s="28" t="s">
        <v>2012</v>
      </c>
      <c r="H1553" s="22" t="s">
        <v>2080</v>
      </c>
      <c r="I1553" s="21"/>
      <c r="J1553" s="22" t="s">
        <v>494</v>
      </c>
      <c r="K1553" s="22" t="s">
        <v>924</v>
      </c>
      <c r="L1553" s="21"/>
      <c r="M1553" s="22" t="s">
        <v>2014</v>
      </c>
      <c r="N1553" s="28" t="s">
        <v>2015</v>
      </c>
      <c r="O1553" s="28" t="s">
        <v>2016</v>
      </c>
      <c r="P1553" s="29">
        <v>965</v>
      </c>
      <c r="Q1553" s="28" t="s">
        <v>2017</v>
      </c>
      <c r="R1553" s="21"/>
      <c r="S1553" s="21"/>
      <c r="T1553" s="21"/>
      <c r="U1553" s="21"/>
      <c r="V1553" s="21"/>
      <c r="W1553" s="21"/>
      <c r="X1553" s="21"/>
    </row>
    <row r="1554" spans="1:24" ht="15.75" thickBot="1" x14ac:dyDescent="0.3">
      <c r="A1554" t="str">
        <f t="shared" si="24"/>
        <v>KB3B 2120171 AA</v>
      </c>
      <c r="B1554" s="22" t="s">
        <v>6765</v>
      </c>
      <c r="C1554" s="22" t="s">
        <v>6766</v>
      </c>
      <c r="D1554" s="22" t="s">
        <v>6764</v>
      </c>
      <c r="E1554" s="21"/>
      <c r="F1554" s="22" t="s">
        <v>2030</v>
      </c>
      <c r="G1554" s="28" t="s">
        <v>2012</v>
      </c>
      <c r="H1554" s="22" t="s">
        <v>2080</v>
      </c>
      <c r="I1554" s="21"/>
      <c r="J1554" s="22" t="s">
        <v>494</v>
      </c>
      <c r="K1554" s="22" t="s">
        <v>924</v>
      </c>
      <c r="L1554" s="21"/>
      <c r="M1554" s="22" t="s">
        <v>2014</v>
      </c>
      <c r="N1554" s="28" t="s">
        <v>2015</v>
      </c>
      <c r="O1554" s="28" t="s">
        <v>2016</v>
      </c>
      <c r="P1554" s="29">
        <v>1097</v>
      </c>
      <c r="Q1554" s="28" t="s">
        <v>2017</v>
      </c>
      <c r="R1554" s="21"/>
      <c r="S1554" s="21"/>
      <c r="T1554" s="21"/>
      <c r="U1554" s="21"/>
      <c r="V1554" s="21"/>
      <c r="W1554" s="21"/>
      <c r="X1554" s="21"/>
    </row>
    <row r="1555" spans="1:24" ht="15.75" thickBot="1" x14ac:dyDescent="0.3">
      <c r="A1555" t="str">
        <f t="shared" si="24"/>
        <v>KB3B 2122868 AA</v>
      </c>
      <c r="B1555" s="22" t="s">
        <v>6767</v>
      </c>
      <c r="C1555" s="22" t="s">
        <v>6768</v>
      </c>
      <c r="D1555" s="22" t="s">
        <v>6769</v>
      </c>
      <c r="E1555" s="21"/>
      <c r="F1555" s="22" t="s">
        <v>2030</v>
      </c>
      <c r="G1555" s="28" t="s">
        <v>2012</v>
      </c>
      <c r="H1555" s="22" t="s">
        <v>2080</v>
      </c>
      <c r="I1555" s="21"/>
      <c r="J1555" s="22" t="s">
        <v>494</v>
      </c>
      <c r="K1555" s="22" t="s">
        <v>924</v>
      </c>
      <c r="L1555" s="21"/>
      <c r="M1555" s="22" t="s">
        <v>2014</v>
      </c>
      <c r="N1555" s="28" t="s">
        <v>2015</v>
      </c>
      <c r="O1555" s="28" t="s">
        <v>2016</v>
      </c>
      <c r="P1555" s="29">
        <v>873</v>
      </c>
      <c r="Q1555" s="28" t="s">
        <v>2017</v>
      </c>
      <c r="R1555" s="21"/>
      <c r="S1555" s="21"/>
      <c r="T1555" s="21"/>
      <c r="U1555" s="21"/>
      <c r="V1555" s="21"/>
      <c r="W1555" s="21"/>
      <c r="X1555" s="21"/>
    </row>
    <row r="1556" spans="1:24" ht="15.75" thickBot="1" x14ac:dyDescent="0.3">
      <c r="A1556" t="str">
        <f t="shared" si="24"/>
        <v>KB3B 2122869 AA</v>
      </c>
      <c r="B1556" s="22" t="s">
        <v>6770</v>
      </c>
      <c r="C1556" s="22" t="s">
        <v>6771</v>
      </c>
      <c r="D1556" s="22" t="s">
        <v>6769</v>
      </c>
      <c r="E1556" s="21"/>
      <c r="F1556" s="22" t="s">
        <v>2030</v>
      </c>
      <c r="G1556" s="28" t="s">
        <v>2012</v>
      </c>
      <c r="H1556" s="22" t="s">
        <v>2080</v>
      </c>
      <c r="I1556" s="21"/>
      <c r="J1556" s="22" t="s">
        <v>494</v>
      </c>
      <c r="K1556" s="22" t="s">
        <v>924</v>
      </c>
      <c r="L1556" s="21"/>
      <c r="M1556" s="22" t="s">
        <v>2014</v>
      </c>
      <c r="N1556" s="28" t="s">
        <v>2015</v>
      </c>
      <c r="O1556" s="28" t="s">
        <v>2016</v>
      </c>
      <c r="P1556" s="29">
        <v>101</v>
      </c>
      <c r="Q1556" s="28" t="s">
        <v>2017</v>
      </c>
      <c r="R1556" s="21"/>
      <c r="S1556" s="21"/>
      <c r="T1556" s="21"/>
      <c r="U1556" s="21"/>
      <c r="V1556" s="21"/>
      <c r="W1556" s="21"/>
      <c r="X1556" s="21"/>
    </row>
    <row r="1557" spans="1:24" ht="15.75" thickBot="1" x14ac:dyDescent="0.3">
      <c r="A1557" t="str">
        <f t="shared" si="24"/>
        <v>KB3B 2123942 BG3ZHE</v>
      </c>
      <c r="B1557" s="22" t="s">
        <v>6772</v>
      </c>
      <c r="C1557" s="22" t="s">
        <v>6773</v>
      </c>
      <c r="D1557" s="22" t="s">
        <v>6566</v>
      </c>
      <c r="E1557" s="22" t="s">
        <v>6774</v>
      </c>
      <c r="F1557" s="22" t="s">
        <v>6775</v>
      </c>
      <c r="G1557" s="28" t="s">
        <v>2012</v>
      </c>
      <c r="H1557" s="22" t="s">
        <v>2080</v>
      </c>
      <c r="I1557" s="21"/>
      <c r="J1557" s="22" t="s">
        <v>494</v>
      </c>
      <c r="K1557" s="22" t="s">
        <v>262</v>
      </c>
      <c r="L1557" s="21"/>
      <c r="M1557" s="22" t="s">
        <v>2014</v>
      </c>
      <c r="N1557" s="28" t="s">
        <v>2015</v>
      </c>
      <c r="O1557" s="28" t="s">
        <v>2016</v>
      </c>
      <c r="P1557" s="29">
        <v>0</v>
      </c>
      <c r="Q1557" s="28" t="s">
        <v>2017</v>
      </c>
      <c r="R1557" s="21"/>
      <c r="S1557" s="21"/>
      <c r="T1557" s="21"/>
      <c r="U1557" s="21"/>
      <c r="V1557" s="21"/>
      <c r="W1557" s="21"/>
      <c r="X1557" s="21"/>
    </row>
    <row r="1558" spans="1:24" ht="15.75" thickBot="1" x14ac:dyDescent="0.3">
      <c r="A1558" t="str">
        <f t="shared" si="24"/>
        <v>KB3B 2123942 CG3ZHE</v>
      </c>
      <c r="B1558" s="22" t="s">
        <v>1057</v>
      </c>
      <c r="C1558" s="22" t="s">
        <v>6776</v>
      </c>
      <c r="D1558" s="22" t="s">
        <v>6566</v>
      </c>
      <c r="E1558" s="21"/>
      <c r="F1558" s="22" t="s">
        <v>2030</v>
      </c>
      <c r="G1558" s="28" t="s">
        <v>2012</v>
      </c>
      <c r="H1558" s="22" t="s">
        <v>2080</v>
      </c>
      <c r="I1558" s="21"/>
      <c r="J1558" s="22" t="s">
        <v>494</v>
      </c>
      <c r="K1558" s="22" t="s">
        <v>262</v>
      </c>
      <c r="L1558" s="21"/>
      <c r="M1558" s="22" t="s">
        <v>2014</v>
      </c>
      <c r="N1558" s="28" t="s">
        <v>2015</v>
      </c>
      <c r="O1558" s="28" t="s">
        <v>2016</v>
      </c>
      <c r="P1558" s="29">
        <v>0</v>
      </c>
      <c r="Q1558" s="28" t="s">
        <v>2017</v>
      </c>
      <c r="R1558" s="21"/>
      <c r="S1558" s="21"/>
      <c r="T1558" s="21"/>
      <c r="U1558" s="21"/>
      <c r="V1558" s="21"/>
      <c r="W1558" s="21"/>
      <c r="X1558" s="21"/>
    </row>
    <row r="1559" spans="1:24" ht="15.75" thickBot="1" x14ac:dyDescent="0.3">
      <c r="A1559" t="str">
        <f t="shared" si="24"/>
        <v>KB3B 2123942 EH3ZHE</v>
      </c>
      <c r="B1559" s="22" t="s">
        <v>1059</v>
      </c>
      <c r="C1559" s="22" t="s">
        <v>6777</v>
      </c>
      <c r="D1559" s="22" t="s">
        <v>6566</v>
      </c>
      <c r="E1559" s="21"/>
      <c r="F1559" s="22" t="s">
        <v>2030</v>
      </c>
      <c r="G1559" s="28" t="s">
        <v>2012</v>
      </c>
      <c r="H1559" s="22" t="s">
        <v>2080</v>
      </c>
      <c r="I1559" s="21"/>
      <c r="J1559" s="22" t="s">
        <v>494</v>
      </c>
      <c r="K1559" s="22" t="s">
        <v>262</v>
      </c>
      <c r="L1559" s="21"/>
      <c r="M1559" s="22" t="s">
        <v>2014</v>
      </c>
      <c r="N1559" s="28" t="s">
        <v>2015</v>
      </c>
      <c r="O1559" s="28" t="s">
        <v>2016</v>
      </c>
      <c r="P1559" s="29">
        <v>0</v>
      </c>
      <c r="Q1559" s="28" t="s">
        <v>2017</v>
      </c>
      <c r="R1559" s="41">
        <v>0</v>
      </c>
      <c r="S1559" s="29">
        <v>1</v>
      </c>
      <c r="T1559" s="32">
        <v>1.5555555555E-2</v>
      </c>
      <c r="U1559" s="32">
        <v>0</v>
      </c>
      <c r="V1559" s="41">
        <v>0</v>
      </c>
      <c r="W1559" s="21"/>
      <c r="X1559" s="21"/>
    </row>
    <row r="1560" spans="1:24" ht="15.75" thickBot="1" x14ac:dyDescent="0.3">
      <c r="A1560" t="str">
        <f t="shared" si="24"/>
        <v>KB3B 2123942 FG3ZHE</v>
      </c>
      <c r="B1560" s="22" t="s">
        <v>1060</v>
      </c>
      <c r="C1560" s="22" t="s">
        <v>6778</v>
      </c>
      <c r="D1560" s="22" t="s">
        <v>6566</v>
      </c>
      <c r="E1560" s="21"/>
      <c r="F1560" s="22" t="s">
        <v>2030</v>
      </c>
      <c r="G1560" s="28" t="s">
        <v>2012</v>
      </c>
      <c r="H1560" s="22" t="s">
        <v>2080</v>
      </c>
      <c r="I1560" s="21"/>
      <c r="J1560" s="22" t="s">
        <v>494</v>
      </c>
      <c r="K1560" s="22" t="s">
        <v>262</v>
      </c>
      <c r="L1560" s="21"/>
      <c r="M1560" s="22" t="s">
        <v>2014</v>
      </c>
      <c r="N1560" s="28" t="s">
        <v>2015</v>
      </c>
      <c r="O1560" s="28" t="s">
        <v>2016</v>
      </c>
      <c r="P1560" s="29">
        <v>0</v>
      </c>
      <c r="Q1560" s="28" t="s">
        <v>2017</v>
      </c>
      <c r="R1560" s="41">
        <v>0</v>
      </c>
      <c r="S1560" s="29">
        <v>3</v>
      </c>
      <c r="T1560" s="32">
        <v>4.6666666666000001E-2</v>
      </c>
      <c r="U1560" s="32">
        <v>0</v>
      </c>
      <c r="V1560" s="41">
        <v>0</v>
      </c>
      <c r="W1560" s="21"/>
      <c r="X1560" s="21"/>
    </row>
    <row r="1561" spans="1:24" ht="15.75" thickBot="1" x14ac:dyDescent="0.3">
      <c r="A1561" t="str">
        <f t="shared" si="24"/>
        <v>KB3B 2123943 BG3ZHE</v>
      </c>
      <c r="B1561" s="22" t="s">
        <v>6779</v>
      </c>
      <c r="C1561" s="22" t="s">
        <v>6780</v>
      </c>
      <c r="D1561" s="22" t="s">
        <v>6571</v>
      </c>
      <c r="E1561" s="21"/>
      <c r="F1561" s="22" t="s">
        <v>2030</v>
      </c>
      <c r="G1561" s="28" t="s">
        <v>2012</v>
      </c>
      <c r="H1561" s="22" t="s">
        <v>2080</v>
      </c>
      <c r="I1561" s="21"/>
      <c r="J1561" s="22" t="s">
        <v>494</v>
      </c>
      <c r="K1561" s="22" t="s">
        <v>262</v>
      </c>
      <c r="L1561" s="21"/>
      <c r="M1561" s="22" t="s">
        <v>2014</v>
      </c>
      <c r="N1561" s="28" t="s">
        <v>2015</v>
      </c>
      <c r="O1561" s="28" t="s">
        <v>2016</v>
      </c>
      <c r="P1561" s="29">
        <v>0</v>
      </c>
      <c r="Q1561" s="28" t="s">
        <v>2017</v>
      </c>
      <c r="R1561" s="21"/>
      <c r="S1561" s="21"/>
      <c r="T1561" s="21"/>
      <c r="U1561" s="21"/>
      <c r="V1561" s="21"/>
      <c r="W1561" s="21"/>
      <c r="X1561" s="21"/>
    </row>
    <row r="1562" spans="1:24" ht="15.75" thickBot="1" x14ac:dyDescent="0.3">
      <c r="A1562" t="str">
        <f t="shared" si="24"/>
        <v>KB3B 2123943 CG3ZHE</v>
      </c>
      <c r="B1562" s="22" t="s">
        <v>1071</v>
      </c>
      <c r="C1562" s="22" t="s">
        <v>6781</v>
      </c>
      <c r="D1562" s="22" t="s">
        <v>6571</v>
      </c>
      <c r="E1562" s="21"/>
      <c r="F1562" s="22" t="s">
        <v>2030</v>
      </c>
      <c r="G1562" s="28" t="s">
        <v>2012</v>
      </c>
      <c r="H1562" s="22" t="s">
        <v>2080</v>
      </c>
      <c r="I1562" s="21"/>
      <c r="J1562" s="22" t="s">
        <v>494</v>
      </c>
      <c r="K1562" s="22" t="s">
        <v>262</v>
      </c>
      <c r="L1562" s="21"/>
      <c r="M1562" s="22" t="s">
        <v>2014</v>
      </c>
      <c r="N1562" s="28" t="s">
        <v>2015</v>
      </c>
      <c r="O1562" s="28" t="s">
        <v>2016</v>
      </c>
      <c r="P1562" s="29">
        <v>0</v>
      </c>
      <c r="Q1562" s="28" t="s">
        <v>2017</v>
      </c>
      <c r="R1562" s="21"/>
      <c r="S1562" s="21"/>
      <c r="T1562" s="21"/>
      <c r="U1562" s="21"/>
      <c r="V1562" s="21"/>
      <c r="W1562" s="21"/>
      <c r="X1562" s="21"/>
    </row>
    <row r="1563" spans="1:24" ht="15.75" thickBot="1" x14ac:dyDescent="0.3">
      <c r="A1563" t="str">
        <f t="shared" si="24"/>
        <v>KB3B 2123943 EH31TC</v>
      </c>
      <c r="B1563" s="22" t="s">
        <v>1073</v>
      </c>
      <c r="C1563" s="22" t="s">
        <v>6782</v>
      </c>
      <c r="D1563" s="22" t="s">
        <v>6571</v>
      </c>
      <c r="E1563" s="21"/>
      <c r="F1563" s="22" t="s">
        <v>5405</v>
      </c>
      <c r="G1563" s="28" t="s">
        <v>2012</v>
      </c>
      <c r="H1563" s="22" t="s">
        <v>2080</v>
      </c>
      <c r="I1563" s="21"/>
      <c r="J1563" s="22" t="s">
        <v>494</v>
      </c>
      <c r="K1563" s="22" t="s">
        <v>262</v>
      </c>
      <c r="L1563" s="21"/>
      <c r="M1563" s="22" t="s">
        <v>2014</v>
      </c>
      <c r="N1563" s="28" t="s">
        <v>2015</v>
      </c>
      <c r="O1563" s="28" t="s">
        <v>2016</v>
      </c>
      <c r="P1563" s="29">
        <v>0</v>
      </c>
      <c r="Q1563" s="28" t="s">
        <v>2017</v>
      </c>
      <c r="R1563" s="21"/>
      <c r="S1563" s="21"/>
      <c r="T1563" s="21"/>
      <c r="U1563" s="21"/>
      <c r="V1563" s="21"/>
      <c r="W1563" s="21"/>
      <c r="X1563" s="21"/>
    </row>
    <row r="1564" spans="1:24" ht="15.75" thickBot="1" x14ac:dyDescent="0.3">
      <c r="A1564" t="str">
        <f t="shared" si="24"/>
        <v>KB3B 2123943 FG3ZHE</v>
      </c>
      <c r="B1564" s="22" t="s">
        <v>1074</v>
      </c>
      <c r="C1564" s="22" t="s">
        <v>6783</v>
      </c>
      <c r="D1564" s="22" t="s">
        <v>6571</v>
      </c>
      <c r="E1564" s="21"/>
      <c r="F1564" s="22" t="s">
        <v>2030</v>
      </c>
      <c r="G1564" s="28" t="s">
        <v>2012</v>
      </c>
      <c r="H1564" s="22" t="s">
        <v>2080</v>
      </c>
      <c r="I1564" s="21"/>
      <c r="J1564" s="22" t="s">
        <v>494</v>
      </c>
      <c r="K1564" s="22" t="s">
        <v>262</v>
      </c>
      <c r="L1564" s="21"/>
      <c r="M1564" s="22" t="s">
        <v>2014</v>
      </c>
      <c r="N1564" s="28" t="s">
        <v>2015</v>
      </c>
      <c r="O1564" s="28" t="s">
        <v>2016</v>
      </c>
      <c r="P1564" s="29">
        <v>0</v>
      </c>
      <c r="Q1564" s="28" t="s">
        <v>2017</v>
      </c>
      <c r="R1564" s="41">
        <v>0</v>
      </c>
      <c r="S1564" s="29">
        <v>18</v>
      </c>
      <c r="T1564" s="32">
        <v>0.28000000000000003</v>
      </c>
      <c r="U1564" s="32">
        <v>0</v>
      </c>
      <c r="V1564" s="41">
        <v>0</v>
      </c>
      <c r="W1564" s="21"/>
      <c r="X1564" s="21"/>
    </row>
    <row r="1565" spans="1:24" ht="15.75" thickBot="1" x14ac:dyDescent="0.3">
      <c r="A1565" t="str">
        <f t="shared" si="24"/>
        <v>KB3B 2123943 GG3ZHE</v>
      </c>
      <c r="B1565" s="22" t="s">
        <v>6784</v>
      </c>
      <c r="C1565" s="22" t="s">
        <v>6785</v>
      </c>
      <c r="D1565" s="22" t="s">
        <v>6571</v>
      </c>
      <c r="E1565" s="21"/>
      <c r="F1565" s="22" t="s">
        <v>2030</v>
      </c>
      <c r="G1565" s="28" t="s">
        <v>2012</v>
      </c>
      <c r="H1565" s="22" t="s">
        <v>2080</v>
      </c>
      <c r="I1565" s="21"/>
      <c r="J1565" s="22" t="s">
        <v>494</v>
      </c>
      <c r="K1565" s="22" t="s">
        <v>262</v>
      </c>
      <c r="L1565" s="21"/>
      <c r="M1565" s="22" t="s">
        <v>2014</v>
      </c>
      <c r="N1565" s="28" t="s">
        <v>2015</v>
      </c>
      <c r="O1565" s="28" t="s">
        <v>2016</v>
      </c>
      <c r="P1565" s="29">
        <v>0</v>
      </c>
      <c r="Q1565" s="28" t="s">
        <v>2017</v>
      </c>
      <c r="R1565" s="21"/>
      <c r="S1565" s="21"/>
      <c r="T1565" s="21"/>
      <c r="U1565" s="21"/>
      <c r="V1565" s="21"/>
      <c r="W1565" s="21"/>
      <c r="X1565" s="21"/>
    </row>
    <row r="1566" spans="1:24" ht="15.75" thickBot="1" x14ac:dyDescent="0.3">
      <c r="A1566" t="str">
        <f t="shared" si="24"/>
        <v>KB3B 2124301 AL</v>
      </c>
      <c r="B1566" s="22" t="s">
        <v>6786</v>
      </c>
      <c r="C1566" s="22" t="s">
        <v>6787</v>
      </c>
      <c r="D1566" s="22" t="s">
        <v>6788</v>
      </c>
      <c r="E1566" s="21"/>
      <c r="F1566" s="22" t="s">
        <v>2030</v>
      </c>
      <c r="G1566" s="28" t="s">
        <v>5499</v>
      </c>
      <c r="H1566" s="22" t="s">
        <v>2080</v>
      </c>
      <c r="I1566" s="21"/>
      <c r="J1566" s="22" t="s">
        <v>494</v>
      </c>
      <c r="K1566" s="22" t="s">
        <v>924</v>
      </c>
      <c r="L1566" s="21"/>
      <c r="M1566" s="22" t="s">
        <v>2014</v>
      </c>
      <c r="N1566" s="28" t="s">
        <v>2015</v>
      </c>
      <c r="O1566" s="28" t="s">
        <v>2016</v>
      </c>
      <c r="P1566" s="29">
        <v>10</v>
      </c>
      <c r="Q1566" s="28" t="s">
        <v>2017</v>
      </c>
      <c r="R1566" s="21"/>
      <c r="S1566" s="21"/>
      <c r="T1566" s="21"/>
      <c r="U1566" s="21"/>
      <c r="V1566" s="21"/>
      <c r="W1566" s="21"/>
      <c r="X1566" s="21"/>
    </row>
    <row r="1567" spans="1:24" ht="15.75" thickBot="1" x14ac:dyDescent="0.3">
      <c r="A1567" t="str">
        <f t="shared" si="24"/>
        <v>KB3B 21243C02 AC</v>
      </c>
      <c r="B1567" s="22" t="s">
        <v>6789</v>
      </c>
      <c r="C1567" s="22" t="s">
        <v>6790</v>
      </c>
      <c r="D1567" s="22" t="s">
        <v>2214</v>
      </c>
      <c r="E1567" s="21"/>
      <c r="F1567" s="22" t="s">
        <v>6791</v>
      </c>
      <c r="G1567" s="28" t="s">
        <v>2012</v>
      </c>
      <c r="H1567" s="22" t="s">
        <v>2080</v>
      </c>
      <c r="I1567" s="21"/>
      <c r="J1567" s="22" t="s">
        <v>494</v>
      </c>
      <c r="K1567" s="22" t="s">
        <v>262</v>
      </c>
      <c r="L1567" s="21"/>
      <c r="M1567" s="22" t="s">
        <v>2014</v>
      </c>
      <c r="N1567" s="28" t="s">
        <v>2015</v>
      </c>
      <c r="O1567" s="28" t="s">
        <v>2016</v>
      </c>
      <c r="P1567" s="29">
        <v>3308</v>
      </c>
      <c r="Q1567" s="28" t="s">
        <v>2017</v>
      </c>
      <c r="R1567" s="21"/>
      <c r="S1567" s="21"/>
      <c r="T1567" s="21"/>
      <c r="U1567" s="21"/>
      <c r="V1567" s="21"/>
      <c r="W1567" s="21"/>
      <c r="X1567" s="21"/>
    </row>
    <row r="1568" spans="1:24" ht="15.75" thickBot="1" x14ac:dyDescent="0.3">
      <c r="A1568" t="str">
        <f t="shared" si="24"/>
        <v>KB3B 21243C03 AC</v>
      </c>
      <c r="B1568" s="22" t="s">
        <v>6792</v>
      </c>
      <c r="C1568" s="22" t="s">
        <v>6793</v>
      </c>
      <c r="D1568" s="22" t="s">
        <v>2214</v>
      </c>
      <c r="E1568" s="21"/>
      <c r="F1568" s="22" t="s">
        <v>6791</v>
      </c>
      <c r="G1568" s="28" t="s">
        <v>2012</v>
      </c>
      <c r="H1568" s="22" t="s">
        <v>2080</v>
      </c>
      <c r="I1568" s="21"/>
      <c r="J1568" s="22" t="s">
        <v>494</v>
      </c>
      <c r="K1568" s="22" t="s">
        <v>262</v>
      </c>
      <c r="L1568" s="21"/>
      <c r="M1568" s="22" t="s">
        <v>2014</v>
      </c>
      <c r="N1568" s="28" t="s">
        <v>2015</v>
      </c>
      <c r="O1568" s="28" t="s">
        <v>2016</v>
      </c>
      <c r="P1568" s="29">
        <v>400</v>
      </c>
      <c r="Q1568" s="28" t="s">
        <v>2017</v>
      </c>
      <c r="R1568" s="21"/>
      <c r="S1568" s="21"/>
      <c r="T1568" s="21"/>
      <c r="U1568" s="21"/>
      <c r="V1568" s="21"/>
      <c r="W1568" s="21"/>
      <c r="X1568" s="21"/>
    </row>
    <row r="1569" spans="1:24" ht="15.75" thickBot="1" x14ac:dyDescent="0.3">
      <c r="A1569" t="str">
        <f t="shared" si="24"/>
        <v>KB3B 21245A13 AA3ZHE</v>
      </c>
      <c r="B1569" s="22" t="s">
        <v>6794</v>
      </c>
      <c r="C1569" s="22" t="s">
        <v>6795</v>
      </c>
      <c r="D1569" s="22" t="s">
        <v>6796</v>
      </c>
      <c r="E1569" s="21"/>
      <c r="F1569" s="22" t="s">
        <v>6797</v>
      </c>
      <c r="G1569" s="28" t="s">
        <v>2012</v>
      </c>
      <c r="H1569" s="22" t="s">
        <v>2080</v>
      </c>
      <c r="I1569" s="21"/>
      <c r="J1569" s="22" t="s">
        <v>494</v>
      </c>
      <c r="K1569" s="22" t="s">
        <v>262</v>
      </c>
      <c r="L1569" s="21"/>
      <c r="M1569" s="22" t="s">
        <v>2014</v>
      </c>
      <c r="N1569" s="28" t="s">
        <v>2015</v>
      </c>
      <c r="O1569" s="28" t="s">
        <v>2016</v>
      </c>
      <c r="P1569" s="29">
        <v>0</v>
      </c>
      <c r="Q1569" s="28" t="s">
        <v>2017</v>
      </c>
      <c r="R1569" s="21"/>
      <c r="S1569" s="21"/>
      <c r="T1569" s="21"/>
      <c r="U1569" s="21"/>
      <c r="V1569" s="21"/>
      <c r="W1569" s="21"/>
      <c r="X1569" s="21"/>
    </row>
    <row r="1570" spans="1:24" ht="15.75" thickBot="1" x14ac:dyDescent="0.3">
      <c r="A1570" t="str">
        <f t="shared" si="24"/>
        <v>KB3B 21247A13 AB</v>
      </c>
      <c r="B1570" s="22" t="s">
        <v>6798</v>
      </c>
      <c r="C1570" s="22" t="s">
        <v>6799</v>
      </c>
      <c r="D1570" s="22" t="s">
        <v>6800</v>
      </c>
      <c r="E1570" s="22" t="s">
        <v>6801</v>
      </c>
      <c r="F1570" s="22" t="s">
        <v>2030</v>
      </c>
      <c r="G1570" s="28" t="s">
        <v>2012</v>
      </c>
      <c r="H1570" s="22" t="s">
        <v>2080</v>
      </c>
      <c r="I1570" s="21"/>
      <c r="J1570" s="22" t="s">
        <v>494</v>
      </c>
      <c r="K1570" s="22" t="s">
        <v>924</v>
      </c>
      <c r="L1570" s="21"/>
      <c r="M1570" s="22" t="s">
        <v>2014</v>
      </c>
      <c r="N1570" s="28" t="s">
        <v>2015</v>
      </c>
      <c r="O1570" s="28" t="s">
        <v>2016</v>
      </c>
      <c r="P1570" s="29">
        <v>22</v>
      </c>
      <c r="Q1570" s="28" t="s">
        <v>2017</v>
      </c>
      <c r="R1570" s="21"/>
      <c r="S1570" s="21"/>
      <c r="T1570" s="21"/>
      <c r="U1570" s="21"/>
      <c r="V1570" s="21"/>
      <c r="W1570" s="21"/>
      <c r="X1570" s="21"/>
    </row>
    <row r="1571" spans="1:24" ht="15.75" thickBot="1" x14ac:dyDescent="0.3">
      <c r="A1571" t="str">
        <f t="shared" si="24"/>
        <v>KB3B 2126880 AA</v>
      </c>
      <c r="B1571" s="22" t="s">
        <v>6802</v>
      </c>
      <c r="C1571" s="22" t="s">
        <v>6803</v>
      </c>
      <c r="D1571" s="22" t="s">
        <v>6804</v>
      </c>
      <c r="E1571" s="21"/>
      <c r="F1571" s="22" t="s">
        <v>2030</v>
      </c>
      <c r="G1571" s="28" t="s">
        <v>2012</v>
      </c>
      <c r="H1571" s="22" t="s">
        <v>2080</v>
      </c>
      <c r="I1571" s="21"/>
      <c r="J1571" s="22" t="s">
        <v>494</v>
      </c>
      <c r="K1571" s="22" t="s">
        <v>924</v>
      </c>
      <c r="L1571" s="21"/>
      <c r="M1571" s="22" t="s">
        <v>2014</v>
      </c>
      <c r="N1571" s="28" t="s">
        <v>2015</v>
      </c>
      <c r="O1571" s="28" t="s">
        <v>2016</v>
      </c>
      <c r="P1571" s="29">
        <v>612</v>
      </c>
      <c r="Q1571" s="28" t="s">
        <v>2017</v>
      </c>
      <c r="R1571" s="21"/>
      <c r="S1571" s="21"/>
      <c r="T1571" s="21"/>
      <c r="U1571" s="21"/>
      <c r="V1571" s="21"/>
      <c r="W1571" s="21"/>
      <c r="X1571" s="21"/>
    </row>
    <row r="1572" spans="1:24" ht="15.75" thickBot="1" x14ac:dyDescent="0.3">
      <c r="A1572" t="str">
        <f t="shared" si="24"/>
        <v>KB3B 2126881 AA</v>
      </c>
      <c r="B1572" s="22" t="s">
        <v>6805</v>
      </c>
      <c r="C1572" s="22" t="s">
        <v>6806</v>
      </c>
      <c r="D1572" s="22" t="s">
        <v>6807</v>
      </c>
      <c r="E1572" s="21"/>
      <c r="F1572" s="22" t="s">
        <v>2030</v>
      </c>
      <c r="G1572" s="28" t="s">
        <v>2012</v>
      </c>
      <c r="H1572" s="22" t="s">
        <v>2080</v>
      </c>
      <c r="I1572" s="21"/>
      <c r="J1572" s="22" t="s">
        <v>494</v>
      </c>
      <c r="K1572" s="22" t="s">
        <v>924</v>
      </c>
      <c r="L1572" s="21"/>
      <c r="M1572" s="22" t="s">
        <v>2014</v>
      </c>
      <c r="N1572" s="28" t="s">
        <v>2015</v>
      </c>
      <c r="O1572" s="28" t="s">
        <v>2016</v>
      </c>
      <c r="P1572" s="29">
        <v>700</v>
      </c>
      <c r="Q1572" s="28" t="s">
        <v>2017</v>
      </c>
      <c r="R1572" s="21"/>
      <c r="S1572" s="21"/>
      <c r="T1572" s="21"/>
      <c r="U1572" s="21"/>
      <c r="V1572" s="21"/>
      <c r="W1572" s="21"/>
      <c r="X1572" s="21"/>
    </row>
    <row r="1573" spans="1:24" ht="15.75" thickBot="1" x14ac:dyDescent="0.3">
      <c r="A1573" t="str">
        <f t="shared" si="24"/>
        <v>KB3B 2127406 AG3ZHE</v>
      </c>
      <c r="B1573" s="22" t="s">
        <v>6808</v>
      </c>
      <c r="C1573" s="22" t="s">
        <v>6809</v>
      </c>
      <c r="D1573" s="22" t="s">
        <v>6810</v>
      </c>
      <c r="E1573" s="21"/>
      <c r="F1573" s="22" t="s">
        <v>2030</v>
      </c>
      <c r="G1573" s="28" t="s">
        <v>2012</v>
      </c>
      <c r="H1573" s="22" t="s">
        <v>2080</v>
      </c>
      <c r="I1573" s="21"/>
      <c r="J1573" s="22" t="s">
        <v>494</v>
      </c>
      <c r="K1573" s="22" t="s">
        <v>262</v>
      </c>
      <c r="L1573" s="21"/>
      <c r="M1573" s="22" t="s">
        <v>2014</v>
      </c>
      <c r="N1573" s="28" t="s">
        <v>2015</v>
      </c>
      <c r="O1573" s="28" t="s">
        <v>2016</v>
      </c>
      <c r="P1573" s="29">
        <v>24</v>
      </c>
      <c r="Q1573" s="28" t="s">
        <v>2017</v>
      </c>
      <c r="R1573" s="21"/>
      <c r="S1573" s="21"/>
      <c r="T1573" s="21"/>
      <c r="U1573" s="21"/>
      <c r="V1573" s="21"/>
      <c r="W1573" s="21"/>
      <c r="X1573" s="21"/>
    </row>
    <row r="1574" spans="1:24" ht="15.75" thickBot="1" x14ac:dyDescent="0.3">
      <c r="A1574" t="str">
        <f t="shared" si="24"/>
        <v>KB3B 2127407 AG3ZHE</v>
      </c>
      <c r="B1574" s="22" t="s">
        <v>6811</v>
      </c>
      <c r="C1574" s="22" t="s">
        <v>6812</v>
      </c>
      <c r="D1574" s="22" t="s">
        <v>6813</v>
      </c>
      <c r="E1574" s="21"/>
      <c r="F1574" s="22" t="s">
        <v>2030</v>
      </c>
      <c r="G1574" s="28" t="s">
        <v>2012</v>
      </c>
      <c r="H1574" s="22" t="s">
        <v>2080</v>
      </c>
      <c r="I1574" s="21"/>
      <c r="J1574" s="22" t="s">
        <v>494</v>
      </c>
      <c r="K1574" s="22" t="s">
        <v>262</v>
      </c>
      <c r="L1574" s="21"/>
      <c r="M1574" s="22" t="s">
        <v>2014</v>
      </c>
      <c r="N1574" s="28" t="s">
        <v>2015</v>
      </c>
      <c r="O1574" s="28" t="s">
        <v>2016</v>
      </c>
      <c r="P1574" s="29">
        <v>48</v>
      </c>
      <c r="Q1574" s="28" t="s">
        <v>2017</v>
      </c>
      <c r="R1574" s="21"/>
      <c r="S1574" s="21"/>
      <c r="T1574" s="21"/>
      <c r="U1574" s="21"/>
      <c r="V1574" s="21"/>
      <c r="W1574" s="21"/>
      <c r="X1574" s="21"/>
    </row>
    <row r="1575" spans="1:24" ht="15.75" thickBot="1" x14ac:dyDescent="0.3">
      <c r="A1575" t="str">
        <f t="shared" si="24"/>
        <v>KB3B 21277C02 AA</v>
      </c>
      <c r="B1575" s="22" t="s">
        <v>6814</v>
      </c>
      <c r="C1575" s="22" t="s">
        <v>6815</v>
      </c>
      <c r="D1575" s="22" t="s">
        <v>6816</v>
      </c>
      <c r="E1575" s="21"/>
      <c r="F1575" s="22" t="s">
        <v>2030</v>
      </c>
      <c r="G1575" s="28" t="s">
        <v>2012</v>
      </c>
      <c r="H1575" s="22" t="s">
        <v>2080</v>
      </c>
      <c r="I1575" s="21"/>
      <c r="J1575" s="22" t="s">
        <v>494</v>
      </c>
      <c r="K1575" s="22" t="s">
        <v>924</v>
      </c>
      <c r="L1575" s="21"/>
      <c r="M1575" s="22" t="s">
        <v>2014</v>
      </c>
      <c r="N1575" s="28" t="s">
        <v>2015</v>
      </c>
      <c r="O1575" s="28" t="s">
        <v>2016</v>
      </c>
      <c r="P1575" s="29">
        <v>224</v>
      </c>
      <c r="Q1575" s="28" t="s">
        <v>2017</v>
      </c>
      <c r="R1575" s="21"/>
      <c r="S1575" s="21"/>
      <c r="T1575" s="21"/>
      <c r="U1575" s="21"/>
      <c r="V1575" s="21"/>
      <c r="W1575" s="21"/>
      <c r="X1575" s="21"/>
    </row>
    <row r="1576" spans="1:24" ht="15.75" thickBot="1" x14ac:dyDescent="0.3">
      <c r="A1576" t="str">
        <f t="shared" si="24"/>
        <v>KB3B 21280A54 AF</v>
      </c>
      <c r="B1576" s="22" t="s">
        <v>6817</v>
      </c>
      <c r="C1576" s="22" t="s">
        <v>6818</v>
      </c>
      <c r="D1576" s="22" t="s">
        <v>6819</v>
      </c>
      <c r="E1576" s="21"/>
      <c r="F1576" s="22" t="s">
        <v>2030</v>
      </c>
      <c r="G1576" s="28" t="s">
        <v>2012</v>
      </c>
      <c r="H1576" s="22" t="s">
        <v>2080</v>
      </c>
      <c r="I1576" s="21"/>
      <c r="J1576" s="22" t="s">
        <v>494</v>
      </c>
      <c r="K1576" s="22" t="s">
        <v>924</v>
      </c>
      <c r="L1576" s="21"/>
      <c r="M1576" s="22" t="s">
        <v>2014</v>
      </c>
      <c r="N1576" s="28" t="s">
        <v>2015</v>
      </c>
      <c r="O1576" s="28" t="s">
        <v>2016</v>
      </c>
      <c r="P1576" s="29">
        <v>25</v>
      </c>
      <c r="Q1576" s="28" t="s">
        <v>2017</v>
      </c>
      <c r="R1576" s="21"/>
      <c r="S1576" s="21"/>
      <c r="T1576" s="21"/>
      <c r="U1576" s="21"/>
      <c r="V1576" s="21"/>
      <c r="W1576" s="21"/>
      <c r="X1576" s="21"/>
    </row>
    <row r="1577" spans="1:24" ht="15.75" thickBot="1" x14ac:dyDescent="0.3">
      <c r="A1577" t="str">
        <f t="shared" si="24"/>
        <v>KB3B 21280A55 AF</v>
      </c>
      <c r="B1577" s="22" t="s">
        <v>6820</v>
      </c>
      <c r="C1577" s="22" t="s">
        <v>6821</v>
      </c>
      <c r="D1577" s="22" t="s">
        <v>6822</v>
      </c>
      <c r="E1577" s="21"/>
      <c r="F1577" s="22" t="s">
        <v>2030</v>
      </c>
      <c r="G1577" s="28" t="s">
        <v>2012</v>
      </c>
      <c r="H1577" s="22" t="s">
        <v>2080</v>
      </c>
      <c r="I1577" s="21"/>
      <c r="J1577" s="22" t="s">
        <v>494</v>
      </c>
      <c r="K1577" s="22" t="s">
        <v>924</v>
      </c>
      <c r="L1577" s="21"/>
      <c r="M1577" s="22" t="s">
        <v>2014</v>
      </c>
      <c r="N1577" s="28" t="s">
        <v>2015</v>
      </c>
      <c r="O1577" s="28" t="s">
        <v>2016</v>
      </c>
      <c r="P1577" s="29">
        <v>1</v>
      </c>
      <c r="Q1577" s="28" t="s">
        <v>2017</v>
      </c>
      <c r="R1577" s="21"/>
      <c r="S1577" s="21"/>
      <c r="T1577" s="21"/>
      <c r="U1577" s="21"/>
      <c r="V1577" s="21"/>
      <c r="W1577" s="21"/>
      <c r="X1577" s="21"/>
    </row>
    <row r="1578" spans="1:24" ht="15.75" thickBot="1" x14ac:dyDescent="0.3">
      <c r="A1578" t="str">
        <f t="shared" si="24"/>
        <v>KB3B 21286E70 AB</v>
      </c>
      <c r="B1578" s="22" t="s">
        <v>6823</v>
      </c>
      <c r="C1578" s="22" t="s">
        <v>6824</v>
      </c>
      <c r="D1578" s="22" t="s">
        <v>6825</v>
      </c>
      <c r="E1578" s="21"/>
      <c r="F1578" s="22" t="s">
        <v>2030</v>
      </c>
      <c r="G1578" s="28" t="s">
        <v>2012</v>
      </c>
      <c r="H1578" s="22" t="s">
        <v>2080</v>
      </c>
      <c r="I1578" s="21"/>
      <c r="J1578" s="22" t="s">
        <v>494</v>
      </c>
      <c r="K1578" s="22" t="s">
        <v>924</v>
      </c>
      <c r="L1578" s="21"/>
      <c r="M1578" s="22" t="s">
        <v>2014</v>
      </c>
      <c r="N1578" s="28" t="s">
        <v>2015</v>
      </c>
      <c r="O1578" s="28" t="s">
        <v>2016</v>
      </c>
      <c r="P1578" s="29">
        <v>518</v>
      </c>
      <c r="Q1578" s="28" t="s">
        <v>2017</v>
      </c>
      <c r="R1578" s="40">
        <v>11100</v>
      </c>
      <c r="S1578" s="29">
        <v>3</v>
      </c>
      <c r="T1578" s="32">
        <v>4.6666666666000001E-2</v>
      </c>
      <c r="U1578" s="32">
        <v>0</v>
      </c>
      <c r="V1578" s="40">
        <v>11100</v>
      </c>
      <c r="W1578" s="30"/>
      <c r="X1578" s="30"/>
    </row>
    <row r="1579" spans="1:24" ht="15.75" thickBot="1" x14ac:dyDescent="0.3">
      <c r="A1579" t="str">
        <f t="shared" si="24"/>
        <v>KB3B 21286E71 AB</v>
      </c>
      <c r="B1579" s="22" t="s">
        <v>6826</v>
      </c>
      <c r="C1579" s="22" t="s">
        <v>6827</v>
      </c>
      <c r="D1579" s="22" t="s">
        <v>6828</v>
      </c>
      <c r="E1579" s="21"/>
      <c r="F1579" s="22" t="s">
        <v>2030</v>
      </c>
      <c r="G1579" s="28" t="s">
        <v>2012</v>
      </c>
      <c r="H1579" s="22" t="s">
        <v>2080</v>
      </c>
      <c r="I1579" s="21"/>
      <c r="J1579" s="22" t="s">
        <v>494</v>
      </c>
      <c r="K1579" s="22" t="s">
        <v>924</v>
      </c>
      <c r="L1579" s="21"/>
      <c r="M1579" s="22" t="s">
        <v>2014</v>
      </c>
      <c r="N1579" s="28" t="s">
        <v>2015</v>
      </c>
      <c r="O1579" s="28" t="s">
        <v>2016</v>
      </c>
      <c r="P1579" s="29">
        <v>265</v>
      </c>
      <c r="Q1579" s="28" t="s">
        <v>2017</v>
      </c>
      <c r="R1579" s="40">
        <v>5678.5714285714303</v>
      </c>
      <c r="S1579" s="29">
        <v>3</v>
      </c>
      <c r="T1579" s="32">
        <v>4.6666666666000001E-2</v>
      </c>
      <c r="U1579" s="32">
        <v>0</v>
      </c>
      <c r="V1579" s="40">
        <v>5678.5714285714303</v>
      </c>
      <c r="W1579" s="30"/>
      <c r="X1579" s="30"/>
    </row>
    <row r="1580" spans="1:24" ht="15.75" thickBot="1" x14ac:dyDescent="0.3">
      <c r="A1580" t="str">
        <f t="shared" si="24"/>
        <v>KB3B 2129264 AA</v>
      </c>
      <c r="B1580" s="22" t="s">
        <v>6829</v>
      </c>
      <c r="C1580" s="22" t="s">
        <v>6830</v>
      </c>
      <c r="D1580" s="22" t="s">
        <v>6831</v>
      </c>
      <c r="E1580" s="21"/>
      <c r="F1580" s="22" t="s">
        <v>2030</v>
      </c>
      <c r="G1580" s="28" t="s">
        <v>2012</v>
      </c>
      <c r="H1580" s="22" t="s">
        <v>2080</v>
      </c>
      <c r="I1580" s="21"/>
      <c r="J1580" s="22" t="s">
        <v>494</v>
      </c>
      <c r="K1580" s="22" t="s">
        <v>924</v>
      </c>
      <c r="L1580" s="21"/>
      <c r="M1580" s="22" t="s">
        <v>2014</v>
      </c>
      <c r="N1580" s="28" t="s">
        <v>2015</v>
      </c>
      <c r="O1580" s="28" t="s">
        <v>2016</v>
      </c>
      <c r="P1580" s="29">
        <v>1285</v>
      </c>
      <c r="Q1580" s="28" t="s">
        <v>2017</v>
      </c>
      <c r="R1580" s="21"/>
      <c r="S1580" s="21"/>
      <c r="T1580" s="21"/>
      <c r="U1580" s="21"/>
      <c r="V1580" s="21"/>
      <c r="W1580" s="21"/>
      <c r="X1580" s="21"/>
    </row>
    <row r="1581" spans="1:24" ht="15.75" thickBot="1" x14ac:dyDescent="0.3">
      <c r="A1581" t="str">
        <f t="shared" si="24"/>
        <v>KB3B 2131002 AB3ZHE</v>
      </c>
      <c r="B1581" s="22" t="s">
        <v>6832</v>
      </c>
      <c r="C1581" s="22" t="s">
        <v>6833</v>
      </c>
      <c r="D1581" s="22" t="s">
        <v>6834</v>
      </c>
      <c r="E1581" s="21"/>
      <c r="F1581" s="22" t="s">
        <v>6835</v>
      </c>
      <c r="G1581" s="28" t="s">
        <v>2012</v>
      </c>
      <c r="H1581" s="22" t="s">
        <v>2080</v>
      </c>
      <c r="I1581" s="21"/>
      <c r="J1581" s="22" t="s">
        <v>494</v>
      </c>
      <c r="K1581" s="22" t="s">
        <v>262</v>
      </c>
      <c r="L1581" s="21"/>
      <c r="M1581" s="22" t="s">
        <v>2014</v>
      </c>
      <c r="N1581" s="28" t="s">
        <v>2015</v>
      </c>
      <c r="O1581" s="28" t="s">
        <v>2016</v>
      </c>
      <c r="P1581" s="29">
        <v>98</v>
      </c>
      <c r="Q1581" s="28" t="s">
        <v>2017</v>
      </c>
      <c r="R1581" s="21"/>
      <c r="S1581" s="21"/>
      <c r="T1581" s="21"/>
      <c r="U1581" s="21"/>
      <c r="V1581" s="21"/>
      <c r="W1581" s="21"/>
      <c r="X1581" s="21"/>
    </row>
    <row r="1582" spans="1:24" ht="15.75" thickBot="1" x14ac:dyDescent="0.3">
      <c r="A1582" t="str">
        <f t="shared" si="24"/>
        <v>KB3B 2131002 BB3ZHE</v>
      </c>
      <c r="B1582" s="22" t="s">
        <v>6836</v>
      </c>
      <c r="C1582" s="22" t="s">
        <v>6837</v>
      </c>
      <c r="D1582" s="22" t="s">
        <v>6834</v>
      </c>
      <c r="E1582" s="21"/>
      <c r="F1582" s="22" t="s">
        <v>6835</v>
      </c>
      <c r="G1582" s="28" t="s">
        <v>2012</v>
      </c>
      <c r="H1582" s="22" t="s">
        <v>2080</v>
      </c>
      <c r="I1582" s="21"/>
      <c r="J1582" s="22" t="s">
        <v>494</v>
      </c>
      <c r="K1582" s="22" t="s">
        <v>262</v>
      </c>
      <c r="L1582" s="21"/>
      <c r="M1582" s="22" t="s">
        <v>2014</v>
      </c>
      <c r="N1582" s="28" t="s">
        <v>2015</v>
      </c>
      <c r="O1582" s="28" t="s">
        <v>2016</v>
      </c>
      <c r="P1582" s="29">
        <v>103</v>
      </c>
      <c r="Q1582" s="28" t="s">
        <v>2017</v>
      </c>
      <c r="R1582" s="21"/>
      <c r="S1582" s="21"/>
      <c r="T1582" s="21"/>
      <c r="U1582" s="21"/>
      <c r="V1582" s="21"/>
      <c r="W1582" s="21"/>
      <c r="X1582" s="21"/>
    </row>
    <row r="1583" spans="1:24" ht="15.75" thickBot="1" x14ac:dyDescent="0.3">
      <c r="A1583" t="str">
        <f t="shared" si="24"/>
        <v>KB3B 2131003 AB3ZHE</v>
      </c>
      <c r="B1583" s="22" t="s">
        <v>6838</v>
      </c>
      <c r="C1583" s="22" t="s">
        <v>6839</v>
      </c>
      <c r="D1583" s="22" t="s">
        <v>6840</v>
      </c>
      <c r="E1583" s="21"/>
      <c r="F1583" s="22" t="s">
        <v>6835</v>
      </c>
      <c r="G1583" s="28" t="s">
        <v>2012</v>
      </c>
      <c r="H1583" s="22" t="s">
        <v>2080</v>
      </c>
      <c r="I1583" s="21"/>
      <c r="J1583" s="22" t="s">
        <v>494</v>
      </c>
      <c r="K1583" s="22" t="s">
        <v>262</v>
      </c>
      <c r="L1583" s="21"/>
      <c r="M1583" s="22" t="s">
        <v>2014</v>
      </c>
      <c r="N1583" s="28" t="s">
        <v>2015</v>
      </c>
      <c r="O1583" s="28" t="s">
        <v>2016</v>
      </c>
      <c r="P1583" s="29">
        <v>107</v>
      </c>
      <c r="Q1583" s="28" t="s">
        <v>2017</v>
      </c>
      <c r="R1583" s="21"/>
      <c r="S1583" s="21"/>
      <c r="T1583" s="21"/>
      <c r="U1583" s="21"/>
      <c r="V1583" s="21"/>
      <c r="W1583" s="21"/>
      <c r="X1583" s="21"/>
    </row>
    <row r="1584" spans="1:24" ht="15.75" thickBot="1" x14ac:dyDescent="0.3">
      <c r="A1584" t="str">
        <f t="shared" si="24"/>
        <v>KB3B 2131003 BB3ZHE</v>
      </c>
      <c r="B1584" s="22" t="s">
        <v>6841</v>
      </c>
      <c r="C1584" s="22" t="s">
        <v>6842</v>
      </c>
      <c r="D1584" s="22" t="s">
        <v>6840</v>
      </c>
      <c r="E1584" s="21"/>
      <c r="F1584" s="22" t="s">
        <v>6835</v>
      </c>
      <c r="G1584" s="28" t="s">
        <v>2012</v>
      </c>
      <c r="H1584" s="22" t="s">
        <v>2080</v>
      </c>
      <c r="I1584" s="21"/>
      <c r="J1584" s="22" t="s">
        <v>494</v>
      </c>
      <c r="K1584" s="22" t="s">
        <v>262</v>
      </c>
      <c r="L1584" s="21"/>
      <c r="M1584" s="22" t="s">
        <v>2014</v>
      </c>
      <c r="N1584" s="28" t="s">
        <v>2015</v>
      </c>
      <c r="O1584" s="28" t="s">
        <v>2016</v>
      </c>
      <c r="P1584" s="29">
        <v>80</v>
      </c>
      <c r="Q1584" s="28" t="s">
        <v>2017</v>
      </c>
      <c r="R1584" s="21"/>
      <c r="S1584" s="21"/>
      <c r="T1584" s="21"/>
      <c r="U1584" s="21"/>
      <c r="V1584" s="21"/>
      <c r="W1584" s="21"/>
      <c r="X1584" s="21"/>
    </row>
    <row r="1585" spans="1:24" ht="15.75" thickBot="1" x14ac:dyDescent="0.3">
      <c r="A1585" t="str">
        <f t="shared" si="24"/>
        <v>KB3B 2131006 AE3ZHE</v>
      </c>
      <c r="B1585" s="22" t="s">
        <v>6843</v>
      </c>
      <c r="C1585" s="22" t="s">
        <v>6844</v>
      </c>
      <c r="D1585" s="22" t="s">
        <v>6845</v>
      </c>
      <c r="E1585" s="21"/>
      <c r="F1585" s="22" t="s">
        <v>6846</v>
      </c>
      <c r="G1585" s="28" t="s">
        <v>2012</v>
      </c>
      <c r="H1585" s="22" t="s">
        <v>2080</v>
      </c>
      <c r="I1585" s="21"/>
      <c r="J1585" s="22" t="s">
        <v>494</v>
      </c>
      <c r="K1585" s="22" t="s">
        <v>262</v>
      </c>
      <c r="L1585" s="21"/>
      <c r="M1585" s="22" t="s">
        <v>2014</v>
      </c>
      <c r="N1585" s="28" t="s">
        <v>2015</v>
      </c>
      <c r="O1585" s="28" t="s">
        <v>2016</v>
      </c>
      <c r="P1585" s="29">
        <v>0</v>
      </c>
      <c r="Q1585" s="28" t="s">
        <v>2017</v>
      </c>
      <c r="R1585" s="21"/>
      <c r="S1585" s="21"/>
      <c r="T1585" s="21"/>
      <c r="U1585" s="21"/>
      <c r="V1585" s="21"/>
      <c r="W1585" s="21"/>
      <c r="X1585" s="21"/>
    </row>
    <row r="1586" spans="1:24" ht="15.75" thickBot="1" x14ac:dyDescent="0.3">
      <c r="A1586" t="str">
        <f t="shared" si="24"/>
        <v>KB3B 2131006 AF3ZHE</v>
      </c>
      <c r="B1586" s="22" t="s">
        <v>6847</v>
      </c>
      <c r="C1586" s="22" t="s">
        <v>6848</v>
      </c>
      <c r="D1586" s="22" t="s">
        <v>6845</v>
      </c>
      <c r="E1586" s="21"/>
      <c r="F1586" s="22" t="s">
        <v>6846</v>
      </c>
      <c r="G1586" s="28" t="s">
        <v>2012</v>
      </c>
      <c r="H1586" s="22" t="s">
        <v>2080</v>
      </c>
      <c r="I1586" s="21"/>
      <c r="J1586" s="22" t="s">
        <v>494</v>
      </c>
      <c r="K1586" s="22" t="s">
        <v>262</v>
      </c>
      <c r="L1586" s="21"/>
      <c r="M1586" s="22" t="s">
        <v>2014</v>
      </c>
      <c r="N1586" s="28" t="s">
        <v>2015</v>
      </c>
      <c r="O1586" s="28" t="s">
        <v>2016</v>
      </c>
      <c r="P1586" s="29">
        <v>122</v>
      </c>
      <c r="Q1586" s="28" t="s">
        <v>2017</v>
      </c>
      <c r="R1586" s="21"/>
      <c r="S1586" s="21"/>
      <c r="T1586" s="21"/>
      <c r="U1586" s="21"/>
      <c r="V1586" s="21"/>
      <c r="W1586" s="21"/>
      <c r="X1586" s="21"/>
    </row>
    <row r="1587" spans="1:24" ht="15.75" thickBot="1" x14ac:dyDescent="0.3">
      <c r="A1587" t="str">
        <f t="shared" si="24"/>
        <v>KB3B 2131007 AE3ZHE</v>
      </c>
      <c r="B1587" s="22" t="s">
        <v>6849</v>
      </c>
      <c r="C1587" s="22" t="s">
        <v>6850</v>
      </c>
      <c r="D1587" s="22" t="s">
        <v>6851</v>
      </c>
      <c r="E1587" s="21"/>
      <c r="F1587" s="22" t="s">
        <v>4522</v>
      </c>
      <c r="G1587" s="28" t="s">
        <v>2012</v>
      </c>
      <c r="H1587" s="22" t="s">
        <v>2080</v>
      </c>
      <c r="I1587" s="21"/>
      <c r="J1587" s="22" t="s">
        <v>494</v>
      </c>
      <c r="K1587" s="22" t="s">
        <v>262</v>
      </c>
      <c r="L1587" s="21"/>
      <c r="M1587" s="22" t="s">
        <v>2014</v>
      </c>
      <c r="N1587" s="28" t="s">
        <v>2015</v>
      </c>
      <c r="O1587" s="28" t="s">
        <v>2016</v>
      </c>
      <c r="P1587" s="29">
        <v>0</v>
      </c>
      <c r="Q1587" s="28" t="s">
        <v>2017</v>
      </c>
      <c r="R1587" s="21"/>
      <c r="S1587" s="21"/>
      <c r="T1587" s="21"/>
      <c r="U1587" s="21"/>
      <c r="V1587" s="21"/>
      <c r="W1587" s="21"/>
      <c r="X1587" s="21"/>
    </row>
    <row r="1588" spans="1:24" ht="15.75" thickBot="1" x14ac:dyDescent="0.3">
      <c r="A1588" t="str">
        <f t="shared" si="24"/>
        <v>KB3B 2131007 AF3ZHE</v>
      </c>
      <c r="B1588" s="22" t="s">
        <v>6852</v>
      </c>
      <c r="C1588" s="22" t="s">
        <v>6853</v>
      </c>
      <c r="D1588" s="22" t="s">
        <v>6851</v>
      </c>
      <c r="E1588" s="21"/>
      <c r="F1588" s="22" t="s">
        <v>4522</v>
      </c>
      <c r="G1588" s="28" t="s">
        <v>2012</v>
      </c>
      <c r="H1588" s="22" t="s">
        <v>2080</v>
      </c>
      <c r="I1588" s="21"/>
      <c r="J1588" s="22" t="s">
        <v>494</v>
      </c>
      <c r="K1588" s="22" t="s">
        <v>262</v>
      </c>
      <c r="L1588" s="21"/>
      <c r="M1588" s="22" t="s">
        <v>2014</v>
      </c>
      <c r="N1588" s="28" t="s">
        <v>2015</v>
      </c>
      <c r="O1588" s="28" t="s">
        <v>2016</v>
      </c>
      <c r="P1588" s="29">
        <v>165</v>
      </c>
      <c r="Q1588" s="28" t="s">
        <v>2017</v>
      </c>
      <c r="R1588" s="21"/>
      <c r="S1588" s="21"/>
      <c r="T1588" s="21"/>
      <c r="U1588" s="21"/>
      <c r="V1588" s="21"/>
      <c r="W1588" s="21"/>
      <c r="X1588" s="21"/>
    </row>
    <row r="1589" spans="1:24" ht="15.75" thickBot="1" x14ac:dyDescent="0.3">
      <c r="A1589" t="str">
        <f t="shared" si="24"/>
        <v>KB3B 21312A48 AE</v>
      </c>
      <c r="B1589" s="22" t="s">
        <v>6854</v>
      </c>
      <c r="C1589" s="22" t="s">
        <v>6855</v>
      </c>
      <c r="D1589" s="22" t="s">
        <v>6856</v>
      </c>
      <c r="E1589" s="21"/>
      <c r="F1589" s="22" t="s">
        <v>2030</v>
      </c>
      <c r="G1589" s="28" t="s">
        <v>2012</v>
      </c>
      <c r="H1589" s="22" t="s">
        <v>2080</v>
      </c>
      <c r="I1589" s="21"/>
      <c r="J1589" s="22" t="s">
        <v>494</v>
      </c>
      <c r="K1589" s="22" t="s">
        <v>924</v>
      </c>
      <c r="L1589" s="21"/>
      <c r="M1589" s="22" t="s">
        <v>2014</v>
      </c>
      <c r="N1589" s="28" t="s">
        <v>2015</v>
      </c>
      <c r="O1589" s="28" t="s">
        <v>2016</v>
      </c>
      <c r="P1589" s="29">
        <v>315</v>
      </c>
      <c r="Q1589" s="28" t="s">
        <v>2017</v>
      </c>
      <c r="R1589" s="21"/>
      <c r="S1589" s="21"/>
      <c r="T1589" s="21"/>
      <c r="U1589" s="21"/>
      <c r="V1589" s="21"/>
      <c r="W1589" s="21"/>
      <c r="X1589" s="21"/>
    </row>
    <row r="1590" spans="1:24" ht="15.75" thickBot="1" x14ac:dyDescent="0.3">
      <c r="A1590" t="str">
        <f t="shared" si="24"/>
        <v>KB3B 21312A49 AB</v>
      </c>
      <c r="B1590" s="22" t="s">
        <v>6857</v>
      </c>
      <c r="C1590" s="22" t="s">
        <v>6858</v>
      </c>
      <c r="D1590" s="22" t="s">
        <v>6856</v>
      </c>
      <c r="E1590" s="21"/>
      <c r="F1590" s="22" t="s">
        <v>2030</v>
      </c>
      <c r="G1590" s="28" t="s">
        <v>2012</v>
      </c>
      <c r="H1590" s="22" t="s">
        <v>2080</v>
      </c>
      <c r="I1590" s="21"/>
      <c r="J1590" s="22" t="s">
        <v>494</v>
      </c>
      <c r="K1590" s="22" t="s">
        <v>924</v>
      </c>
      <c r="L1590" s="21"/>
      <c r="M1590" s="22" t="s">
        <v>2014</v>
      </c>
      <c r="N1590" s="28" t="s">
        <v>2015</v>
      </c>
      <c r="O1590" s="28" t="s">
        <v>2016</v>
      </c>
      <c r="P1590" s="29">
        <v>1297</v>
      </c>
      <c r="Q1590" s="28" t="s">
        <v>2017</v>
      </c>
      <c r="R1590" s="21"/>
      <c r="S1590" s="21"/>
      <c r="T1590" s="21"/>
      <c r="U1590" s="21"/>
      <c r="V1590" s="21"/>
      <c r="W1590" s="21"/>
      <c r="X1590" s="21"/>
    </row>
    <row r="1591" spans="1:24" ht="15.75" thickBot="1" x14ac:dyDescent="0.3">
      <c r="A1591" t="str">
        <f t="shared" si="24"/>
        <v>KB3B 2140338 AA</v>
      </c>
      <c r="B1591" s="22" t="s">
        <v>6859</v>
      </c>
      <c r="C1591" s="22" t="s">
        <v>6860</v>
      </c>
      <c r="D1591" s="22" t="s">
        <v>5043</v>
      </c>
      <c r="E1591" s="21"/>
      <c r="F1591" s="22" t="s">
        <v>2030</v>
      </c>
      <c r="G1591" s="28" t="s">
        <v>2012</v>
      </c>
      <c r="H1591" s="22" t="s">
        <v>2080</v>
      </c>
      <c r="I1591" s="21"/>
      <c r="J1591" s="22" t="s">
        <v>494</v>
      </c>
      <c r="K1591" s="22" t="s">
        <v>924</v>
      </c>
      <c r="L1591" s="21"/>
      <c r="M1591" s="22" t="s">
        <v>2014</v>
      </c>
      <c r="N1591" s="28" t="s">
        <v>2015</v>
      </c>
      <c r="O1591" s="28" t="s">
        <v>2016</v>
      </c>
      <c r="P1591" s="29">
        <v>0</v>
      </c>
      <c r="Q1591" s="28" t="s">
        <v>2017</v>
      </c>
      <c r="R1591" s="21"/>
      <c r="S1591" s="21"/>
      <c r="T1591" s="21"/>
      <c r="U1591" s="21"/>
      <c r="V1591" s="21"/>
      <c r="W1591" s="21"/>
      <c r="X1591" s="21"/>
    </row>
    <row r="1592" spans="1:24" ht="15.75" thickBot="1" x14ac:dyDescent="0.3">
      <c r="A1592" t="str">
        <f t="shared" si="24"/>
        <v>KB3B 21403A86 AB3ZHE</v>
      </c>
      <c r="B1592" s="22" t="s">
        <v>6861</v>
      </c>
      <c r="C1592" s="22" t="s">
        <v>6862</v>
      </c>
      <c r="D1592" s="22" t="s">
        <v>6863</v>
      </c>
      <c r="E1592" s="21"/>
      <c r="F1592" s="22" t="s">
        <v>6864</v>
      </c>
      <c r="G1592" s="28" t="s">
        <v>2012</v>
      </c>
      <c r="H1592" s="22" t="s">
        <v>2080</v>
      </c>
      <c r="I1592" s="21"/>
      <c r="J1592" s="22" t="s">
        <v>494</v>
      </c>
      <c r="K1592" s="22" t="s">
        <v>262</v>
      </c>
      <c r="L1592" s="21"/>
      <c r="M1592" s="22" t="s">
        <v>2014</v>
      </c>
      <c r="N1592" s="28" t="s">
        <v>2015</v>
      </c>
      <c r="O1592" s="28" t="s">
        <v>2016</v>
      </c>
      <c r="P1592" s="29">
        <v>474</v>
      </c>
      <c r="Q1592" s="28" t="s">
        <v>2017</v>
      </c>
      <c r="R1592" s="21"/>
      <c r="S1592" s="21"/>
      <c r="T1592" s="21"/>
      <c r="U1592" s="21"/>
      <c r="V1592" s="21"/>
      <c r="W1592" s="21"/>
      <c r="X1592" s="21"/>
    </row>
    <row r="1593" spans="1:24" ht="15.75" thickBot="1" x14ac:dyDescent="0.3">
      <c r="A1593" t="str">
        <f t="shared" si="24"/>
        <v>KB3B 21403E32 AB</v>
      </c>
      <c r="B1593" s="22" t="s">
        <v>6865</v>
      </c>
      <c r="C1593" s="22" t="s">
        <v>6866</v>
      </c>
      <c r="D1593" s="22" t="s">
        <v>6867</v>
      </c>
      <c r="E1593" s="21"/>
      <c r="F1593" s="22" t="s">
        <v>2030</v>
      </c>
      <c r="G1593" s="28" t="s">
        <v>2012</v>
      </c>
      <c r="H1593" s="22" t="s">
        <v>2080</v>
      </c>
      <c r="I1593" s="21"/>
      <c r="J1593" s="22" t="s">
        <v>494</v>
      </c>
      <c r="K1593" s="22" t="s">
        <v>924</v>
      </c>
      <c r="L1593" s="21"/>
      <c r="M1593" s="22" t="s">
        <v>2014</v>
      </c>
      <c r="N1593" s="28" t="s">
        <v>2015</v>
      </c>
      <c r="O1593" s="28" t="s">
        <v>2016</v>
      </c>
      <c r="P1593" s="29">
        <v>0</v>
      </c>
      <c r="Q1593" s="28" t="s">
        <v>2017</v>
      </c>
      <c r="R1593" s="21"/>
      <c r="S1593" s="21"/>
      <c r="T1593" s="21"/>
      <c r="U1593" s="21"/>
      <c r="V1593" s="21"/>
      <c r="W1593" s="21"/>
      <c r="X1593" s="21"/>
    </row>
    <row r="1594" spans="1:24" ht="15.75" thickBot="1" x14ac:dyDescent="0.3">
      <c r="A1594" t="str">
        <f t="shared" si="24"/>
        <v>KB3B 21407A00 AB</v>
      </c>
      <c r="B1594" s="22" t="s">
        <v>6868</v>
      </c>
      <c r="C1594" s="22" t="s">
        <v>6869</v>
      </c>
      <c r="D1594" s="22" t="s">
        <v>6870</v>
      </c>
      <c r="E1594" s="21"/>
      <c r="F1594" s="22" t="s">
        <v>2030</v>
      </c>
      <c r="G1594" s="28" t="s">
        <v>2012</v>
      </c>
      <c r="H1594" s="22" t="s">
        <v>2080</v>
      </c>
      <c r="I1594" s="21"/>
      <c r="J1594" s="22" t="s">
        <v>494</v>
      </c>
      <c r="K1594" s="22" t="s">
        <v>924</v>
      </c>
      <c r="L1594" s="21"/>
      <c r="M1594" s="22" t="s">
        <v>2014</v>
      </c>
      <c r="N1594" s="28" t="s">
        <v>2015</v>
      </c>
      <c r="O1594" s="28" t="s">
        <v>2016</v>
      </c>
      <c r="P1594" s="29">
        <v>3760</v>
      </c>
      <c r="Q1594" s="28" t="s">
        <v>2017</v>
      </c>
      <c r="R1594" s="40">
        <v>21974.025974026001</v>
      </c>
      <c r="S1594" s="29">
        <v>11</v>
      </c>
      <c r="T1594" s="32">
        <v>0.171111111111</v>
      </c>
      <c r="U1594" s="32">
        <v>0</v>
      </c>
      <c r="V1594" s="40">
        <v>21974.025974026001</v>
      </c>
      <c r="W1594" s="30"/>
      <c r="X1594" s="30"/>
    </row>
    <row r="1595" spans="1:24" ht="15.75" thickBot="1" x14ac:dyDescent="0.3">
      <c r="A1595" t="str">
        <f t="shared" si="24"/>
        <v>KB3B 2141018 AC</v>
      </c>
      <c r="B1595" s="22" t="s">
        <v>597</v>
      </c>
      <c r="C1595" s="22" t="s">
        <v>6871</v>
      </c>
      <c r="D1595" s="22" t="s">
        <v>6872</v>
      </c>
      <c r="E1595" s="21"/>
      <c r="F1595" s="22" t="s">
        <v>6873</v>
      </c>
      <c r="G1595" s="28" t="s">
        <v>2012</v>
      </c>
      <c r="H1595" s="22" t="s">
        <v>2080</v>
      </c>
      <c r="I1595" s="21"/>
      <c r="J1595" s="22" t="s">
        <v>494</v>
      </c>
      <c r="K1595" s="22" t="s">
        <v>262</v>
      </c>
      <c r="L1595" s="21"/>
      <c r="M1595" s="22" t="s">
        <v>2014</v>
      </c>
      <c r="N1595" s="28" t="s">
        <v>2015</v>
      </c>
      <c r="O1595" s="28" t="s">
        <v>2016</v>
      </c>
      <c r="P1595" s="29">
        <v>0</v>
      </c>
      <c r="Q1595" s="28" t="s">
        <v>2017</v>
      </c>
      <c r="R1595" s="41">
        <v>0</v>
      </c>
      <c r="S1595" s="29">
        <v>90</v>
      </c>
      <c r="T1595" s="32">
        <v>1.4</v>
      </c>
      <c r="U1595" s="32">
        <v>0</v>
      </c>
      <c r="V1595" s="41">
        <v>0</v>
      </c>
      <c r="W1595" s="21"/>
      <c r="X1595" s="21"/>
    </row>
    <row r="1596" spans="1:24" ht="15.75" thickBot="1" x14ac:dyDescent="0.3">
      <c r="A1596" t="str">
        <f t="shared" si="24"/>
        <v>KB3B 21410A23 AA</v>
      </c>
      <c r="B1596" s="22" t="s">
        <v>6874</v>
      </c>
      <c r="C1596" s="22" t="s">
        <v>6875</v>
      </c>
      <c r="D1596" s="22" t="s">
        <v>6876</v>
      </c>
      <c r="E1596" s="22" t="s">
        <v>6877</v>
      </c>
      <c r="F1596" s="22" t="s">
        <v>2030</v>
      </c>
      <c r="G1596" s="28" t="s">
        <v>2012</v>
      </c>
      <c r="H1596" s="22" t="s">
        <v>2080</v>
      </c>
      <c r="I1596" s="21"/>
      <c r="J1596" s="22" t="s">
        <v>261</v>
      </c>
      <c r="K1596" s="22" t="s">
        <v>924</v>
      </c>
      <c r="L1596" s="21"/>
      <c r="M1596" s="22" t="s">
        <v>6878</v>
      </c>
      <c r="N1596" s="28" t="s">
        <v>2015</v>
      </c>
      <c r="O1596" s="28" t="s">
        <v>2016</v>
      </c>
      <c r="P1596" s="29">
        <v>973</v>
      </c>
      <c r="Q1596" s="28" t="s">
        <v>2017</v>
      </c>
      <c r="R1596" s="21"/>
      <c r="S1596" s="21"/>
      <c r="T1596" s="21"/>
      <c r="U1596" s="21"/>
      <c r="V1596" s="21"/>
      <c r="W1596" s="21"/>
      <c r="X1596" s="21"/>
    </row>
    <row r="1597" spans="1:24" ht="15.75" thickBot="1" x14ac:dyDescent="0.3">
      <c r="A1597" t="str">
        <f t="shared" si="24"/>
        <v>KB3B 21410A66 AC</v>
      </c>
      <c r="B1597" s="22" t="s">
        <v>6879</v>
      </c>
      <c r="C1597" s="22" t="s">
        <v>6880</v>
      </c>
      <c r="D1597" s="22" t="s">
        <v>6881</v>
      </c>
      <c r="E1597" s="21"/>
      <c r="F1597" s="22" t="s">
        <v>2030</v>
      </c>
      <c r="G1597" s="28" t="s">
        <v>2012</v>
      </c>
      <c r="H1597" s="22" t="s">
        <v>2080</v>
      </c>
      <c r="I1597" s="21"/>
      <c r="J1597" s="22" t="s">
        <v>494</v>
      </c>
      <c r="K1597" s="22" t="s">
        <v>924</v>
      </c>
      <c r="L1597" s="21"/>
      <c r="M1597" s="22" t="s">
        <v>2014</v>
      </c>
      <c r="N1597" s="28" t="s">
        <v>2015</v>
      </c>
      <c r="O1597" s="28" t="s">
        <v>2016</v>
      </c>
      <c r="P1597" s="29">
        <v>76</v>
      </c>
      <c r="Q1597" s="28" t="s">
        <v>2017</v>
      </c>
      <c r="R1597" s="21"/>
      <c r="S1597" s="21"/>
      <c r="T1597" s="21"/>
      <c r="U1597" s="21"/>
      <c r="V1597" s="21"/>
      <c r="W1597" s="21"/>
      <c r="X1597" s="21"/>
    </row>
    <row r="1598" spans="1:24" ht="15.75" thickBot="1" x14ac:dyDescent="0.3">
      <c r="A1598" t="str">
        <f t="shared" si="24"/>
        <v>KB3B 21442A68 AB</v>
      </c>
      <c r="B1598" s="22" t="s">
        <v>6882</v>
      </c>
      <c r="C1598" s="22" t="s">
        <v>6883</v>
      </c>
      <c r="D1598" s="22" t="s">
        <v>6884</v>
      </c>
      <c r="E1598" s="21"/>
      <c r="F1598" s="22" t="s">
        <v>2030</v>
      </c>
      <c r="G1598" s="28" t="s">
        <v>2012</v>
      </c>
      <c r="H1598" s="22" t="s">
        <v>2080</v>
      </c>
      <c r="I1598" s="21"/>
      <c r="J1598" s="22" t="s">
        <v>494</v>
      </c>
      <c r="K1598" s="22" t="s">
        <v>924</v>
      </c>
      <c r="L1598" s="21"/>
      <c r="M1598" s="22" t="s">
        <v>2014</v>
      </c>
      <c r="N1598" s="28" t="s">
        <v>2015</v>
      </c>
      <c r="O1598" s="28" t="s">
        <v>2016</v>
      </c>
      <c r="P1598" s="29">
        <v>538</v>
      </c>
      <c r="Q1598" s="28" t="s">
        <v>2017</v>
      </c>
      <c r="R1598" s="21"/>
      <c r="S1598" s="21"/>
      <c r="T1598" s="21"/>
      <c r="U1598" s="21"/>
      <c r="V1598" s="21"/>
      <c r="W1598" s="21"/>
      <c r="X1598" s="21"/>
    </row>
    <row r="1599" spans="1:24" ht="15.75" thickBot="1" x14ac:dyDescent="0.3">
      <c r="A1599" t="str">
        <f t="shared" si="24"/>
        <v>KB3B 2146140 AC3ZHE</v>
      </c>
      <c r="B1599" s="22" t="s">
        <v>6885</v>
      </c>
      <c r="C1599" s="22" t="s">
        <v>6886</v>
      </c>
      <c r="D1599" s="22" t="s">
        <v>6887</v>
      </c>
      <c r="E1599" s="21"/>
      <c r="F1599" s="22" t="s">
        <v>6888</v>
      </c>
      <c r="G1599" s="28" t="s">
        <v>2012</v>
      </c>
      <c r="H1599" s="22" t="s">
        <v>2080</v>
      </c>
      <c r="I1599" s="21"/>
      <c r="J1599" s="22" t="s">
        <v>494</v>
      </c>
      <c r="K1599" s="22" t="s">
        <v>262</v>
      </c>
      <c r="L1599" s="21"/>
      <c r="M1599" s="22" t="s">
        <v>2014</v>
      </c>
      <c r="N1599" s="28" t="s">
        <v>2015</v>
      </c>
      <c r="O1599" s="28" t="s">
        <v>2016</v>
      </c>
      <c r="P1599" s="29">
        <v>664</v>
      </c>
      <c r="Q1599" s="28" t="s">
        <v>2017</v>
      </c>
      <c r="R1599" s="21"/>
      <c r="S1599" s="21"/>
      <c r="T1599" s="21"/>
      <c r="U1599" s="21"/>
      <c r="V1599" s="21"/>
      <c r="W1599" s="21"/>
      <c r="X1599" s="21"/>
    </row>
    <row r="1600" spans="1:24" ht="15.75" thickBot="1" x14ac:dyDescent="0.3">
      <c r="A1600" t="str">
        <f t="shared" si="24"/>
        <v>KB3B 2146141 AD3ZHE</v>
      </c>
      <c r="B1600" s="22" t="s">
        <v>6889</v>
      </c>
      <c r="C1600" s="22" t="s">
        <v>6890</v>
      </c>
      <c r="D1600" s="22" t="s">
        <v>6891</v>
      </c>
      <c r="E1600" s="21"/>
      <c r="F1600" s="22" t="s">
        <v>6888</v>
      </c>
      <c r="G1600" s="28" t="s">
        <v>2012</v>
      </c>
      <c r="H1600" s="22" t="s">
        <v>2080</v>
      </c>
      <c r="I1600" s="21"/>
      <c r="J1600" s="22" t="s">
        <v>494</v>
      </c>
      <c r="K1600" s="22" t="s">
        <v>262</v>
      </c>
      <c r="L1600" s="21"/>
      <c r="M1600" s="22" t="s">
        <v>2014</v>
      </c>
      <c r="N1600" s="28" t="s">
        <v>2015</v>
      </c>
      <c r="O1600" s="28" t="s">
        <v>2016</v>
      </c>
      <c r="P1600" s="29">
        <v>351</v>
      </c>
      <c r="Q1600" s="28" t="s">
        <v>2017</v>
      </c>
      <c r="R1600" s="40">
        <v>3223.4693877550999</v>
      </c>
      <c r="S1600" s="29">
        <v>7</v>
      </c>
      <c r="T1600" s="32">
        <v>0.108888888888</v>
      </c>
      <c r="U1600" s="32">
        <v>0</v>
      </c>
      <c r="V1600" s="40">
        <v>3223.4693877550999</v>
      </c>
      <c r="W1600" s="30"/>
      <c r="X1600" s="30"/>
    </row>
    <row r="1601" spans="1:24" ht="15.75" thickBot="1" x14ac:dyDescent="0.3">
      <c r="A1601" t="str">
        <f t="shared" si="24"/>
        <v>KB3B 21466B00 AD</v>
      </c>
      <c r="B1601" s="22" t="s">
        <v>6892</v>
      </c>
      <c r="C1601" s="22" t="s">
        <v>6893</v>
      </c>
      <c r="D1601" s="22" t="s">
        <v>6894</v>
      </c>
      <c r="E1601" s="21"/>
      <c r="F1601" s="22" t="s">
        <v>2030</v>
      </c>
      <c r="G1601" s="28" t="s">
        <v>2012</v>
      </c>
      <c r="H1601" s="22" t="s">
        <v>2080</v>
      </c>
      <c r="I1601" s="21"/>
      <c r="J1601" s="22" t="s">
        <v>494</v>
      </c>
      <c r="K1601" s="22" t="s">
        <v>924</v>
      </c>
      <c r="L1601" s="21"/>
      <c r="M1601" s="22" t="s">
        <v>2014</v>
      </c>
      <c r="N1601" s="28" t="s">
        <v>2015</v>
      </c>
      <c r="O1601" s="28" t="s">
        <v>2016</v>
      </c>
      <c r="P1601" s="29">
        <v>702</v>
      </c>
      <c r="Q1601" s="28" t="s">
        <v>2017</v>
      </c>
      <c r="R1601" s="21"/>
      <c r="S1601" s="21"/>
      <c r="T1601" s="21"/>
      <c r="U1601" s="21"/>
      <c r="V1601" s="21"/>
      <c r="W1601" s="21"/>
      <c r="X1601" s="21"/>
    </row>
    <row r="1602" spans="1:24" ht="15.75" thickBot="1" x14ac:dyDescent="0.3">
      <c r="A1602" t="str">
        <f t="shared" si="24"/>
        <v>KB3B 21519C38 AC3ZHE</v>
      </c>
      <c r="B1602" s="22" t="s">
        <v>6895</v>
      </c>
      <c r="C1602" s="22" t="s">
        <v>6896</v>
      </c>
      <c r="D1602" s="22" t="s">
        <v>6897</v>
      </c>
      <c r="E1602" s="21"/>
      <c r="F1602" s="22" t="s">
        <v>6898</v>
      </c>
      <c r="G1602" s="28" t="s">
        <v>2012</v>
      </c>
      <c r="H1602" s="22" t="s">
        <v>2080</v>
      </c>
      <c r="I1602" s="21"/>
      <c r="J1602" s="22" t="s">
        <v>494</v>
      </c>
      <c r="K1602" s="22" t="s">
        <v>262</v>
      </c>
      <c r="L1602" s="21"/>
      <c r="M1602" s="22" t="s">
        <v>2014</v>
      </c>
      <c r="N1602" s="28" t="s">
        <v>2015</v>
      </c>
      <c r="O1602" s="28" t="s">
        <v>2016</v>
      </c>
      <c r="P1602" s="29">
        <v>974</v>
      </c>
      <c r="Q1602" s="28" t="s">
        <v>2017</v>
      </c>
      <c r="R1602" s="21"/>
      <c r="S1602" s="21"/>
      <c r="T1602" s="21"/>
      <c r="U1602" s="21"/>
      <c r="V1602" s="21"/>
      <c r="W1602" s="21"/>
      <c r="X1602" s="21"/>
    </row>
    <row r="1603" spans="1:24" ht="15.75" thickBot="1" x14ac:dyDescent="0.3">
      <c r="A1603" t="str">
        <f t="shared" si="24"/>
        <v>KB3B 21519C39 AC3ZHE</v>
      </c>
      <c r="B1603" s="22" t="s">
        <v>6899</v>
      </c>
      <c r="C1603" s="22" t="s">
        <v>6900</v>
      </c>
      <c r="D1603" s="22" t="s">
        <v>6897</v>
      </c>
      <c r="E1603" s="21"/>
      <c r="F1603" s="22" t="s">
        <v>6898</v>
      </c>
      <c r="G1603" s="28" t="s">
        <v>2012</v>
      </c>
      <c r="H1603" s="22" t="s">
        <v>2080</v>
      </c>
      <c r="I1603" s="21"/>
      <c r="J1603" s="22" t="s">
        <v>494</v>
      </c>
      <c r="K1603" s="22" t="s">
        <v>262</v>
      </c>
      <c r="L1603" s="21"/>
      <c r="M1603" s="22" t="s">
        <v>2014</v>
      </c>
      <c r="N1603" s="28" t="s">
        <v>2015</v>
      </c>
      <c r="O1603" s="28" t="s">
        <v>2016</v>
      </c>
      <c r="P1603" s="29">
        <v>1943</v>
      </c>
      <c r="Q1603" s="28" t="s">
        <v>2017</v>
      </c>
      <c r="R1603" s="21"/>
      <c r="S1603" s="21"/>
      <c r="T1603" s="21"/>
      <c r="U1603" s="21"/>
      <c r="V1603" s="21"/>
      <c r="W1603" s="21"/>
      <c r="X1603" s="21"/>
    </row>
    <row r="1604" spans="1:24" ht="15.75" thickBot="1" x14ac:dyDescent="0.3">
      <c r="A1604" t="str">
        <f t="shared" si="24"/>
        <v>KB3B 2153038 AC</v>
      </c>
      <c r="B1604" s="22" t="s">
        <v>6901</v>
      </c>
      <c r="C1604" s="22" t="s">
        <v>6902</v>
      </c>
      <c r="D1604" s="22" t="s">
        <v>6903</v>
      </c>
      <c r="E1604" s="21"/>
      <c r="F1604" s="22" t="s">
        <v>2030</v>
      </c>
      <c r="G1604" s="28" t="s">
        <v>2012</v>
      </c>
      <c r="H1604" s="22" t="s">
        <v>2080</v>
      </c>
      <c r="I1604" s="21"/>
      <c r="J1604" s="22" t="s">
        <v>494</v>
      </c>
      <c r="K1604" s="22" t="s">
        <v>924</v>
      </c>
      <c r="L1604" s="21"/>
      <c r="M1604" s="22" t="s">
        <v>2014</v>
      </c>
      <c r="N1604" s="28" t="s">
        <v>2015</v>
      </c>
      <c r="O1604" s="28" t="s">
        <v>2016</v>
      </c>
      <c r="P1604" s="29">
        <v>68</v>
      </c>
      <c r="Q1604" s="28" t="s">
        <v>2017</v>
      </c>
      <c r="R1604" s="21"/>
      <c r="S1604" s="21"/>
      <c r="T1604" s="21"/>
      <c r="U1604" s="21"/>
      <c r="V1604" s="21"/>
      <c r="W1604" s="21"/>
      <c r="X1604" s="21"/>
    </row>
    <row r="1605" spans="1:24" ht="15.75" thickBot="1" x14ac:dyDescent="0.3">
      <c r="A1605" t="str">
        <f t="shared" ref="A1605:A1668" si="25">TRIM(B1605)</f>
        <v>KB3B 237W24 AB3ZHE</v>
      </c>
      <c r="B1605" s="22" t="s">
        <v>6904</v>
      </c>
      <c r="C1605" s="22" t="s">
        <v>6905</v>
      </c>
      <c r="D1605" s="22" t="s">
        <v>6906</v>
      </c>
      <c r="E1605" s="21"/>
      <c r="F1605" s="22" t="s">
        <v>6907</v>
      </c>
      <c r="G1605" s="28" t="s">
        <v>2012</v>
      </c>
      <c r="H1605" s="22" t="s">
        <v>2080</v>
      </c>
      <c r="I1605" s="21"/>
      <c r="J1605" s="22" t="s">
        <v>494</v>
      </c>
      <c r="K1605" s="22" t="s">
        <v>262</v>
      </c>
      <c r="L1605" s="21"/>
      <c r="M1605" s="22" t="s">
        <v>2014</v>
      </c>
      <c r="N1605" s="28" t="s">
        <v>2015</v>
      </c>
      <c r="O1605" s="28" t="s">
        <v>2016</v>
      </c>
      <c r="P1605" s="29">
        <v>1674</v>
      </c>
      <c r="Q1605" s="28" t="s">
        <v>2017</v>
      </c>
      <c r="R1605" s="21"/>
      <c r="S1605" s="21"/>
      <c r="T1605" s="21"/>
      <c r="U1605" s="21"/>
      <c r="V1605" s="21"/>
      <c r="W1605" s="21"/>
      <c r="X1605" s="21"/>
    </row>
    <row r="1606" spans="1:24" ht="15.75" thickBot="1" x14ac:dyDescent="0.3">
      <c r="A1606" t="str">
        <f t="shared" si="25"/>
        <v>KB3B 237W25 AB3ZHE</v>
      </c>
      <c r="B1606" s="22" t="s">
        <v>6908</v>
      </c>
      <c r="C1606" s="22" t="s">
        <v>6909</v>
      </c>
      <c r="D1606" s="22" t="s">
        <v>6910</v>
      </c>
      <c r="E1606" s="21"/>
      <c r="F1606" s="22" t="s">
        <v>6907</v>
      </c>
      <c r="G1606" s="28" t="s">
        <v>2012</v>
      </c>
      <c r="H1606" s="22" t="s">
        <v>2080</v>
      </c>
      <c r="I1606" s="21"/>
      <c r="J1606" s="22" t="s">
        <v>494</v>
      </c>
      <c r="K1606" s="22" t="s">
        <v>262</v>
      </c>
      <c r="L1606" s="21"/>
      <c r="M1606" s="22" t="s">
        <v>2014</v>
      </c>
      <c r="N1606" s="28" t="s">
        <v>2015</v>
      </c>
      <c r="O1606" s="28" t="s">
        <v>2016</v>
      </c>
      <c r="P1606" s="29">
        <v>3769</v>
      </c>
      <c r="Q1606" s="28" t="s">
        <v>2017</v>
      </c>
      <c r="R1606" s="21"/>
      <c r="S1606" s="21"/>
      <c r="T1606" s="21"/>
      <c r="U1606" s="21"/>
      <c r="V1606" s="21"/>
      <c r="W1606" s="21"/>
      <c r="X1606" s="21"/>
    </row>
    <row r="1607" spans="1:24" ht="15.75" thickBot="1" x14ac:dyDescent="0.3">
      <c r="A1607" t="str">
        <f t="shared" si="25"/>
        <v>KB3B 2610020 AF</v>
      </c>
      <c r="B1607" s="22" t="s">
        <v>6911</v>
      </c>
      <c r="C1607" s="22" t="s">
        <v>6912</v>
      </c>
      <c r="D1607" s="22" t="s">
        <v>6679</v>
      </c>
      <c r="E1607" s="22" t="s">
        <v>6913</v>
      </c>
      <c r="F1607" s="22" t="s">
        <v>2030</v>
      </c>
      <c r="G1607" s="28" t="s">
        <v>5499</v>
      </c>
      <c r="H1607" s="22" t="s">
        <v>2080</v>
      </c>
      <c r="I1607" s="21"/>
      <c r="J1607" s="22" t="s">
        <v>494</v>
      </c>
      <c r="K1607" s="22" t="s">
        <v>924</v>
      </c>
      <c r="L1607" s="21"/>
      <c r="M1607" s="22" t="s">
        <v>2014</v>
      </c>
      <c r="N1607" s="28" t="s">
        <v>2015</v>
      </c>
      <c r="O1607" s="28" t="s">
        <v>2016</v>
      </c>
      <c r="P1607" s="29">
        <v>11</v>
      </c>
      <c r="Q1607" s="28" t="s">
        <v>2017</v>
      </c>
      <c r="R1607" s="21"/>
      <c r="S1607" s="21"/>
      <c r="T1607" s="21"/>
      <c r="U1607" s="21"/>
      <c r="V1607" s="21"/>
      <c r="W1607" s="21"/>
      <c r="X1607" s="21"/>
    </row>
    <row r="1608" spans="1:24" ht="15.75" thickBot="1" x14ac:dyDescent="0.3">
      <c r="A1608" t="str">
        <f t="shared" si="25"/>
        <v>KB3B 2610020 AH</v>
      </c>
      <c r="B1608" s="22" t="s">
        <v>6914</v>
      </c>
      <c r="C1608" s="22" t="s">
        <v>6915</v>
      </c>
      <c r="D1608" s="22" t="s">
        <v>6916</v>
      </c>
      <c r="E1608" s="22" t="s">
        <v>6913</v>
      </c>
      <c r="F1608" s="22" t="s">
        <v>2030</v>
      </c>
      <c r="G1608" s="28" t="s">
        <v>2012</v>
      </c>
      <c r="H1608" s="22" t="s">
        <v>2080</v>
      </c>
      <c r="I1608" s="21"/>
      <c r="J1608" s="22" t="s">
        <v>494</v>
      </c>
      <c r="K1608" s="22" t="s">
        <v>924</v>
      </c>
      <c r="L1608" s="21"/>
      <c r="M1608" s="22" t="s">
        <v>2014</v>
      </c>
      <c r="N1608" s="28" t="s">
        <v>2015</v>
      </c>
      <c r="O1608" s="28" t="s">
        <v>2016</v>
      </c>
      <c r="P1608" s="29">
        <v>0</v>
      </c>
      <c r="Q1608" s="28" t="s">
        <v>2017</v>
      </c>
      <c r="R1608" s="21"/>
      <c r="S1608" s="21"/>
      <c r="T1608" s="21"/>
      <c r="U1608" s="21"/>
      <c r="V1608" s="21"/>
      <c r="W1608" s="21"/>
      <c r="X1608" s="21"/>
    </row>
    <row r="1609" spans="1:24" ht="15.75" thickBot="1" x14ac:dyDescent="0.3">
      <c r="A1609" t="str">
        <f t="shared" si="25"/>
        <v>KB3B 2610110 AB</v>
      </c>
      <c r="B1609" s="22" t="s">
        <v>6917</v>
      </c>
      <c r="C1609" s="22" t="s">
        <v>6918</v>
      </c>
      <c r="D1609" s="22" t="s">
        <v>6683</v>
      </c>
      <c r="E1609" s="21"/>
      <c r="F1609" s="22" t="s">
        <v>2030</v>
      </c>
      <c r="G1609" s="28" t="s">
        <v>5499</v>
      </c>
      <c r="H1609" s="22" t="s">
        <v>2080</v>
      </c>
      <c r="I1609" s="21"/>
      <c r="J1609" s="22" t="s">
        <v>494</v>
      </c>
      <c r="K1609" s="22" t="s">
        <v>924</v>
      </c>
      <c r="L1609" s="21"/>
      <c r="M1609" s="22" t="s">
        <v>2014</v>
      </c>
      <c r="N1609" s="28" t="s">
        <v>2015</v>
      </c>
      <c r="O1609" s="28" t="s">
        <v>2016</v>
      </c>
      <c r="P1609" s="29">
        <v>52</v>
      </c>
      <c r="Q1609" s="28" t="s">
        <v>2017</v>
      </c>
      <c r="R1609" s="21"/>
      <c r="S1609" s="21"/>
      <c r="T1609" s="21"/>
      <c r="U1609" s="21"/>
      <c r="V1609" s="21"/>
      <c r="W1609" s="21"/>
      <c r="X1609" s="21"/>
    </row>
    <row r="1610" spans="1:24" ht="15.75" thickBot="1" x14ac:dyDescent="0.3">
      <c r="A1610" t="str">
        <f t="shared" si="25"/>
        <v>KB3B 2610110 AC</v>
      </c>
      <c r="B1610" s="22" t="s">
        <v>6919</v>
      </c>
      <c r="C1610" s="22" t="s">
        <v>6920</v>
      </c>
      <c r="D1610" s="22" t="s">
        <v>6683</v>
      </c>
      <c r="E1610" s="21"/>
      <c r="F1610" s="22" t="s">
        <v>2030</v>
      </c>
      <c r="G1610" s="28" t="s">
        <v>2012</v>
      </c>
      <c r="H1610" s="22" t="s">
        <v>2080</v>
      </c>
      <c r="I1610" s="21"/>
      <c r="J1610" s="22" t="s">
        <v>494</v>
      </c>
      <c r="K1610" s="22" t="s">
        <v>924</v>
      </c>
      <c r="L1610" s="21"/>
      <c r="M1610" s="22" t="s">
        <v>2014</v>
      </c>
      <c r="N1610" s="28" t="s">
        <v>2015</v>
      </c>
      <c r="O1610" s="28" t="s">
        <v>2016</v>
      </c>
      <c r="P1610" s="29">
        <v>201</v>
      </c>
      <c r="Q1610" s="28" t="s">
        <v>2017</v>
      </c>
      <c r="R1610" s="21"/>
      <c r="S1610" s="21"/>
      <c r="T1610" s="21"/>
      <c r="U1610" s="21"/>
      <c r="V1610" s="21"/>
      <c r="W1610" s="21"/>
      <c r="X1610" s="21"/>
    </row>
    <row r="1611" spans="1:24" ht="15.75" thickBot="1" x14ac:dyDescent="0.3">
      <c r="A1611" t="str">
        <f t="shared" si="25"/>
        <v>KB3B 2610111 AC</v>
      </c>
      <c r="B1611" s="22" t="s">
        <v>6921</v>
      </c>
      <c r="C1611" s="22" t="s">
        <v>6922</v>
      </c>
      <c r="D1611" s="22" t="s">
        <v>6686</v>
      </c>
      <c r="E1611" s="21"/>
      <c r="F1611" s="22" t="s">
        <v>2030</v>
      </c>
      <c r="G1611" s="28" t="s">
        <v>2012</v>
      </c>
      <c r="H1611" s="22" t="s">
        <v>2080</v>
      </c>
      <c r="I1611" s="21"/>
      <c r="J1611" s="22" t="s">
        <v>494</v>
      </c>
      <c r="K1611" s="22" t="s">
        <v>924</v>
      </c>
      <c r="L1611" s="21"/>
      <c r="M1611" s="22" t="s">
        <v>2014</v>
      </c>
      <c r="N1611" s="28" t="s">
        <v>2015</v>
      </c>
      <c r="O1611" s="28" t="s">
        <v>2016</v>
      </c>
      <c r="P1611" s="29">
        <v>184</v>
      </c>
      <c r="Q1611" s="28" t="s">
        <v>2017</v>
      </c>
      <c r="R1611" s="21"/>
      <c r="S1611" s="21"/>
      <c r="T1611" s="21"/>
      <c r="U1611" s="21"/>
      <c r="V1611" s="21"/>
      <c r="W1611" s="21"/>
      <c r="X1611" s="21"/>
    </row>
    <row r="1612" spans="1:24" ht="15.75" thickBot="1" x14ac:dyDescent="0.3">
      <c r="A1612" t="str">
        <f t="shared" si="25"/>
        <v>KB3B 2610128 AD</v>
      </c>
      <c r="B1612" s="22" t="s">
        <v>6923</v>
      </c>
      <c r="C1612" s="22" t="s">
        <v>6924</v>
      </c>
      <c r="D1612" s="22" t="s">
        <v>6691</v>
      </c>
      <c r="E1612" s="21"/>
      <c r="F1612" s="22" t="s">
        <v>2030</v>
      </c>
      <c r="G1612" s="28" t="s">
        <v>5499</v>
      </c>
      <c r="H1612" s="22" t="s">
        <v>2080</v>
      </c>
      <c r="I1612" s="21"/>
      <c r="J1612" s="22" t="s">
        <v>494</v>
      </c>
      <c r="K1612" s="22" t="s">
        <v>924</v>
      </c>
      <c r="L1612" s="21"/>
      <c r="M1612" s="22" t="s">
        <v>2014</v>
      </c>
      <c r="N1612" s="28" t="s">
        <v>2015</v>
      </c>
      <c r="O1612" s="28" t="s">
        <v>2016</v>
      </c>
      <c r="P1612" s="29">
        <v>10</v>
      </c>
      <c r="Q1612" s="28" t="s">
        <v>2017</v>
      </c>
      <c r="R1612" s="21"/>
      <c r="S1612" s="21"/>
      <c r="T1612" s="21"/>
      <c r="U1612" s="21"/>
      <c r="V1612" s="21"/>
      <c r="W1612" s="21"/>
      <c r="X1612" s="21"/>
    </row>
    <row r="1613" spans="1:24" ht="15.75" thickBot="1" x14ac:dyDescent="0.3">
      <c r="A1613" t="str">
        <f t="shared" si="25"/>
        <v>KB3B 2610128 AE</v>
      </c>
      <c r="B1613" s="22" t="s">
        <v>6925</v>
      </c>
      <c r="C1613" s="22" t="s">
        <v>6926</v>
      </c>
      <c r="D1613" s="22" t="s">
        <v>6691</v>
      </c>
      <c r="E1613" s="21"/>
      <c r="F1613" s="22" t="s">
        <v>2030</v>
      </c>
      <c r="G1613" s="28" t="s">
        <v>2012</v>
      </c>
      <c r="H1613" s="22" t="s">
        <v>2080</v>
      </c>
      <c r="I1613" s="21"/>
      <c r="J1613" s="22" t="s">
        <v>494</v>
      </c>
      <c r="K1613" s="22" t="s">
        <v>924</v>
      </c>
      <c r="L1613" s="21"/>
      <c r="M1613" s="22" t="s">
        <v>2014</v>
      </c>
      <c r="N1613" s="28" t="s">
        <v>2015</v>
      </c>
      <c r="O1613" s="28" t="s">
        <v>2016</v>
      </c>
      <c r="P1613" s="29">
        <v>327</v>
      </c>
      <c r="Q1613" s="28" t="s">
        <v>2017</v>
      </c>
      <c r="R1613" s="21"/>
      <c r="S1613" s="21"/>
      <c r="T1613" s="21"/>
      <c r="U1613" s="21"/>
      <c r="V1613" s="21"/>
      <c r="W1613" s="21"/>
      <c r="X1613" s="21"/>
    </row>
    <row r="1614" spans="1:24" ht="15.75" thickBot="1" x14ac:dyDescent="0.3">
      <c r="A1614" t="str">
        <f t="shared" si="25"/>
        <v>KB3B 2610129 AD</v>
      </c>
      <c r="B1614" s="22" t="s">
        <v>6927</v>
      </c>
      <c r="C1614" s="22" t="s">
        <v>6928</v>
      </c>
      <c r="D1614" s="22" t="s">
        <v>6929</v>
      </c>
      <c r="E1614" s="21"/>
      <c r="F1614" s="22" t="s">
        <v>2030</v>
      </c>
      <c r="G1614" s="28" t="s">
        <v>2012</v>
      </c>
      <c r="H1614" s="22" t="s">
        <v>2080</v>
      </c>
      <c r="I1614" s="21"/>
      <c r="J1614" s="22" t="s">
        <v>494</v>
      </c>
      <c r="K1614" s="22" t="s">
        <v>924</v>
      </c>
      <c r="L1614" s="21"/>
      <c r="M1614" s="22" t="s">
        <v>2014</v>
      </c>
      <c r="N1614" s="28" t="s">
        <v>2015</v>
      </c>
      <c r="O1614" s="28" t="s">
        <v>2016</v>
      </c>
      <c r="P1614" s="29">
        <v>73</v>
      </c>
      <c r="Q1614" s="28" t="s">
        <v>2017</v>
      </c>
      <c r="R1614" s="21"/>
      <c r="S1614" s="21"/>
      <c r="T1614" s="21"/>
      <c r="U1614" s="21"/>
      <c r="V1614" s="21"/>
      <c r="W1614" s="21"/>
      <c r="X1614" s="21"/>
    </row>
    <row r="1615" spans="1:24" ht="15.75" thickBot="1" x14ac:dyDescent="0.3">
      <c r="A1615" t="str">
        <f t="shared" si="25"/>
        <v>KB3B 2610610 AD</v>
      </c>
      <c r="B1615" s="22" t="s">
        <v>6930</v>
      </c>
      <c r="C1615" s="22" t="s">
        <v>6931</v>
      </c>
      <c r="D1615" s="22" t="s">
        <v>6700</v>
      </c>
      <c r="E1615" s="21"/>
      <c r="F1615" s="22" t="s">
        <v>2030</v>
      </c>
      <c r="G1615" s="28" t="s">
        <v>2012</v>
      </c>
      <c r="H1615" s="22" t="s">
        <v>2080</v>
      </c>
      <c r="I1615" s="21"/>
      <c r="J1615" s="22" t="s">
        <v>494</v>
      </c>
      <c r="K1615" s="22" t="s">
        <v>924</v>
      </c>
      <c r="L1615" s="21"/>
      <c r="M1615" s="22" t="s">
        <v>2014</v>
      </c>
      <c r="N1615" s="28" t="s">
        <v>2015</v>
      </c>
      <c r="O1615" s="28" t="s">
        <v>2016</v>
      </c>
      <c r="P1615" s="29">
        <v>108</v>
      </c>
      <c r="Q1615" s="28" t="s">
        <v>2017</v>
      </c>
      <c r="R1615" s="21"/>
      <c r="S1615" s="21"/>
      <c r="T1615" s="21"/>
      <c r="U1615" s="21"/>
      <c r="V1615" s="21"/>
      <c r="W1615" s="21"/>
      <c r="X1615" s="21"/>
    </row>
    <row r="1616" spans="1:24" ht="15.75" thickBot="1" x14ac:dyDescent="0.3">
      <c r="A1616" t="str">
        <f t="shared" si="25"/>
        <v>KB3B 2611434 AA</v>
      </c>
      <c r="B1616" s="22" t="s">
        <v>6932</v>
      </c>
      <c r="C1616" s="22" t="s">
        <v>6933</v>
      </c>
      <c r="D1616" s="22" t="s">
        <v>6934</v>
      </c>
      <c r="E1616" s="21"/>
      <c r="F1616" s="22" t="s">
        <v>6935</v>
      </c>
      <c r="G1616" s="28" t="s">
        <v>2012</v>
      </c>
      <c r="H1616" s="22" t="s">
        <v>2080</v>
      </c>
      <c r="I1616" s="21"/>
      <c r="J1616" s="22" t="s">
        <v>494</v>
      </c>
      <c r="K1616" s="22" t="s">
        <v>924</v>
      </c>
      <c r="L1616" s="21"/>
      <c r="M1616" s="22" t="s">
        <v>2014</v>
      </c>
      <c r="N1616" s="28" t="s">
        <v>2015</v>
      </c>
      <c r="O1616" s="28" t="s">
        <v>2016</v>
      </c>
      <c r="P1616" s="29">
        <v>80</v>
      </c>
      <c r="Q1616" s="28" t="s">
        <v>2017</v>
      </c>
      <c r="R1616" s="21"/>
      <c r="S1616" s="21"/>
      <c r="T1616" s="21"/>
      <c r="U1616" s="21"/>
      <c r="V1616" s="21"/>
      <c r="W1616" s="21"/>
      <c r="X1616" s="21"/>
    </row>
    <row r="1617" spans="1:24" ht="15.75" thickBot="1" x14ac:dyDescent="0.3">
      <c r="A1617" t="str">
        <f t="shared" si="25"/>
        <v>KB3B 2613244 AF3ZHE</v>
      </c>
      <c r="B1617" s="22" t="s">
        <v>6936</v>
      </c>
      <c r="C1617" s="22" t="s">
        <v>6937</v>
      </c>
      <c r="D1617" s="22" t="s">
        <v>6749</v>
      </c>
      <c r="E1617" s="21"/>
      <c r="F1617" s="22" t="s">
        <v>6938</v>
      </c>
      <c r="G1617" s="28" t="s">
        <v>2012</v>
      </c>
      <c r="H1617" s="22" t="s">
        <v>2080</v>
      </c>
      <c r="I1617" s="21"/>
      <c r="J1617" s="22" t="s">
        <v>494</v>
      </c>
      <c r="K1617" s="22" t="s">
        <v>262</v>
      </c>
      <c r="L1617" s="21"/>
      <c r="M1617" s="22" t="s">
        <v>2014</v>
      </c>
      <c r="N1617" s="28" t="s">
        <v>2015</v>
      </c>
      <c r="O1617" s="28" t="s">
        <v>2016</v>
      </c>
      <c r="P1617" s="29">
        <v>600</v>
      </c>
      <c r="Q1617" s="28" t="s">
        <v>2017</v>
      </c>
      <c r="R1617" s="21"/>
      <c r="S1617" s="21"/>
      <c r="T1617" s="21"/>
      <c r="U1617" s="21"/>
      <c r="V1617" s="21"/>
      <c r="W1617" s="21"/>
      <c r="X1617" s="21"/>
    </row>
    <row r="1618" spans="1:24" ht="15.75" thickBot="1" x14ac:dyDescent="0.3">
      <c r="A1618" t="str">
        <f t="shared" si="25"/>
        <v>KB3B 2613245 AF3ZHE</v>
      </c>
      <c r="B1618" s="22" t="s">
        <v>6939</v>
      </c>
      <c r="C1618" s="22" t="s">
        <v>6940</v>
      </c>
      <c r="D1618" s="22" t="s">
        <v>6753</v>
      </c>
      <c r="E1618" s="21"/>
      <c r="F1618" s="22" t="s">
        <v>6938</v>
      </c>
      <c r="G1618" s="28" t="s">
        <v>2012</v>
      </c>
      <c r="H1618" s="22" t="s">
        <v>2080</v>
      </c>
      <c r="I1618" s="21"/>
      <c r="J1618" s="22" t="s">
        <v>494</v>
      </c>
      <c r="K1618" s="22" t="s">
        <v>262</v>
      </c>
      <c r="L1618" s="21"/>
      <c r="M1618" s="22" t="s">
        <v>2014</v>
      </c>
      <c r="N1618" s="28" t="s">
        <v>2015</v>
      </c>
      <c r="O1618" s="28" t="s">
        <v>2016</v>
      </c>
      <c r="P1618" s="29">
        <v>481</v>
      </c>
      <c r="Q1618" s="28" t="s">
        <v>2017</v>
      </c>
      <c r="R1618" s="21"/>
      <c r="S1618" s="21"/>
      <c r="T1618" s="21"/>
      <c r="U1618" s="21"/>
      <c r="V1618" s="21"/>
      <c r="W1618" s="21"/>
      <c r="X1618" s="21"/>
    </row>
    <row r="1619" spans="1:24" ht="15.75" thickBot="1" x14ac:dyDescent="0.3">
      <c r="A1619" t="str">
        <f t="shared" si="25"/>
        <v>KB3B 2616G040 AEW</v>
      </c>
      <c r="B1619" s="22" t="s">
        <v>6941</v>
      </c>
      <c r="C1619" s="22" t="s">
        <v>6942</v>
      </c>
      <c r="D1619" s="22" t="s">
        <v>6943</v>
      </c>
      <c r="E1619" s="21"/>
      <c r="F1619" s="22" t="s">
        <v>6944</v>
      </c>
      <c r="G1619" s="28" t="s">
        <v>5499</v>
      </c>
      <c r="H1619" s="22" t="s">
        <v>2080</v>
      </c>
      <c r="I1619" s="21"/>
      <c r="J1619" s="22" t="s">
        <v>494</v>
      </c>
      <c r="K1619" s="22" t="s">
        <v>262</v>
      </c>
      <c r="L1619" s="21"/>
      <c r="M1619" s="22" t="s">
        <v>2014</v>
      </c>
      <c r="N1619" s="28" t="s">
        <v>2015</v>
      </c>
      <c r="O1619" s="28" t="s">
        <v>2016</v>
      </c>
      <c r="P1619" s="29">
        <v>0</v>
      </c>
      <c r="Q1619" s="28" t="s">
        <v>2017</v>
      </c>
      <c r="R1619" s="21"/>
      <c r="S1619" s="21"/>
      <c r="T1619" s="21"/>
      <c r="U1619" s="21"/>
      <c r="V1619" s="21"/>
      <c r="W1619" s="21"/>
      <c r="X1619" s="21"/>
    </row>
    <row r="1620" spans="1:24" ht="15.75" thickBot="1" x14ac:dyDescent="0.3">
      <c r="A1620" t="str">
        <f t="shared" si="25"/>
        <v>KB3B 2616G041 AEW</v>
      </c>
      <c r="B1620" s="22" t="s">
        <v>6945</v>
      </c>
      <c r="C1620" s="22" t="s">
        <v>6946</v>
      </c>
      <c r="D1620" s="22" t="s">
        <v>6947</v>
      </c>
      <c r="E1620" s="21"/>
      <c r="F1620" s="22" t="s">
        <v>6948</v>
      </c>
      <c r="G1620" s="28" t="s">
        <v>5499</v>
      </c>
      <c r="H1620" s="22" t="s">
        <v>2080</v>
      </c>
      <c r="I1620" s="21"/>
      <c r="J1620" s="22" t="s">
        <v>494</v>
      </c>
      <c r="K1620" s="22" t="s">
        <v>262</v>
      </c>
      <c r="L1620" s="21"/>
      <c r="M1620" s="22" t="s">
        <v>2014</v>
      </c>
      <c r="N1620" s="28" t="s">
        <v>2015</v>
      </c>
      <c r="O1620" s="28" t="s">
        <v>2016</v>
      </c>
      <c r="P1620" s="29">
        <v>0</v>
      </c>
      <c r="Q1620" s="28" t="s">
        <v>2017</v>
      </c>
      <c r="R1620" s="21"/>
      <c r="S1620" s="21"/>
      <c r="T1620" s="21"/>
      <c r="U1620" s="21"/>
      <c r="V1620" s="21"/>
      <c r="W1620" s="21"/>
      <c r="X1620" s="21"/>
    </row>
    <row r="1621" spans="1:24" ht="15.75" thickBot="1" x14ac:dyDescent="0.3">
      <c r="A1621" t="str">
        <f t="shared" si="25"/>
        <v>KB3B 2622642 AC3ZHE</v>
      </c>
      <c r="B1621" s="22" t="s">
        <v>6949</v>
      </c>
      <c r="C1621" s="22" t="s">
        <v>6950</v>
      </c>
      <c r="D1621" s="22" t="s">
        <v>6951</v>
      </c>
      <c r="E1621" s="21"/>
      <c r="F1621" s="22" t="s">
        <v>6952</v>
      </c>
      <c r="G1621" s="28" t="s">
        <v>2012</v>
      </c>
      <c r="H1621" s="22" t="s">
        <v>2080</v>
      </c>
      <c r="I1621" s="21"/>
      <c r="J1621" s="22" t="s">
        <v>494</v>
      </c>
      <c r="K1621" s="22" t="s">
        <v>262</v>
      </c>
      <c r="L1621" s="21"/>
      <c r="M1621" s="22" t="s">
        <v>2014</v>
      </c>
      <c r="N1621" s="28" t="s">
        <v>2015</v>
      </c>
      <c r="O1621" s="28" t="s">
        <v>2016</v>
      </c>
      <c r="P1621" s="29">
        <v>678</v>
      </c>
      <c r="Q1621" s="28" t="s">
        <v>2017</v>
      </c>
      <c r="R1621" s="40">
        <v>7264.2857142857201</v>
      </c>
      <c r="S1621" s="29">
        <v>6</v>
      </c>
      <c r="T1621" s="32">
        <v>9.3333333332999993E-2</v>
      </c>
      <c r="U1621" s="32">
        <v>0</v>
      </c>
      <c r="V1621" s="40">
        <v>7264.2857142857201</v>
      </c>
      <c r="W1621" s="30"/>
      <c r="X1621" s="30"/>
    </row>
    <row r="1622" spans="1:24" ht="15.75" thickBot="1" x14ac:dyDescent="0.3">
      <c r="A1622" t="str">
        <f t="shared" si="25"/>
        <v>KB3B 2622643 AC3ZHE</v>
      </c>
      <c r="B1622" s="22" t="s">
        <v>6953</v>
      </c>
      <c r="C1622" s="22" t="s">
        <v>6954</v>
      </c>
      <c r="D1622" s="22" t="s">
        <v>6951</v>
      </c>
      <c r="E1622" s="21"/>
      <c r="F1622" s="22" t="s">
        <v>6952</v>
      </c>
      <c r="G1622" s="28" t="s">
        <v>2012</v>
      </c>
      <c r="H1622" s="22" t="s">
        <v>2080</v>
      </c>
      <c r="I1622" s="21"/>
      <c r="J1622" s="22" t="s">
        <v>494</v>
      </c>
      <c r="K1622" s="22" t="s">
        <v>262</v>
      </c>
      <c r="L1622" s="21"/>
      <c r="M1622" s="22" t="s">
        <v>2014</v>
      </c>
      <c r="N1622" s="28" t="s">
        <v>2015</v>
      </c>
      <c r="O1622" s="28" t="s">
        <v>2016</v>
      </c>
      <c r="P1622" s="29">
        <v>1590</v>
      </c>
      <c r="Q1622" s="28" t="s">
        <v>2017</v>
      </c>
      <c r="R1622" s="40">
        <v>6012.6050420168103</v>
      </c>
      <c r="S1622" s="29">
        <v>17</v>
      </c>
      <c r="T1622" s="32">
        <v>0.264444444444</v>
      </c>
      <c r="U1622" s="32">
        <v>0</v>
      </c>
      <c r="V1622" s="40">
        <v>6012.6050420168103</v>
      </c>
      <c r="W1622" s="30"/>
      <c r="X1622" s="30"/>
    </row>
    <row r="1623" spans="1:24" ht="15.75" thickBot="1" x14ac:dyDescent="0.3">
      <c r="A1623" t="str">
        <f t="shared" si="25"/>
        <v>KB3B 2623942 CG31TC</v>
      </c>
      <c r="B1623" s="22" t="s">
        <v>1061</v>
      </c>
      <c r="C1623" s="22" t="s">
        <v>6955</v>
      </c>
      <c r="D1623" s="22" t="s">
        <v>6956</v>
      </c>
      <c r="E1623" s="21"/>
      <c r="F1623" s="22" t="s">
        <v>6957</v>
      </c>
      <c r="G1623" s="28" t="s">
        <v>2012</v>
      </c>
      <c r="H1623" s="22" t="s">
        <v>2080</v>
      </c>
      <c r="I1623" s="21"/>
      <c r="J1623" s="22" t="s">
        <v>494</v>
      </c>
      <c r="K1623" s="22" t="s">
        <v>262</v>
      </c>
      <c r="L1623" s="21"/>
      <c r="M1623" s="22" t="s">
        <v>2014</v>
      </c>
      <c r="N1623" s="28" t="s">
        <v>2015</v>
      </c>
      <c r="O1623" s="28" t="s">
        <v>2016</v>
      </c>
      <c r="P1623" s="29">
        <v>0</v>
      </c>
      <c r="Q1623" s="28" t="s">
        <v>2017</v>
      </c>
      <c r="R1623" s="41">
        <v>0</v>
      </c>
      <c r="S1623" s="29">
        <v>1</v>
      </c>
      <c r="T1623" s="32">
        <v>1.5555555555E-2</v>
      </c>
      <c r="U1623" s="32">
        <v>0</v>
      </c>
      <c r="V1623" s="41">
        <v>0</v>
      </c>
      <c r="W1623" s="21"/>
      <c r="X1623" s="21"/>
    </row>
    <row r="1624" spans="1:24" ht="15.75" thickBot="1" x14ac:dyDescent="0.3">
      <c r="A1624" t="str">
        <f t="shared" si="25"/>
        <v>KB3B 2623942 CG3ZHE</v>
      </c>
      <c r="B1624" s="22" t="s">
        <v>1063</v>
      </c>
      <c r="C1624" s="22" t="s">
        <v>6958</v>
      </c>
      <c r="D1624" s="22" t="s">
        <v>6956</v>
      </c>
      <c r="E1624" s="21"/>
      <c r="F1624" s="22" t="s">
        <v>6957</v>
      </c>
      <c r="G1624" s="28" t="s">
        <v>2012</v>
      </c>
      <c r="H1624" s="22" t="s">
        <v>2080</v>
      </c>
      <c r="I1624" s="21"/>
      <c r="J1624" s="22" t="s">
        <v>494</v>
      </c>
      <c r="K1624" s="22" t="s">
        <v>262</v>
      </c>
      <c r="L1624" s="21"/>
      <c r="M1624" s="22" t="s">
        <v>2014</v>
      </c>
      <c r="N1624" s="28" t="s">
        <v>2015</v>
      </c>
      <c r="O1624" s="28" t="s">
        <v>2016</v>
      </c>
      <c r="P1624" s="29">
        <v>0</v>
      </c>
      <c r="Q1624" s="28" t="s">
        <v>2017</v>
      </c>
      <c r="R1624" s="41">
        <v>0</v>
      </c>
      <c r="S1624" s="29">
        <v>2</v>
      </c>
      <c r="T1624" s="32">
        <v>3.1111111111000001E-2</v>
      </c>
      <c r="U1624" s="32">
        <v>0</v>
      </c>
      <c r="V1624" s="41">
        <v>0</v>
      </c>
      <c r="W1624" s="21"/>
      <c r="X1624" s="21"/>
    </row>
    <row r="1625" spans="1:24" ht="15.75" thickBot="1" x14ac:dyDescent="0.3">
      <c r="A1625" t="str">
        <f t="shared" si="25"/>
        <v>KB3B 2623942 EH31TC</v>
      </c>
      <c r="B1625" s="22" t="s">
        <v>6959</v>
      </c>
      <c r="C1625" s="22" t="s">
        <v>6960</v>
      </c>
      <c r="D1625" s="22" t="s">
        <v>6956</v>
      </c>
      <c r="E1625" s="21"/>
      <c r="F1625" s="22" t="s">
        <v>6957</v>
      </c>
      <c r="G1625" s="28" t="s">
        <v>2012</v>
      </c>
      <c r="H1625" s="22" t="s">
        <v>2080</v>
      </c>
      <c r="I1625" s="21"/>
      <c r="J1625" s="22" t="s">
        <v>494</v>
      </c>
      <c r="K1625" s="22" t="s">
        <v>262</v>
      </c>
      <c r="L1625" s="21"/>
      <c r="M1625" s="22" t="s">
        <v>2014</v>
      </c>
      <c r="N1625" s="28" t="s">
        <v>2015</v>
      </c>
      <c r="O1625" s="28" t="s">
        <v>2016</v>
      </c>
      <c r="P1625" s="29">
        <v>0</v>
      </c>
      <c r="Q1625" s="28" t="s">
        <v>2017</v>
      </c>
      <c r="R1625" s="21"/>
      <c r="S1625" s="21"/>
      <c r="T1625" s="21"/>
      <c r="U1625" s="21"/>
      <c r="V1625" s="21"/>
      <c r="W1625" s="21"/>
      <c r="X1625" s="21"/>
    </row>
    <row r="1626" spans="1:24" ht="15.75" thickBot="1" x14ac:dyDescent="0.3">
      <c r="A1626" t="str">
        <f t="shared" si="25"/>
        <v>KB3B 2623942 EH3ZHE</v>
      </c>
      <c r="B1626" s="22" t="s">
        <v>6961</v>
      </c>
      <c r="C1626" s="22" t="s">
        <v>6962</v>
      </c>
      <c r="D1626" s="22" t="s">
        <v>6956</v>
      </c>
      <c r="E1626" s="21"/>
      <c r="F1626" s="22" t="s">
        <v>6957</v>
      </c>
      <c r="G1626" s="28" t="s">
        <v>2012</v>
      </c>
      <c r="H1626" s="22" t="s">
        <v>2080</v>
      </c>
      <c r="I1626" s="21"/>
      <c r="J1626" s="22" t="s">
        <v>494</v>
      </c>
      <c r="K1626" s="22" t="s">
        <v>262</v>
      </c>
      <c r="L1626" s="21"/>
      <c r="M1626" s="22" t="s">
        <v>2014</v>
      </c>
      <c r="N1626" s="28" t="s">
        <v>2015</v>
      </c>
      <c r="O1626" s="28" t="s">
        <v>2016</v>
      </c>
      <c r="P1626" s="29">
        <v>0</v>
      </c>
      <c r="Q1626" s="28" t="s">
        <v>2017</v>
      </c>
      <c r="R1626" s="21"/>
      <c r="S1626" s="21"/>
      <c r="T1626" s="21"/>
      <c r="U1626" s="21"/>
      <c r="V1626" s="21"/>
      <c r="W1626" s="21"/>
      <c r="X1626" s="21"/>
    </row>
    <row r="1627" spans="1:24" ht="15.75" thickBot="1" x14ac:dyDescent="0.3">
      <c r="A1627" t="str">
        <f t="shared" si="25"/>
        <v>KB3B 2623942 GF3ZHE</v>
      </c>
      <c r="B1627" s="22" t="s">
        <v>1064</v>
      </c>
      <c r="C1627" s="22" t="s">
        <v>6963</v>
      </c>
      <c r="D1627" s="22" t="s">
        <v>6956</v>
      </c>
      <c r="E1627" s="21"/>
      <c r="F1627" s="22" t="s">
        <v>6957</v>
      </c>
      <c r="G1627" s="28" t="s">
        <v>2012</v>
      </c>
      <c r="H1627" s="22" t="s">
        <v>2080</v>
      </c>
      <c r="I1627" s="21"/>
      <c r="J1627" s="22" t="s">
        <v>494</v>
      </c>
      <c r="K1627" s="22" t="s">
        <v>262</v>
      </c>
      <c r="L1627" s="21"/>
      <c r="M1627" s="22" t="s">
        <v>2014</v>
      </c>
      <c r="N1627" s="28" t="s">
        <v>2015</v>
      </c>
      <c r="O1627" s="28" t="s">
        <v>2016</v>
      </c>
      <c r="P1627" s="29">
        <v>0</v>
      </c>
      <c r="Q1627" s="28" t="s">
        <v>2017</v>
      </c>
      <c r="R1627" s="41">
        <v>0</v>
      </c>
      <c r="S1627" s="29">
        <v>1</v>
      </c>
      <c r="T1627" s="32">
        <v>1.5555555555E-2</v>
      </c>
      <c r="U1627" s="32">
        <v>0</v>
      </c>
      <c r="V1627" s="41">
        <v>0</v>
      </c>
      <c r="W1627" s="21"/>
      <c r="X1627" s="21"/>
    </row>
    <row r="1628" spans="1:24" ht="15.75" thickBot="1" x14ac:dyDescent="0.3">
      <c r="A1628" t="str">
        <f t="shared" si="25"/>
        <v>KB3B 2623942 HB3ZHE</v>
      </c>
      <c r="B1628" s="22" t="s">
        <v>6964</v>
      </c>
      <c r="C1628" s="22" t="s">
        <v>6965</v>
      </c>
      <c r="D1628" s="22" t="s">
        <v>6956</v>
      </c>
      <c r="E1628" s="21"/>
      <c r="F1628" s="22" t="s">
        <v>2030</v>
      </c>
      <c r="G1628" s="28" t="s">
        <v>2012</v>
      </c>
      <c r="H1628" s="22" t="s">
        <v>2080</v>
      </c>
      <c r="I1628" s="21"/>
      <c r="J1628" s="22" t="s">
        <v>494</v>
      </c>
      <c r="K1628" s="22" t="s">
        <v>262</v>
      </c>
      <c r="L1628" s="21"/>
      <c r="M1628" s="22" t="s">
        <v>2014</v>
      </c>
      <c r="N1628" s="28" t="s">
        <v>2015</v>
      </c>
      <c r="O1628" s="28" t="s">
        <v>2016</v>
      </c>
      <c r="P1628" s="29">
        <v>0</v>
      </c>
      <c r="Q1628" s="28" t="s">
        <v>2017</v>
      </c>
      <c r="R1628" s="21"/>
      <c r="S1628" s="21"/>
      <c r="T1628" s="21"/>
      <c r="U1628" s="21"/>
      <c r="V1628" s="21"/>
      <c r="W1628" s="21"/>
      <c r="X1628" s="21"/>
    </row>
    <row r="1629" spans="1:24" ht="15.75" thickBot="1" x14ac:dyDescent="0.3">
      <c r="A1629" t="str">
        <f t="shared" si="25"/>
        <v>KB3B 2623942 JB3ZHE</v>
      </c>
      <c r="B1629" s="22" t="s">
        <v>1065</v>
      </c>
      <c r="C1629" s="22" t="s">
        <v>6966</v>
      </c>
      <c r="D1629" s="22" t="s">
        <v>6956</v>
      </c>
      <c r="E1629" s="21"/>
      <c r="F1629" s="22" t="s">
        <v>2030</v>
      </c>
      <c r="G1629" s="28" t="s">
        <v>2012</v>
      </c>
      <c r="H1629" s="22" t="s">
        <v>2080</v>
      </c>
      <c r="I1629" s="21"/>
      <c r="J1629" s="22" t="s">
        <v>494</v>
      </c>
      <c r="K1629" s="22" t="s">
        <v>262</v>
      </c>
      <c r="L1629" s="21"/>
      <c r="M1629" s="22" t="s">
        <v>2014</v>
      </c>
      <c r="N1629" s="28" t="s">
        <v>2015</v>
      </c>
      <c r="O1629" s="28" t="s">
        <v>2016</v>
      </c>
      <c r="P1629" s="29">
        <v>0</v>
      </c>
      <c r="Q1629" s="28" t="s">
        <v>2017</v>
      </c>
      <c r="R1629" s="41">
        <v>0</v>
      </c>
      <c r="S1629" s="29">
        <v>2</v>
      </c>
      <c r="T1629" s="32">
        <v>3.1111111111000001E-2</v>
      </c>
      <c r="U1629" s="32">
        <v>0</v>
      </c>
      <c r="V1629" s="41">
        <v>0</v>
      </c>
      <c r="W1629" s="21"/>
      <c r="X1629" s="21"/>
    </row>
    <row r="1630" spans="1:24" ht="15.75" thickBot="1" x14ac:dyDescent="0.3">
      <c r="A1630" t="str">
        <f t="shared" si="25"/>
        <v>KB3B 2623943 CG31TC</v>
      </c>
      <c r="B1630" s="22" t="s">
        <v>1075</v>
      </c>
      <c r="C1630" s="22" t="s">
        <v>6967</v>
      </c>
      <c r="D1630" s="22" t="s">
        <v>6968</v>
      </c>
      <c r="E1630" s="21"/>
      <c r="F1630" s="22" t="s">
        <v>5221</v>
      </c>
      <c r="G1630" s="28" t="s">
        <v>2012</v>
      </c>
      <c r="H1630" s="22" t="s">
        <v>2080</v>
      </c>
      <c r="I1630" s="21"/>
      <c r="J1630" s="22" t="s">
        <v>494</v>
      </c>
      <c r="K1630" s="22" t="s">
        <v>262</v>
      </c>
      <c r="L1630" s="21"/>
      <c r="M1630" s="22" t="s">
        <v>2014</v>
      </c>
      <c r="N1630" s="28" t="s">
        <v>2015</v>
      </c>
      <c r="O1630" s="28" t="s">
        <v>2016</v>
      </c>
      <c r="P1630" s="29">
        <v>0</v>
      </c>
      <c r="Q1630" s="28" t="s">
        <v>2017</v>
      </c>
      <c r="R1630" s="21"/>
      <c r="S1630" s="21"/>
      <c r="T1630" s="21"/>
      <c r="U1630" s="21"/>
      <c r="V1630" s="21"/>
      <c r="W1630" s="21"/>
      <c r="X1630" s="21"/>
    </row>
    <row r="1631" spans="1:24" ht="15.75" thickBot="1" x14ac:dyDescent="0.3">
      <c r="A1631" t="str">
        <f t="shared" si="25"/>
        <v>KB3B 2623943 CG3ZHE</v>
      </c>
      <c r="B1631" s="22" t="s">
        <v>6969</v>
      </c>
      <c r="C1631" s="22" t="s">
        <v>6970</v>
      </c>
      <c r="D1631" s="22" t="s">
        <v>6968</v>
      </c>
      <c r="E1631" s="21"/>
      <c r="F1631" s="22" t="s">
        <v>5221</v>
      </c>
      <c r="G1631" s="28" t="s">
        <v>2012</v>
      </c>
      <c r="H1631" s="22" t="s">
        <v>2080</v>
      </c>
      <c r="I1631" s="21"/>
      <c r="J1631" s="22" t="s">
        <v>494</v>
      </c>
      <c r="K1631" s="22" t="s">
        <v>262</v>
      </c>
      <c r="L1631" s="21"/>
      <c r="M1631" s="22" t="s">
        <v>2014</v>
      </c>
      <c r="N1631" s="28" t="s">
        <v>2015</v>
      </c>
      <c r="O1631" s="28" t="s">
        <v>2016</v>
      </c>
      <c r="P1631" s="29">
        <v>0</v>
      </c>
      <c r="Q1631" s="28" t="s">
        <v>2017</v>
      </c>
      <c r="R1631" s="21"/>
      <c r="S1631" s="21"/>
      <c r="T1631" s="21"/>
      <c r="U1631" s="21"/>
      <c r="V1631" s="21"/>
      <c r="W1631" s="21"/>
      <c r="X1631" s="21"/>
    </row>
    <row r="1632" spans="1:24" ht="15.75" thickBot="1" x14ac:dyDescent="0.3">
      <c r="A1632" t="str">
        <f t="shared" si="25"/>
        <v>KB3B 2623943 EH31TC</v>
      </c>
      <c r="B1632" s="22" t="s">
        <v>6971</v>
      </c>
      <c r="C1632" s="22" t="s">
        <v>6972</v>
      </c>
      <c r="D1632" s="22" t="s">
        <v>6968</v>
      </c>
      <c r="E1632" s="21"/>
      <c r="F1632" s="22" t="s">
        <v>5221</v>
      </c>
      <c r="G1632" s="28" t="s">
        <v>2012</v>
      </c>
      <c r="H1632" s="22" t="s">
        <v>2080</v>
      </c>
      <c r="I1632" s="21"/>
      <c r="J1632" s="22" t="s">
        <v>494</v>
      </c>
      <c r="K1632" s="22" t="s">
        <v>262</v>
      </c>
      <c r="L1632" s="21"/>
      <c r="M1632" s="22" t="s">
        <v>2014</v>
      </c>
      <c r="N1632" s="28" t="s">
        <v>2015</v>
      </c>
      <c r="O1632" s="28" t="s">
        <v>2016</v>
      </c>
      <c r="P1632" s="29">
        <v>0</v>
      </c>
      <c r="Q1632" s="28" t="s">
        <v>2017</v>
      </c>
      <c r="R1632" s="21"/>
      <c r="S1632" s="21"/>
      <c r="T1632" s="21"/>
      <c r="U1632" s="21"/>
      <c r="V1632" s="21"/>
      <c r="W1632" s="21"/>
      <c r="X1632" s="21"/>
    </row>
    <row r="1633" spans="1:24" ht="15.75" thickBot="1" x14ac:dyDescent="0.3">
      <c r="A1633" t="str">
        <f t="shared" si="25"/>
        <v>KB3B 2623943 EH3ZHE</v>
      </c>
      <c r="B1633" s="22" t="s">
        <v>1077</v>
      </c>
      <c r="C1633" s="22" t="s">
        <v>6973</v>
      </c>
      <c r="D1633" s="22" t="s">
        <v>6968</v>
      </c>
      <c r="E1633" s="21"/>
      <c r="F1633" s="22" t="s">
        <v>5221</v>
      </c>
      <c r="G1633" s="28" t="s">
        <v>2012</v>
      </c>
      <c r="H1633" s="22" t="s">
        <v>2080</v>
      </c>
      <c r="I1633" s="21"/>
      <c r="J1633" s="22" t="s">
        <v>494</v>
      </c>
      <c r="K1633" s="22" t="s">
        <v>262</v>
      </c>
      <c r="L1633" s="21"/>
      <c r="M1633" s="22" t="s">
        <v>2014</v>
      </c>
      <c r="N1633" s="28" t="s">
        <v>2015</v>
      </c>
      <c r="O1633" s="28" t="s">
        <v>2016</v>
      </c>
      <c r="P1633" s="29">
        <v>0</v>
      </c>
      <c r="Q1633" s="28" t="s">
        <v>2017</v>
      </c>
      <c r="R1633" s="41">
        <v>0</v>
      </c>
      <c r="S1633" s="29">
        <v>19</v>
      </c>
      <c r="T1633" s="32">
        <v>0.29555555555500002</v>
      </c>
      <c r="U1633" s="32">
        <v>0</v>
      </c>
      <c r="V1633" s="41">
        <v>0</v>
      </c>
      <c r="W1633" s="21"/>
      <c r="X1633" s="21"/>
    </row>
    <row r="1634" spans="1:24" ht="15.75" thickBot="1" x14ac:dyDescent="0.3">
      <c r="A1634" t="str">
        <f t="shared" si="25"/>
        <v>KB3B 2623943 FF3ZHE</v>
      </c>
      <c r="B1634" s="22" t="s">
        <v>6974</v>
      </c>
      <c r="C1634" s="22" t="s">
        <v>6975</v>
      </c>
      <c r="D1634" s="22" t="s">
        <v>6968</v>
      </c>
      <c r="E1634" s="21"/>
      <c r="F1634" s="22" t="s">
        <v>2030</v>
      </c>
      <c r="G1634" s="28" t="s">
        <v>2012</v>
      </c>
      <c r="H1634" s="22" t="s">
        <v>2080</v>
      </c>
      <c r="I1634" s="21"/>
      <c r="J1634" s="22" t="s">
        <v>494</v>
      </c>
      <c r="K1634" s="22" t="s">
        <v>262</v>
      </c>
      <c r="L1634" s="21"/>
      <c r="M1634" s="22" t="s">
        <v>2014</v>
      </c>
      <c r="N1634" s="28" t="s">
        <v>2015</v>
      </c>
      <c r="O1634" s="28" t="s">
        <v>2016</v>
      </c>
      <c r="P1634" s="29">
        <v>0</v>
      </c>
      <c r="Q1634" s="28" t="s">
        <v>2017</v>
      </c>
      <c r="R1634" s="21"/>
      <c r="S1634" s="21"/>
      <c r="T1634" s="21"/>
      <c r="U1634" s="21"/>
      <c r="V1634" s="21"/>
      <c r="W1634" s="21"/>
      <c r="X1634" s="21"/>
    </row>
    <row r="1635" spans="1:24" ht="15.75" thickBot="1" x14ac:dyDescent="0.3">
      <c r="A1635" t="str">
        <f t="shared" si="25"/>
        <v>KB3B 2623943 HB3ZHE</v>
      </c>
      <c r="B1635" s="22" t="s">
        <v>1078</v>
      </c>
      <c r="C1635" s="22" t="s">
        <v>6976</v>
      </c>
      <c r="D1635" s="22" t="s">
        <v>6968</v>
      </c>
      <c r="E1635" s="21"/>
      <c r="F1635" s="22" t="s">
        <v>2030</v>
      </c>
      <c r="G1635" s="28" t="s">
        <v>2012</v>
      </c>
      <c r="H1635" s="22" t="s">
        <v>2080</v>
      </c>
      <c r="I1635" s="21"/>
      <c r="J1635" s="22" t="s">
        <v>494</v>
      </c>
      <c r="K1635" s="22" t="s">
        <v>262</v>
      </c>
      <c r="L1635" s="21"/>
      <c r="M1635" s="22" t="s">
        <v>2014</v>
      </c>
      <c r="N1635" s="28" t="s">
        <v>2015</v>
      </c>
      <c r="O1635" s="28" t="s">
        <v>2016</v>
      </c>
      <c r="P1635" s="29">
        <v>0</v>
      </c>
      <c r="Q1635" s="28" t="s">
        <v>2017</v>
      </c>
      <c r="R1635" s="21"/>
      <c r="S1635" s="21"/>
      <c r="T1635" s="21"/>
      <c r="U1635" s="21"/>
      <c r="V1635" s="21"/>
      <c r="W1635" s="21"/>
      <c r="X1635" s="21"/>
    </row>
    <row r="1636" spans="1:24" ht="15.75" thickBot="1" x14ac:dyDescent="0.3">
      <c r="A1636" t="str">
        <f t="shared" si="25"/>
        <v>KB3B 2623943 JB3ZHE</v>
      </c>
      <c r="B1636" s="22" t="s">
        <v>1079</v>
      </c>
      <c r="C1636" s="22" t="s">
        <v>6977</v>
      </c>
      <c r="D1636" s="22" t="s">
        <v>6968</v>
      </c>
      <c r="E1636" s="21"/>
      <c r="F1636" s="22" t="s">
        <v>2030</v>
      </c>
      <c r="G1636" s="28" t="s">
        <v>2012</v>
      </c>
      <c r="H1636" s="22" t="s">
        <v>2080</v>
      </c>
      <c r="I1636" s="21"/>
      <c r="J1636" s="22" t="s">
        <v>494</v>
      </c>
      <c r="K1636" s="22" t="s">
        <v>262</v>
      </c>
      <c r="L1636" s="21"/>
      <c r="M1636" s="22" t="s">
        <v>2014</v>
      </c>
      <c r="N1636" s="28" t="s">
        <v>2015</v>
      </c>
      <c r="O1636" s="28" t="s">
        <v>2016</v>
      </c>
      <c r="P1636" s="29">
        <v>0</v>
      </c>
      <c r="Q1636" s="28" t="s">
        <v>2017</v>
      </c>
      <c r="R1636" s="41">
        <v>0</v>
      </c>
      <c r="S1636" s="29">
        <v>3</v>
      </c>
      <c r="T1636" s="32">
        <v>4.6666666666000001E-2</v>
      </c>
      <c r="U1636" s="32">
        <v>0</v>
      </c>
      <c r="V1636" s="41">
        <v>0</v>
      </c>
      <c r="W1636" s="21"/>
      <c r="X1636" s="21"/>
    </row>
    <row r="1637" spans="1:24" ht="15.75" thickBot="1" x14ac:dyDescent="0.3">
      <c r="A1637" t="str">
        <f t="shared" si="25"/>
        <v>KB3B 2624396 AD31TB</v>
      </c>
      <c r="B1637" s="22" t="s">
        <v>6978</v>
      </c>
      <c r="C1637" s="22" t="s">
        <v>6979</v>
      </c>
      <c r="D1637" s="22" t="s">
        <v>6980</v>
      </c>
      <c r="E1637" s="21"/>
      <c r="F1637" s="22" t="s">
        <v>6981</v>
      </c>
      <c r="G1637" s="28" t="s">
        <v>2012</v>
      </c>
      <c r="H1637" s="22" t="s">
        <v>2080</v>
      </c>
      <c r="I1637" s="21"/>
      <c r="J1637" s="22" t="s">
        <v>494</v>
      </c>
      <c r="K1637" s="22" t="s">
        <v>262</v>
      </c>
      <c r="L1637" s="21"/>
      <c r="M1637" s="22" t="s">
        <v>2014</v>
      </c>
      <c r="N1637" s="28" t="s">
        <v>2015</v>
      </c>
      <c r="O1637" s="28" t="s">
        <v>2016</v>
      </c>
      <c r="P1637" s="29">
        <v>301</v>
      </c>
      <c r="Q1637" s="28" t="s">
        <v>2017</v>
      </c>
      <c r="R1637" s="40">
        <v>3870</v>
      </c>
      <c r="S1637" s="29">
        <v>5</v>
      </c>
      <c r="T1637" s="32">
        <v>7.7777777776999998E-2</v>
      </c>
      <c r="U1637" s="32">
        <v>0</v>
      </c>
      <c r="V1637" s="40">
        <v>3870</v>
      </c>
      <c r="W1637" s="30"/>
      <c r="X1637" s="30"/>
    </row>
    <row r="1638" spans="1:24" ht="15.75" thickBot="1" x14ac:dyDescent="0.3">
      <c r="A1638" t="str">
        <f t="shared" si="25"/>
        <v>KB3B 2624397 AD31TB</v>
      </c>
      <c r="B1638" s="22" t="s">
        <v>6982</v>
      </c>
      <c r="C1638" s="22" t="s">
        <v>6983</v>
      </c>
      <c r="D1638" s="22" t="s">
        <v>6980</v>
      </c>
      <c r="E1638" s="21"/>
      <c r="F1638" s="22" t="s">
        <v>6981</v>
      </c>
      <c r="G1638" s="28" t="s">
        <v>2012</v>
      </c>
      <c r="H1638" s="22" t="s">
        <v>2080</v>
      </c>
      <c r="I1638" s="21"/>
      <c r="J1638" s="22" t="s">
        <v>494</v>
      </c>
      <c r="K1638" s="22" t="s">
        <v>262</v>
      </c>
      <c r="L1638" s="21"/>
      <c r="M1638" s="22" t="s">
        <v>2014</v>
      </c>
      <c r="N1638" s="28" t="s">
        <v>2015</v>
      </c>
      <c r="O1638" s="28" t="s">
        <v>2016</v>
      </c>
      <c r="P1638" s="29">
        <v>202</v>
      </c>
      <c r="Q1638" s="28" t="s">
        <v>2017</v>
      </c>
      <c r="R1638" s="21"/>
      <c r="S1638" s="21"/>
      <c r="T1638" s="21"/>
      <c r="U1638" s="21"/>
      <c r="V1638" s="21"/>
      <c r="W1638" s="21"/>
      <c r="X1638" s="21"/>
    </row>
    <row r="1639" spans="1:24" ht="15.75" thickBot="1" x14ac:dyDescent="0.3">
      <c r="A1639" t="str">
        <f t="shared" si="25"/>
        <v>KB3B 26243A52 AD3ZHE</v>
      </c>
      <c r="B1639" s="22" t="s">
        <v>6984</v>
      </c>
      <c r="C1639" s="22" t="s">
        <v>6985</v>
      </c>
      <c r="D1639" s="22" t="s">
        <v>6986</v>
      </c>
      <c r="E1639" s="21"/>
      <c r="F1639" s="22" t="s">
        <v>6987</v>
      </c>
      <c r="G1639" s="28" t="s">
        <v>2012</v>
      </c>
      <c r="H1639" s="22" t="s">
        <v>2080</v>
      </c>
      <c r="I1639" s="21"/>
      <c r="J1639" s="22" t="s">
        <v>494</v>
      </c>
      <c r="K1639" s="22" t="s">
        <v>262</v>
      </c>
      <c r="L1639" s="21"/>
      <c r="M1639" s="22" t="s">
        <v>2014</v>
      </c>
      <c r="N1639" s="28" t="s">
        <v>2015</v>
      </c>
      <c r="O1639" s="28" t="s">
        <v>2016</v>
      </c>
      <c r="P1639" s="29">
        <v>87</v>
      </c>
      <c r="Q1639" s="28" t="s">
        <v>2017</v>
      </c>
      <c r="R1639" s="21"/>
      <c r="S1639" s="21"/>
      <c r="T1639" s="21"/>
      <c r="U1639" s="21"/>
      <c r="V1639" s="21"/>
      <c r="W1639" s="21"/>
      <c r="X1639" s="21"/>
    </row>
    <row r="1640" spans="1:24" ht="15.75" thickBot="1" x14ac:dyDescent="0.3">
      <c r="A1640" t="str">
        <f t="shared" si="25"/>
        <v>KB3B 26243A53 AD3ZHE</v>
      </c>
      <c r="B1640" s="22" t="s">
        <v>6988</v>
      </c>
      <c r="C1640" s="22" t="s">
        <v>6989</v>
      </c>
      <c r="D1640" s="22" t="s">
        <v>6990</v>
      </c>
      <c r="E1640" s="21"/>
      <c r="F1640" s="22" t="s">
        <v>6987</v>
      </c>
      <c r="G1640" s="28" t="s">
        <v>2012</v>
      </c>
      <c r="H1640" s="22" t="s">
        <v>2080</v>
      </c>
      <c r="I1640" s="21"/>
      <c r="J1640" s="22" t="s">
        <v>494</v>
      </c>
      <c r="K1640" s="22" t="s">
        <v>262</v>
      </c>
      <c r="L1640" s="21"/>
      <c r="M1640" s="22" t="s">
        <v>2014</v>
      </c>
      <c r="N1640" s="28" t="s">
        <v>2015</v>
      </c>
      <c r="O1640" s="28" t="s">
        <v>2016</v>
      </c>
      <c r="P1640" s="29">
        <v>88</v>
      </c>
      <c r="Q1640" s="28" t="s">
        <v>2017</v>
      </c>
      <c r="R1640" s="21"/>
      <c r="S1640" s="21"/>
      <c r="T1640" s="21"/>
      <c r="U1640" s="21"/>
      <c r="V1640" s="21"/>
      <c r="W1640" s="21"/>
      <c r="X1640" s="21"/>
    </row>
    <row r="1641" spans="1:24" ht="15.75" thickBot="1" x14ac:dyDescent="0.3">
      <c r="A1641" t="str">
        <f t="shared" si="25"/>
        <v>KB3B 26243C02 AG-01</v>
      </c>
      <c r="B1641" s="22" t="s">
        <v>516</v>
      </c>
      <c r="C1641" s="22" t="s">
        <v>2213</v>
      </c>
      <c r="D1641" s="22" t="s">
        <v>2214</v>
      </c>
      <c r="E1641" s="21"/>
      <c r="F1641" s="22" t="s">
        <v>2215</v>
      </c>
      <c r="G1641" s="28" t="s">
        <v>2012</v>
      </c>
      <c r="H1641" s="22" t="s">
        <v>2080</v>
      </c>
      <c r="I1641" s="21"/>
      <c r="J1641" s="22" t="s">
        <v>494</v>
      </c>
      <c r="K1641" s="22" t="s">
        <v>262</v>
      </c>
      <c r="L1641" s="21"/>
      <c r="M1641" s="22" t="s">
        <v>2014</v>
      </c>
      <c r="N1641" s="28" t="s">
        <v>2015</v>
      </c>
      <c r="O1641" s="28" t="s">
        <v>2016</v>
      </c>
      <c r="P1641" s="29">
        <v>0</v>
      </c>
      <c r="Q1641" s="28" t="s">
        <v>2017</v>
      </c>
      <c r="R1641" s="21"/>
      <c r="S1641" s="21"/>
      <c r="T1641" s="21"/>
      <c r="U1641" s="21"/>
      <c r="V1641" s="21"/>
      <c r="W1641" s="21"/>
      <c r="X1641" s="21"/>
    </row>
    <row r="1642" spans="1:24" ht="15.75" thickBot="1" x14ac:dyDescent="0.3">
      <c r="A1642" t="str">
        <f t="shared" si="25"/>
        <v>KB3B 26243C03 AG-01</v>
      </c>
      <c r="B1642" s="22" t="s">
        <v>519</v>
      </c>
      <c r="C1642" s="22" t="s">
        <v>2636</v>
      </c>
      <c r="D1642" s="22" t="s">
        <v>2637</v>
      </c>
      <c r="E1642" s="21"/>
      <c r="F1642" s="22" t="s">
        <v>2215</v>
      </c>
      <c r="G1642" s="28" t="s">
        <v>2012</v>
      </c>
      <c r="H1642" s="22" t="s">
        <v>2080</v>
      </c>
      <c r="I1642" s="21"/>
      <c r="J1642" s="22" t="s">
        <v>494</v>
      </c>
      <c r="K1642" s="22" t="s">
        <v>262</v>
      </c>
      <c r="L1642" s="21"/>
      <c r="M1642" s="22" t="s">
        <v>2014</v>
      </c>
      <c r="N1642" s="28" t="s">
        <v>2015</v>
      </c>
      <c r="O1642" s="28" t="s">
        <v>2016</v>
      </c>
      <c r="P1642" s="29">
        <v>0</v>
      </c>
      <c r="Q1642" s="28" t="s">
        <v>2017</v>
      </c>
      <c r="R1642" s="21"/>
      <c r="S1642" s="21"/>
      <c r="T1642" s="21"/>
      <c r="U1642" s="21"/>
      <c r="V1642" s="21"/>
      <c r="W1642" s="21"/>
      <c r="X1642" s="21"/>
    </row>
    <row r="1643" spans="1:24" ht="15.75" thickBot="1" x14ac:dyDescent="0.3">
      <c r="A1643" t="str">
        <f t="shared" si="25"/>
        <v>KB3B 2624592 AC3ZHE</v>
      </c>
      <c r="B1643" s="22" t="s">
        <v>6991</v>
      </c>
      <c r="C1643" s="22" t="s">
        <v>6992</v>
      </c>
      <c r="D1643" s="22" t="s">
        <v>6993</v>
      </c>
      <c r="E1643" s="21"/>
      <c r="F1643" s="22" t="s">
        <v>6994</v>
      </c>
      <c r="G1643" s="28" t="s">
        <v>2012</v>
      </c>
      <c r="H1643" s="22" t="s">
        <v>2080</v>
      </c>
      <c r="I1643" s="21"/>
      <c r="J1643" s="22" t="s">
        <v>494</v>
      </c>
      <c r="K1643" s="22" t="s">
        <v>262</v>
      </c>
      <c r="L1643" s="21"/>
      <c r="M1643" s="22" t="s">
        <v>2014</v>
      </c>
      <c r="N1643" s="28" t="s">
        <v>2015</v>
      </c>
      <c r="O1643" s="28" t="s">
        <v>2016</v>
      </c>
      <c r="P1643" s="29">
        <v>100</v>
      </c>
      <c r="Q1643" s="28" t="s">
        <v>2017</v>
      </c>
      <c r="R1643" s="21"/>
      <c r="S1643" s="21"/>
      <c r="T1643" s="21"/>
      <c r="U1643" s="21"/>
      <c r="V1643" s="21"/>
      <c r="W1643" s="21"/>
      <c r="X1643" s="21"/>
    </row>
    <row r="1644" spans="1:24" ht="15.75" thickBot="1" x14ac:dyDescent="0.3">
      <c r="A1644" t="str">
        <f t="shared" si="25"/>
        <v>KB3B 2626290 AA</v>
      </c>
      <c r="B1644" s="22" t="s">
        <v>6995</v>
      </c>
      <c r="C1644" s="22" t="s">
        <v>6996</v>
      </c>
      <c r="D1644" s="22" t="s">
        <v>6997</v>
      </c>
      <c r="E1644" s="21"/>
      <c r="F1644" s="22" t="s">
        <v>2030</v>
      </c>
      <c r="G1644" s="28" t="s">
        <v>2012</v>
      </c>
      <c r="H1644" s="22" t="s">
        <v>2080</v>
      </c>
      <c r="I1644" s="21"/>
      <c r="J1644" s="22" t="s">
        <v>494</v>
      </c>
      <c r="K1644" s="22" t="s">
        <v>924</v>
      </c>
      <c r="L1644" s="21"/>
      <c r="M1644" s="22" t="s">
        <v>2014</v>
      </c>
      <c r="N1644" s="28" t="s">
        <v>2015</v>
      </c>
      <c r="O1644" s="28" t="s">
        <v>2016</v>
      </c>
      <c r="P1644" s="29">
        <v>2828</v>
      </c>
      <c r="Q1644" s="28" t="s">
        <v>2017</v>
      </c>
      <c r="R1644" s="21"/>
      <c r="S1644" s="21"/>
      <c r="T1644" s="21"/>
      <c r="U1644" s="21"/>
      <c r="V1644" s="21"/>
      <c r="W1644" s="21"/>
      <c r="X1644" s="21"/>
    </row>
    <row r="1645" spans="1:24" ht="15.75" thickBot="1" x14ac:dyDescent="0.3">
      <c r="A1645" t="str">
        <f t="shared" si="25"/>
        <v>KB3B 2626291 AA</v>
      </c>
      <c r="B1645" s="22" t="s">
        <v>6998</v>
      </c>
      <c r="C1645" s="22" t="s">
        <v>6999</v>
      </c>
      <c r="D1645" s="22" t="s">
        <v>7000</v>
      </c>
      <c r="E1645" s="21"/>
      <c r="F1645" s="22" t="s">
        <v>2030</v>
      </c>
      <c r="G1645" s="28" t="s">
        <v>2012</v>
      </c>
      <c r="H1645" s="22" t="s">
        <v>2080</v>
      </c>
      <c r="I1645" s="21"/>
      <c r="J1645" s="22" t="s">
        <v>494</v>
      </c>
      <c r="K1645" s="22" t="s">
        <v>924</v>
      </c>
      <c r="L1645" s="21"/>
      <c r="M1645" s="22" t="s">
        <v>2014</v>
      </c>
      <c r="N1645" s="28" t="s">
        <v>2015</v>
      </c>
      <c r="O1645" s="28" t="s">
        <v>2016</v>
      </c>
      <c r="P1645" s="29">
        <v>1547</v>
      </c>
      <c r="Q1645" s="28" t="s">
        <v>2017</v>
      </c>
      <c r="R1645" s="21"/>
      <c r="S1645" s="21"/>
      <c r="T1645" s="21"/>
      <c r="U1645" s="21"/>
      <c r="V1645" s="21"/>
      <c r="W1645" s="21"/>
      <c r="X1645" s="21"/>
    </row>
    <row r="1646" spans="1:24" ht="15.75" thickBot="1" x14ac:dyDescent="0.3">
      <c r="A1646" t="str">
        <f t="shared" si="25"/>
        <v>KB3B 26268A04 AA</v>
      </c>
      <c r="B1646" s="22" t="s">
        <v>7001</v>
      </c>
      <c r="C1646" s="22" t="s">
        <v>7002</v>
      </c>
      <c r="D1646" s="22" t="s">
        <v>7003</v>
      </c>
      <c r="E1646" s="21"/>
      <c r="F1646" s="22" t="s">
        <v>2030</v>
      </c>
      <c r="G1646" s="28" t="s">
        <v>2012</v>
      </c>
      <c r="H1646" s="22" t="s">
        <v>2080</v>
      </c>
      <c r="I1646" s="21"/>
      <c r="J1646" s="22" t="s">
        <v>494</v>
      </c>
      <c r="K1646" s="22" t="s">
        <v>924</v>
      </c>
      <c r="L1646" s="21"/>
      <c r="M1646" s="22" t="s">
        <v>2014</v>
      </c>
      <c r="N1646" s="28" t="s">
        <v>2015</v>
      </c>
      <c r="O1646" s="28" t="s">
        <v>2016</v>
      </c>
      <c r="P1646" s="29">
        <v>927</v>
      </c>
      <c r="Q1646" s="28" t="s">
        <v>2017</v>
      </c>
      <c r="R1646" s="21"/>
      <c r="S1646" s="21"/>
      <c r="T1646" s="21"/>
      <c r="U1646" s="21"/>
      <c r="V1646" s="21"/>
      <c r="W1646" s="21"/>
      <c r="X1646" s="21"/>
    </row>
    <row r="1647" spans="1:24" ht="15.75" thickBot="1" x14ac:dyDescent="0.3">
      <c r="A1647" t="str">
        <f t="shared" si="25"/>
        <v>KB3B 26268A05 AA</v>
      </c>
      <c r="B1647" s="22" t="s">
        <v>7004</v>
      </c>
      <c r="C1647" s="22" t="s">
        <v>7005</v>
      </c>
      <c r="D1647" s="22" t="s">
        <v>7003</v>
      </c>
      <c r="E1647" s="21"/>
      <c r="F1647" s="22" t="s">
        <v>2030</v>
      </c>
      <c r="G1647" s="28" t="s">
        <v>2012</v>
      </c>
      <c r="H1647" s="22" t="s">
        <v>2080</v>
      </c>
      <c r="I1647" s="21"/>
      <c r="J1647" s="22" t="s">
        <v>494</v>
      </c>
      <c r="K1647" s="22" t="s">
        <v>924</v>
      </c>
      <c r="L1647" s="21"/>
      <c r="M1647" s="22" t="s">
        <v>2014</v>
      </c>
      <c r="N1647" s="28" t="s">
        <v>2015</v>
      </c>
      <c r="O1647" s="28" t="s">
        <v>2016</v>
      </c>
      <c r="P1647" s="29">
        <v>1502</v>
      </c>
      <c r="Q1647" s="28" t="s">
        <v>2017</v>
      </c>
      <c r="R1647" s="21"/>
      <c r="S1647" s="21"/>
      <c r="T1647" s="21"/>
      <c r="U1647" s="21"/>
      <c r="V1647" s="21"/>
      <c r="W1647" s="21"/>
      <c r="X1647" s="21"/>
    </row>
    <row r="1648" spans="1:24" ht="15.75" thickBot="1" x14ac:dyDescent="0.3">
      <c r="A1648" t="str">
        <f t="shared" si="25"/>
        <v>KB3B 2627406 CD3ZHE</v>
      </c>
      <c r="B1648" s="22" t="s">
        <v>7006</v>
      </c>
      <c r="C1648" s="22" t="s">
        <v>7007</v>
      </c>
      <c r="D1648" s="22" t="s">
        <v>7008</v>
      </c>
      <c r="E1648" s="21"/>
      <c r="F1648" s="22" t="s">
        <v>2030</v>
      </c>
      <c r="G1648" s="28" t="s">
        <v>2012</v>
      </c>
      <c r="H1648" s="22" t="s">
        <v>2080</v>
      </c>
      <c r="I1648" s="21"/>
      <c r="J1648" s="22" t="s">
        <v>494</v>
      </c>
      <c r="K1648" s="22" t="s">
        <v>262</v>
      </c>
      <c r="L1648" s="21"/>
      <c r="M1648" s="22" t="s">
        <v>2014</v>
      </c>
      <c r="N1648" s="28" t="s">
        <v>2015</v>
      </c>
      <c r="O1648" s="28" t="s">
        <v>2016</v>
      </c>
      <c r="P1648" s="29">
        <v>0</v>
      </c>
      <c r="Q1648" s="28" t="s">
        <v>2017</v>
      </c>
      <c r="R1648" s="21"/>
      <c r="S1648" s="21"/>
      <c r="T1648" s="21"/>
      <c r="U1648" s="21"/>
      <c r="V1648" s="21"/>
      <c r="W1648" s="21"/>
      <c r="X1648" s="21"/>
    </row>
    <row r="1649" spans="1:24" ht="15.75" thickBot="1" x14ac:dyDescent="0.3">
      <c r="A1649" t="str">
        <f t="shared" si="25"/>
        <v>KB3B 2627406 CE31TC</v>
      </c>
      <c r="B1649" s="22" t="s">
        <v>1066</v>
      </c>
      <c r="C1649" s="22" t="s">
        <v>7009</v>
      </c>
      <c r="D1649" s="22" t="s">
        <v>7008</v>
      </c>
      <c r="E1649" s="21"/>
      <c r="F1649" s="22" t="s">
        <v>2030</v>
      </c>
      <c r="G1649" s="28" t="s">
        <v>2012</v>
      </c>
      <c r="H1649" s="22" t="s">
        <v>2080</v>
      </c>
      <c r="I1649" s="21"/>
      <c r="J1649" s="22" t="s">
        <v>494</v>
      </c>
      <c r="K1649" s="22" t="s">
        <v>262</v>
      </c>
      <c r="L1649" s="21"/>
      <c r="M1649" s="22" t="s">
        <v>2014</v>
      </c>
      <c r="N1649" s="28" t="s">
        <v>2015</v>
      </c>
      <c r="O1649" s="28" t="s">
        <v>2016</v>
      </c>
      <c r="P1649" s="29">
        <v>0</v>
      </c>
      <c r="Q1649" s="28" t="s">
        <v>2017</v>
      </c>
      <c r="R1649" s="41">
        <v>0</v>
      </c>
      <c r="S1649" s="29">
        <v>3</v>
      </c>
      <c r="T1649" s="32">
        <v>4.6666666666000001E-2</v>
      </c>
      <c r="U1649" s="32">
        <v>0</v>
      </c>
      <c r="V1649" s="41">
        <v>0</v>
      </c>
      <c r="W1649" s="21"/>
      <c r="X1649" s="21"/>
    </row>
    <row r="1650" spans="1:24" ht="15.75" thickBot="1" x14ac:dyDescent="0.3">
      <c r="A1650" t="str">
        <f t="shared" si="25"/>
        <v>KB3B 2627406 DD3ZHE</v>
      </c>
      <c r="B1650" s="22" t="s">
        <v>7010</v>
      </c>
      <c r="C1650" s="22" t="s">
        <v>7011</v>
      </c>
      <c r="D1650" s="22" t="s">
        <v>7008</v>
      </c>
      <c r="E1650" s="21"/>
      <c r="F1650" s="22" t="s">
        <v>2030</v>
      </c>
      <c r="G1650" s="28" t="s">
        <v>2012</v>
      </c>
      <c r="H1650" s="22" t="s">
        <v>2080</v>
      </c>
      <c r="I1650" s="21"/>
      <c r="J1650" s="22" t="s">
        <v>494</v>
      </c>
      <c r="K1650" s="22" t="s">
        <v>262</v>
      </c>
      <c r="L1650" s="21"/>
      <c r="M1650" s="22" t="s">
        <v>2014</v>
      </c>
      <c r="N1650" s="28" t="s">
        <v>2015</v>
      </c>
      <c r="O1650" s="28" t="s">
        <v>2016</v>
      </c>
      <c r="P1650" s="29">
        <v>0</v>
      </c>
      <c r="Q1650" s="28" t="s">
        <v>2017</v>
      </c>
      <c r="R1650" s="21"/>
      <c r="S1650" s="21"/>
      <c r="T1650" s="21"/>
      <c r="U1650" s="21"/>
      <c r="V1650" s="21"/>
      <c r="W1650" s="21"/>
      <c r="X1650" s="21"/>
    </row>
    <row r="1651" spans="1:24" ht="15.75" thickBot="1" x14ac:dyDescent="0.3">
      <c r="A1651" t="str">
        <f t="shared" si="25"/>
        <v>KB3B 2627406 DE3ZHE</v>
      </c>
      <c r="B1651" s="22" t="s">
        <v>1068</v>
      </c>
      <c r="C1651" s="22" t="s">
        <v>7012</v>
      </c>
      <c r="D1651" s="22" t="s">
        <v>7008</v>
      </c>
      <c r="E1651" s="21"/>
      <c r="F1651" s="22" t="s">
        <v>2030</v>
      </c>
      <c r="G1651" s="28" t="s">
        <v>2012</v>
      </c>
      <c r="H1651" s="22" t="s">
        <v>2080</v>
      </c>
      <c r="I1651" s="21"/>
      <c r="J1651" s="22" t="s">
        <v>494</v>
      </c>
      <c r="K1651" s="22" t="s">
        <v>262</v>
      </c>
      <c r="L1651" s="21"/>
      <c r="M1651" s="22" t="s">
        <v>2014</v>
      </c>
      <c r="N1651" s="28" t="s">
        <v>2015</v>
      </c>
      <c r="O1651" s="28" t="s">
        <v>2016</v>
      </c>
      <c r="P1651" s="29">
        <v>0</v>
      </c>
      <c r="Q1651" s="28" t="s">
        <v>2017</v>
      </c>
      <c r="R1651" s="41">
        <v>0</v>
      </c>
      <c r="S1651" s="29">
        <v>3</v>
      </c>
      <c r="T1651" s="32">
        <v>4.6666666666000001E-2</v>
      </c>
      <c r="U1651" s="32">
        <v>0</v>
      </c>
      <c r="V1651" s="41">
        <v>0</v>
      </c>
      <c r="W1651" s="21"/>
      <c r="X1651" s="21"/>
    </row>
    <row r="1652" spans="1:24" ht="15.75" thickBot="1" x14ac:dyDescent="0.3">
      <c r="A1652" t="str">
        <f t="shared" si="25"/>
        <v>KB3B 2627406 FE3ZHE</v>
      </c>
      <c r="B1652" s="22" t="s">
        <v>1069</v>
      </c>
      <c r="C1652" s="22" t="s">
        <v>7013</v>
      </c>
      <c r="D1652" s="22" t="s">
        <v>7008</v>
      </c>
      <c r="E1652" s="21"/>
      <c r="F1652" s="22" t="s">
        <v>2030</v>
      </c>
      <c r="G1652" s="28" t="s">
        <v>2012</v>
      </c>
      <c r="H1652" s="22" t="s">
        <v>2080</v>
      </c>
      <c r="I1652" s="21"/>
      <c r="J1652" s="22" t="s">
        <v>494</v>
      </c>
      <c r="K1652" s="22" t="s">
        <v>262</v>
      </c>
      <c r="L1652" s="21"/>
      <c r="M1652" s="22" t="s">
        <v>2014</v>
      </c>
      <c r="N1652" s="28" t="s">
        <v>2015</v>
      </c>
      <c r="O1652" s="28" t="s">
        <v>2016</v>
      </c>
      <c r="P1652" s="29">
        <v>0</v>
      </c>
      <c r="Q1652" s="28" t="s">
        <v>2017</v>
      </c>
      <c r="R1652" s="21"/>
      <c r="S1652" s="21"/>
      <c r="T1652" s="21"/>
      <c r="U1652" s="21"/>
      <c r="V1652" s="21"/>
      <c r="W1652" s="21"/>
      <c r="X1652" s="21"/>
    </row>
    <row r="1653" spans="1:24" ht="15.75" thickBot="1" x14ac:dyDescent="0.3">
      <c r="A1653" t="str">
        <f t="shared" si="25"/>
        <v>KB3B 2627407 CE31TC</v>
      </c>
      <c r="B1653" s="22" t="s">
        <v>7014</v>
      </c>
      <c r="C1653" s="22" t="s">
        <v>7015</v>
      </c>
      <c r="D1653" s="22" t="s">
        <v>6813</v>
      </c>
      <c r="E1653" s="21"/>
      <c r="F1653" s="22" t="s">
        <v>2030</v>
      </c>
      <c r="G1653" s="28" t="s">
        <v>5499</v>
      </c>
      <c r="H1653" s="22" t="s">
        <v>2080</v>
      </c>
      <c r="I1653" s="21"/>
      <c r="J1653" s="22" t="s">
        <v>494</v>
      </c>
      <c r="K1653" s="22" t="s">
        <v>262</v>
      </c>
      <c r="L1653" s="21"/>
      <c r="M1653" s="22" t="s">
        <v>2014</v>
      </c>
      <c r="N1653" s="28" t="s">
        <v>2015</v>
      </c>
      <c r="O1653" s="28" t="s">
        <v>2016</v>
      </c>
      <c r="P1653" s="29">
        <v>0</v>
      </c>
      <c r="Q1653" s="28" t="s">
        <v>2017</v>
      </c>
      <c r="R1653" s="21"/>
      <c r="S1653" s="21"/>
      <c r="T1653" s="21"/>
      <c r="U1653" s="21"/>
      <c r="V1653" s="21"/>
      <c r="W1653" s="21"/>
      <c r="X1653" s="21"/>
    </row>
    <row r="1654" spans="1:24" ht="15.75" thickBot="1" x14ac:dyDescent="0.3">
      <c r="A1654" t="str">
        <f t="shared" si="25"/>
        <v>KB3B 2627407 CE3ZHE</v>
      </c>
      <c r="B1654" s="22" t="s">
        <v>1080</v>
      </c>
      <c r="C1654" s="22" t="s">
        <v>7016</v>
      </c>
      <c r="D1654" s="22" t="s">
        <v>6813</v>
      </c>
      <c r="E1654" s="21"/>
      <c r="F1654" s="22" t="s">
        <v>2030</v>
      </c>
      <c r="G1654" s="28" t="s">
        <v>5499</v>
      </c>
      <c r="H1654" s="22" t="s">
        <v>2080</v>
      </c>
      <c r="I1654" s="21"/>
      <c r="J1654" s="22" t="s">
        <v>494</v>
      </c>
      <c r="K1654" s="22" t="s">
        <v>262</v>
      </c>
      <c r="L1654" s="21"/>
      <c r="M1654" s="22" t="s">
        <v>2014</v>
      </c>
      <c r="N1654" s="28" t="s">
        <v>2015</v>
      </c>
      <c r="O1654" s="28" t="s">
        <v>2016</v>
      </c>
      <c r="P1654" s="29">
        <v>0</v>
      </c>
      <c r="Q1654" s="28" t="s">
        <v>2017</v>
      </c>
      <c r="R1654" s="41">
        <v>0</v>
      </c>
      <c r="S1654" s="29">
        <v>8</v>
      </c>
      <c r="T1654" s="32">
        <v>0.124444444444</v>
      </c>
      <c r="U1654" s="32">
        <v>0</v>
      </c>
      <c r="V1654" s="41">
        <v>0</v>
      </c>
      <c r="W1654" s="21"/>
      <c r="X1654" s="21"/>
    </row>
    <row r="1655" spans="1:24" ht="15.75" thickBot="1" x14ac:dyDescent="0.3">
      <c r="A1655" t="str">
        <f t="shared" si="25"/>
        <v>KB3B 2627407 DE3ZHE</v>
      </c>
      <c r="B1655" s="22" t="s">
        <v>7017</v>
      </c>
      <c r="C1655" s="22" t="s">
        <v>7018</v>
      </c>
      <c r="D1655" s="22" t="s">
        <v>6813</v>
      </c>
      <c r="E1655" s="21"/>
      <c r="F1655" s="22" t="s">
        <v>7019</v>
      </c>
      <c r="G1655" s="28" t="s">
        <v>5499</v>
      </c>
      <c r="H1655" s="22" t="s">
        <v>2080</v>
      </c>
      <c r="I1655" s="21"/>
      <c r="J1655" s="22" t="s">
        <v>494</v>
      </c>
      <c r="K1655" s="22" t="s">
        <v>262</v>
      </c>
      <c r="L1655" s="21"/>
      <c r="M1655" s="22" t="s">
        <v>2014</v>
      </c>
      <c r="N1655" s="28" t="s">
        <v>2015</v>
      </c>
      <c r="O1655" s="28" t="s">
        <v>2016</v>
      </c>
      <c r="P1655" s="29">
        <v>0</v>
      </c>
      <c r="Q1655" s="28" t="s">
        <v>2017</v>
      </c>
      <c r="R1655" s="21"/>
      <c r="S1655" s="21"/>
      <c r="T1655" s="21"/>
      <c r="U1655" s="21"/>
      <c r="V1655" s="21"/>
      <c r="W1655" s="21"/>
      <c r="X1655" s="21"/>
    </row>
    <row r="1656" spans="1:24" ht="15.75" thickBot="1" x14ac:dyDescent="0.3">
      <c r="A1656" t="str">
        <f t="shared" si="25"/>
        <v>KB3B 2627407 DG31TC</v>
      </c>
      <c r="B1656" s="22" t="s">
        <v>7020</v>
      </c>
      <c r="C1656" s="22" t="s">
        <v>7021</v>
      </c>
      <c r="D1656" s="22" t="s">
        <v>7022</v>
      </c>
      <c r="E1656" s="21"/>
      <c r="F1656" s="22" t="s">
        <v>7019</v>
      </c>
      <c r="G1656" s="28" t="s">
        <v>2012</v>
      </c>
      <c r="H1656" s="22" t="s">
        <v>2080</v>
      </c>
      <c r="I1656" s="21"/>
      <c r="J1656" s="22" t="s">
        <v>494</v>
      </c>
      <c r="K1656" s="22" t="s">
        <v>262</v>
      </c>
      <c r="L1656" s="21"/>
      <c r="M1656" s="22" t="s">
        <v>2014</v>
      </c>
      <c r="N1656" s="28" t="s">
        <v>2015</v>
      </c>
      <c r="O1656" s="28" t="s">
        <v>2016</v>
      </c>
      <c r="P1656" s="29">
        <v>0</v>
      </c>
      <c r="Q1656" s="28" t="s">
        <v>2017</v>
      </c>
      <c r="R1656" s="21"/>
      <c r="S1656" s="21"/>
      <c r="T1656" s="21"/>
      <c r="U1656" s="21"/>
      <c r="V1656" s="21"/>
      <c r="W1656" s="21"/>
      <c r="X1656" s="21"/>
    </row>
    <row r="1657" spans="1:24" ht="15.75" thickBot="1" x14ac:dyDescent="0.3">
      <c r="A1657" t="str">
        <f t="shared" si="25"/>
        <v>KB3B 2627407 DG3ZHE</v>
      </c>
      <c r="B1657" s="22" t="s">
        <v>7023</v>
      </c>
      <c r="C1657" s="22" t="s">
        <v>7024</v>
      </c>
      <c r="D1657" s="22" t="s">
        <v>7022</v>
      </c>
      <c r="E1657" s="21"/>
      <c r="F1657" s="22" t="s">
        <v>7019</v>
      </c>
      <c r="G1657" s="28" t="s">
        <v>2012</v>
      </c>
      <c r="H1657" s="22" t="s">
        <v>2080</v>
      </c>
      <c r="I1657" s="21"/>
      <c r="J1657" s="22" t="s">
        <v>494</v>
      </c>
      <c r="K1657" s="22" t="s">
        <v>262</v>
      </c>
      <c r="L1657" s="21"/>
      <c r="M1657" s="22" t="s">
        <v>2014</v>
      </c>
      <c r="N1657" s="28" t="s">
        <v>2015</v>
      </c>
      <c r="O1657" s="28" t="s">
        <v>2016</v>
      </c>
      <c r="P1657" s="29">
        <v>0</v>
      </c>
      <c r="Q1657" s="28" t="s">
        <v>2017</v>
      </c>
      <c r="R1657" s="21"/>
      <c r="S1657" s="21"/>
      <c r="T1657" s="21"/>
      <c r="U1657" s="21"/>
      <c r="V1657" s="21"/>
      <c r="W1657" s="21"/>
      <c r="X1657" s="21"/>
    </row>
    <row r="1658" spans="1:24" ht="15.75" thickBot="1" x14ac:dyDescent="0.3">
      <c r="A1658" t="str">
        <f t="shared" si="25"/>
        <v>KB3B 26280A54 AE</v>
      </c>
      <c r="B1658" s="22" t="s">
        <v>7025</v>
      </c>
      <c r="C1658" s="22" t="s">
        <v>7026</v>
      </c>
      <c r="D1658" s="22" t="s">
        <v>6819</v>
      </c>
      <c r="E1658" s="21"/>
      <c r="F1658" s="22" t="s">
        <v>2030</v>
      </c>
      <c r="G1658" s="28" t="s">
        <v>2012</v>
      </c>
      <c r="H1658" s="22" t="s">
        <v>2080</v>
      </c>
      <c r="I1658" s="21"/>
      <c r="J1658" s="22" t="s">
        <v>494</v>
      </c>
      <c r="K1658" s="22" t="s">
        <v>924</v>
      </c>
      <c r="L1658" s="21"/>
      <c r="M1658" s="22" t="s">
        <v>2014</v>
      </c>
      <c r="N1658" s="28" t="s">
        <v>2015</v>
      </c>
      <c r="O1658" s="28" t="s">
        <v>2016</v>
      </c>
      <c r="P1658" s="29">
        <v>146</v>
      </c>
      <c r="Q1658" s="28" t="s">
        <v>2017</v>
      </c>
      <c r="R1658" s="21"/>
      <c r="S1658" s="21"/>
      <c r="T1658" s="21"/>
      <c r="U1658" s="21"/>
      <c r="V1658" s="21"/>
      <c r="W1658" s="21"/>
      <c r="X1658" s="21"/>
    </row>
    <row r="1659" spans="1:24" ht="15.75" thickBot="1" x14ac:dyDescent="0.3">
      <c r="A1659" t="str">
        <f t="shared" si="25"/>
        <v>KB3B 26280A55 AH</v>
      </c>
      <c r="B1659" s="22" t="s">
        <v>7027</v>
      </c>
      <c r="C1659" s="22" t="s">
        <v>7028</v>
      </c>
      <c r="D1659" s="22" t="s">
        <v>6822</v>
      </c>
      <c r="E1659" s="21"/>
      <c r="F1659" s="22" t="s">
        <v>2030</v>
      </c>
      <c r="G1659" s="28" t="s">
        <v>2012</v>
      </c>
      <c r="H1659" s="22" t="s">
        <v>2080</v>
      </c>
      <c r="I1659" s="21"/>
      <c r="J1659" s="22" t="s">
        <v>494</v>
      </c>
      <c r="K1659" s="22" t="s">
        <v>924</v>
      </c>
      <c r="L1659" s="21"/>
      <c r="M1659" s="22" t="s">
        <v>2014</v>
      </c>
      <c r="N1659" s="28" t="s">
        <v>2015</v>
      </c>
      <c r="O1659" s="28" t="s">
        <v>2016</v>
      </c>
      <c r="P1659" s="29">
        <v>188</v>
      </c>
      <c r="Q1659" s="28" t="s">
        <v>2017</v>
      </c>
      <c r="R1659" s="40">
        <v>2417.1428571428601</v>
      </c>
      <c r="S1659" s="29">
        <v>5</v>
      </c>
      <c r="T1659" s="32">
        <v>7.7777777776999998E-2</v>
      </c>
      <c r="U1659" s="32">
        <v>0</v>
      </c>
      <c r="V1659" s="40">
        <v>2417.1428571428601</v>
      </c>
      <c r="W1659" s="30"/>
      <c r="X1659" s="30"/>
    </row>
    <row r="1660" spans="1:24" ht="15.75" thickBot="1" x14ac:dyDescent="0.3">
      <c r="A1660" t="str">
        <f t="shared" si="25"/>
        <v>KB3B 2628252 AE</v>
      </c>
      <c r="B1660" s="22" t="s">
        <v>7029</v>
      </c>
      <c r="C1660" s="22" t="s">
        <v>7030</v>
      </c>
      <c r="D1660" s="22" t="s">
        <v>7031</v>
      </c>
      <c r="E1660" s="21"/>
      <c r="F1660" s="22" t="s">
        <v>2030</v>
      </c>
      <c r="G1660" s="28" t="s">
        <v>5499</v>
      </c>
      <c r="H1660" s="22" t="s">
        <v>2080</v>
      </c>
      <c r="I1660" s="21"/>
      <c r="J1660" s="22" t="s">
        <v>494</v>
      </c>
      <c r="K1660" s="22" t="s">
        <v>924</v>
      </c>
      <c r="L1660" s="21"/>
      <c r="M1660" s="22" t="s">
        <v>2014</v>
      </c>
      <c r="N1660" s="28" t="s">
        <v>2015</v>
      </c>
      <c r="O1660" s="28" t="s">
        <v>2016</v>
      </c>
      <c r="P1660" s="29">
        <v>55</v>
      </c>
      <c r="Q1660" s="28" t="s">
        <v>2017</v>
      </c>
      <c r="R1660" s="21"/>
      <c r="S1660" s="21"/>
      <c r="T1660" s="21"/>
      <c r="U1660" s="21"/>
      <c r="V1660" s="21"/>
      <c r="W1660" s="21"/>
      <c r="X1660" s="21"/>
    </row>
    <row r="1661" spans="1:24" ht="15.75" thickBot="1" x14ac:dyDescent="0.3">
      <c r="A1661" t="str">
        <f t="shared" si="25"/>
        <v>KB3B 26286E70 AA</v>
      </c>
      <c r="B1661" s="22" t="s">
        <v>7032</v>
      </c>
      <c r="C1661" s="22" t="s">
        <v>7033</v>
      </c>
      <c r="D1661" s="22" t="s">
        <v>6825</v>
      </c>
      <c r="E1661" s="21"/>
      <c r="F1661" s="22" t="s">
        <v>2030</v>
      </c>
      <c r="G1661" s="28" t="s">
        <v>2012</v>
      </c>
      <c r="H1661" s="22" t="s">
        <v>2080</v>
      </c>
      <c r="I1661" s="21"/>
      <c r="J1661" s="22" t="s">
        <v>494</v>
      </c>
      <c r="K1661" s="22" t="s">
        <v>924</v>
      </c>
      <c r="L1661" s="21"/>
      <c r="M1661" s="22" t="s">
        <v>2014</v>
      </c>
      <c r="N1661" s="28" t="s">
        <v>2015</v>
      </c>
      <c r="O1661" s="28" t="s">
        <v>2016</v>
      </c>
      <c r="P1661" s="29">
        <v>177</v>
      </c>
      <c r="Q1661" s="28" t="s">
        <v>2017</v>
      </c>
      <c r="R1661" s="21"/>
      <c r="S1661" s="21"/>
      <c r="T1661" s="21"/>
      <c r="U1661" s="21"/>
      <c r="V1661" s="21"/>
      <c r="W1661" s="21"/>
      <c r="X1661" s="21"/>
    </row>
    <row r="1662" spans="1:24" ht="15.75" thickBot="1" x14ac:dyDescent="0.3">
      <c r="A1662" t="str">
        <f t="shared" si="25"/>
        <v>KB3B 26286E71 AA</v>
      </c>
      <c r="B1662" s="22" t="s">
        <v>7034</v>
      </c>
      <c r="C1662" s="22" t="s">
        <v>7035</v>
      </c>
      <c r="D1662" s="22" t="s">
        <v>6828</v>
      </c>
      <c r="E1662" s="21"/>
      <c r="F1662" s="22" t="s">
        <v>2030</v>
      </c>
      <c r="G1662" s="28" t="s">
        <v>2012</v>
      </c>
      <c r="H1662" s="22" t="s">
        <v>2080</v>
      </c>
      <c r="I1662" s="21"/>
      <c r="J1662" s="22" t="s">
        <v>494</v>
      </c>
      <c r="K1662" s="22" t="s">
        <v>924</v>
      </c>
      <c r="L1662" s="21"/>
      <c r="M1662" s="22" t="s">
        <v>2014</v>
      </c>
      <c r="N1662" s="28" t="s">
        <v>2015</v>
      </c>
      <c r="O1662" s="28" t="s">
        <v>2016</v>
      </c>
      <c r="P1662" s="29">
        <v>417</v>
      </c>
      <c r="Q1662" s="28" t="s">
        <v>2017</v>
      </c>
      <c r="R1662" s="40">
        <v>2978.5714285714298</v>
      </c>
      <c r="S1662" s="29">
        <v>9</v>
      </c>
      <c r="T1662" s="32">
        <v>0.14000000000000001</v>
      </c>
      <c r="U1662" s="32">
        <v>0</v>
      </c>
      <c r="V1662" s="40">
        <v>2978.5714285714298</v>
      </c>
      <c r="W1662" s="30"/>
      <c r="X1662" s="30"/>
    </row>
    <row r="1663" spans="1:24" ht="15.75" thickBot="1" x14ac:dyDescent="0.3">
      <c r="A1663" t="str">
        <f t="shared" si="25"/>
        <v>KB3B 2631002 AB3ZHE</v>
      </c>
      <c r="B1663" s="22" t="s">
        <v>7036</v>
      </c>
      <c r="C1663" s="22" t="s">
        <v>7037</v>
      </c>
      <c r="D1663" s="22" t="s">
        <v>6834</v>
      </c>
      <c r="E1663" s="21"/>
      <c r="F1663" s="22" t="s">
        <v>2030</v>
      </c>
      <c r="G1663" s="28" t="s">
        <v>2012</v>
      </c>
      <c r="H1663" s="22" t="s">
        <v>2080</v>
      </c>
      <c r="I1663" s="21"/>
      <c r="J1663" s="22" t="s">
        <v>494</v>
      </c>
      <c r="K1663" s="22" t="s">
        <v>262</v>
      </c>
      <c r="L1663" s="21"/>
      <c r="M1663" s="22" t="s">
        <v>2014</v>
      </c>
      <c r="N1663" s="28" t="s">
        <v>2015</v>
      </c>
      <c r="O1663" s="28" t="s">
        <v>2016</v>
      </c>
      <c r="P1663" s="29">
        <v>60</v>
      </c>
      <c r="Q1663" s="28" t="s">
        <v>2017</v>
      </c>
      <c r="R1663" s="21"/>
      <c r="S1663" s="21"/>
      <c r="T1663" s="21"/>
      <c r="U1663" s="21"/>
      <c r="V1663" s="21"/>
      <c r="W1663" s="21"/>
      <c r="X1663" s="21"/>
    </row>
    <row r="1664" spans="1:24" ht="15.75" thickBot="1" x14ac:dyDescent="0.3">
      <c r="A1664" t="str">
        <f t="shared" si="25"/>
        <v>KB3B 2631002 BC3ZHE</v>
      </c>
      <c r="B1664" s="22" t="s">
        <v>7038</v>
      </c>
      <c r="C1664" s="22" t="s">
        <v>7039</v>
      </c>
      <c r="D1664" s="22" t="s">
        <v>6834</v>
      </c>
      <c r="E1664" s="21"/>
      <c r="F1664" s="22" t="s">
        <v>7040</v>
      </c>
      <c r="G1664" s="28" t="s">
        <v>2012</v>
      </c>
      <c r="H1664" s="22" t="s">
        <v>2080</v>
      </c>
      <c r="I1664" s="21"/>
      <c r="J1664" s="22" t="s">
        <v>494</v>
      </c>
      <c r="K1664" s="22" t="s">
        <v>262</v>
      </c>
      <c r="L1664" s="21"/>
      <c r="M1664" s="22" t="s">
        <v>2014</v>
      </c>
      <c r="N1664" s="28" t="s">
        <v>2015</v>
      </c>
      <c r="O1664" s="28" t="s">
        <v>2016</v>
      </c>
      <c r="P1664" s="29">
        <v>288</v>
      </c>
      <c r="Q1664" s="28" t="s">
        <v>2017</v>
      </c>
      <c r="R1664" s="21"/>
      <c r="S1664" s="21"/>
      <c r="T1664" s="21"/>
      <c r="U1664" s="21"/>
      <c r="V1664" s="21"/>
      <c r="W1664" s="21"/>
      <c r="X1664" s="21"/>
    </row>
    <row r="1665" spans="1:24" ht="15.75" thickBot="1" x14ac:dyDescent="0.3">
      <c r="A1665" t="str">
        <f t="shared" si="25"/>
        <v>KB3B 2631003 AB3ZHE</v>
      </c>
      <c r="B1665" s="22" t="s">
        <v>7041</v>
      </c>
      <c r="C1665" s="22" t="s">
        <v>7042</v>
      </c>
      <c r="D1665" s="22" t="s">
        <v>6840</v>
      </c>
      <c r="E1665" s="21"/>
      <c r="F1665" s="22" t="s">
        <v>2030</v>
      </c>
      <c r="G1665" s="28" t="s">
        <v>2012</v>
      </c>
      <c r="H1665" s="22" t="s">
        <v>2080</v>
      </c>
      <c r="I1665" s="21"/>
      <c r="J1665" s="22" t="s">
        <v>494</v>
      </c>
      <c r="K1665" s="22" t="s">
        <v>262</v>
      </c>
      <c r="L1665" s="21"/>
      <c r="M1665" s="22" t="s">
        <v>2014</v>
      </c>
      <c r="N1665" s="28" t="s">
        <v>2015</v>
      </c>
      <c r="O1665" s="28" t="s">
        <v>2016</v>
      </c>
      <c r="P1665" s="29">
        <v>62</v>
      </c>
      <c r="Q1665" s="28" t="s">
        <v>2017</v>
      </c>
      <c r="R1665" s="21"/>
      <c r="S1665" s="21"/>
      <c r="T1665" s="21"/>
      <c r="U1665" s="21"/>
      <c r="V1665" s="21"/>
      <c r="W1665" s="21"/>
      <c r="X1665" s="21"/>
    </row>
    <row r="1666" spans="1:24" ht="15.75" thickBot="1" x14ac:dyDescent="0.3">
      <c r="A1666" t="str">
        <f t="shared" si="25"/>
        <v>KB3B 2631003 BB3ZHE</v>
      </c>
      <c r="B1666" s="22" t="s">
        <v>7043</v>
      </c>
      <c r="C1666" s="22" t="s">
        <v>7044</v>
      </c>
      <c r="D1666" s="22" t="s">
        <v>6840</v>
      </c>
      <c r="E1666" s="21"/>
      <c r="F1666" s="22" t="s">
        <v>7040</v>
      </c>
      <c r="G1666" s="28" t="s">
        <v>2012</v>
      </c>
      <c r="H1666" s="22" t="s">
        <v>2080</v>
      </c>
      <c r="I1666" s="21"/>
      <c r="J1666" s="22" t="s">
        <v>494</v>
      </c>
      <c r="K1666" s="22" t="s">
        <v>262</v>
      </c>
      <c r="L1666" s="21"/>
      <c r="M1666" s="22" t="s">
        <v>2014</v>
      </c>
      <c r="N1666" s="28" t="s">
        <v>2015</v>
      </c>
      <c r="O1666" s="28" t="s">
        <v>2016</v>
      </c>
      <c r="P1666" s="29">
        <v>244</v>
      </c>
      <c r="Q1666" s="28" t="s">
        <v>2017</v>
      </c>
      <c r="R1666" s="21"/>
      <c r="S1666" s="21"/>
      <c r="T1666" s="21"/>
      <c r="U1666" s="21"/>
      <c r="V1666" s="21"/>
      <c r="W1666" s="21"/>
      <c r="X1666" s="21"/>
    </row>
    <row r="1667" spans="1:24" ht="15.75" thickBot="1" x14ac:dyDescent="0.3">
      <c r="A1667" t="str">
        <f t="shared" si="25"/>
        <v>KB3B 2631003 BC3ZHE</v>
      </c>
      <c r="B1667" s="22" t="s">
        <v>7045</v>
      </c>
      <c r="C1667" s="22" t="s">
        <v>7046</v>
      </c>
      <c r="D1667" s="22" t="s">
        <v>6840</v>
      </c>
      <c r="E1667" s="21"/>
      <c r="F1667" s="22" t="s">
        <v>7040</v>
      </c>
      <c r="G1667" s="28" t="s">
        <v>2012</v>
      </c>
      <c r="H1667" s="22" t="s">
        <v>2080</v>
      </c>
      <c r="I1667" s="21"/>
      <c r="J1667" s="22" t="s">
        <v>494</v>
      </c>
      <c r="K1667" s="22" t="s">
        <v>262</v>
      </c>
      <c r="L1667" s="21"/>
      <c r="M1667" s="22" t="s">
        <v>2014</v>
      </c>
      <c r="N1667" s="28" t="s">
        <v>2015</v>
      </c>
      <c r="O1667" s="28" t="s">
        <v>2016</v>
      </c>
      <c r="P1667" s="29">
        <v>0</v>
      </c>
      <c r="Q1667" s="28" t="s">
        <v>2017</v>
      </c>
      <c r="R1667" s="21"/>
      <c r="S1667" s="21"/>
      <c r="T1667" s="21"/>
      <c r="U1667" s="21"/>
      <c r="V1667" s="21"/>
      <c r="W1667" s="21"/>
      <c r="X1667" s="21"/>
    </row>
    <row r="1668" spans="1:24" ht="15.75" thickBot="1" x14ac:dyDescent="0.3">
      <c r="A1668" t="str">
        <f t="shared" si="25"/>
        <v>KB3B 2631006 AH3ZHE</v>
      </c>
      <c r="B1668" s="22" t="s">
        <v>7047</v>
      </c>
      <c r="C1668" s="22" t="s">
        <v>7048</v>
      </c>
      <c r="D1668" s="22" t="s">
        <v>6845</v>
      </c>
      <c r="E1668" s="21"/>
      <c r="F1668" s="22" t="s">
        <v>7049</v>
      </c>
      <c r="G1668" s="28" t="s">
        <v>2012</v>
      </c>
      <c r="H1668" s="22" t="s">
        <v>2080</v>
      </c>
      <c r="I1668" s="21"/>
      <c r="J1668" s="22" t="s">
        <v>494</v>
      </c>
      <c r="K1668" s="22" t="s">
        <v>262</v>
      </c>
      <c r="L1668" s="21"/>
      <c r="M1668" s="22" t="s">
        <v>2014</v>
      </c>
      <c r="N1668" s="28" t="s">
        <v>2015</v>
      </c>
      <c r="O1668" s="28" t="s">
        <v>2016</v>
      </c>
      <c r="P1668" s="29">
        <v>19</v>
      </c>
      <c r="Q1668" s="28" t="s">
        <v>2017</v>
      </c>
      <c r="R1668" s="21"/>
      <c r="S1668" s="21"/>
      <c r="T1668" s="21"/>
      <c r="U1668" s="21"/>
      <c r="V1668" s="21"/>
      <c r="W1668" s="21"/>
      <c r="X1668" s="21"/>
    </row>
    <row r="1669" spans="1:24" ht="15.75" thickBot="1" x14ac:dyDescent="0.3">
      <c r="A1669" t="str">
        <f t="shared" ref="A1669:A1732" si="26">TRIM(B1669)</f>
        <v>KB3B 2631007 AG3ZHE</v>
      </c>
      <c r="B1669" s="22" t="s">
        <v>7050</v>
      </c>
      <c r="C1669" s="22" t="s">
        <v>7051</v>
      </c>
      <c r="D1669" s="22" t="s">
        <v>6851</v>
      </c>
      <c r="E1669" s="21"/>
      <c r="F1669" s="22" t="s">
        <v>7052</v>
      </c>
      <c r="G1669" s="28" t="s">
        <v>2012</v>
      </c>
      <c r="H1669" s="22" t="s">
        <v>2080</v>
      </c>
      <c r="I1669" s="21"/>
      <c r="J1669" s="22" t="s">
        <v>494</v>
      </c>
      <c r="K1669" s="22" t="s">
        <v>262</v>
      </c>
      <c r="L1669" s="21"/>
      <c r="M1669" s="22" t="s">
        <v>2014</v>
      </c>
      <c r="N1669" s="28" t="s">
        <v>2015</v>
      </c>
      <c r="O1669" s="28" t="s">
        <v>2016</v>
      </c>
      <c r="P1669" s="29">
        <v>21</v>
      </c>
      <c r="Q1669" s="28" t="s">
        <v>2017</v>
      </c>
      <c r="R1669" s="21"/>
      <c r="S1669" s="21"/>
      <c r="T1669" s="21"/>
      <c r="U1669" s="21"/>
      <c r="V1669" s="21"/>
      <c r="W1669" s="21"/>
      <c r="X1669" s="21"/>
    </row>
    <row r="1670" spans="1:24" ht="15.75" thickBot="1" x14ac:dyDescent="0.3">
      <c r="A1670" t="str">
        <f t="shared" si="26"/>
        <v>KB3B 2631007 AH3ZHE</v>
      </c>
      <c r="B1670" s="22" t="s">
        <v>7053</v>
      </c>
      <c r="C1670" s="22" t="s">
        <v>7054</v>
      </c>
      <c r="D1670" s="22" t="s">
        <v>6851</v>
      </c>
      <c r="E1670" s="21"/>
      <c r="F1670" s="22" t="s">
        <v>7052</v>
      </c>
      <c r="G1670" s="28" t="s">
        <v>2012</v>
      </c>
      <c r="H1670" s="22" t="s">
        <v>2080</v>
      </c>
      <c r="I1670" s="21"/>
      <c r="J1670" s="22" t="s">
        <v>494</v>
      </c>
      <c r="K1670" s="22" t="s">
        <v>262</v>
      </c>
      <c r="L1670" s="21"/>
      <c r="M1670" s="22" t="s">
        <v>2014</v>
      </c>
      <c r="N1670" s="28" t="s">
        <v>2015</v>
      </c>
      <c r="O1670" s="28" t="s">
        <v>2016</v>
      </c>
      <c r="P1670" s="29">
        <v>317</v>
      </c>
      <c r="Q1670" s="28" t="s">
        <v>2017</v>
      </c>
      <c r="R1670" s="21"/>
      <c r="S1670" s="21"/>
      <c r="T1670" s="21"/>
      <c r="U1670" s="21"/>
      <c r="V1670" s="21"/>
      <c r="W1670" s="21"/>
      <c r="X1670" s="21"/>
    </row>
    <row r="1671" spans="1:24" ht="15.75" thickBot="1" x14ac:dyDescent="0.3">
      <c r="A1671" t="str">
        <f t="shared" si="26"/>
        <v>KB3B 2631056 AE3ZHE</v>
      </c>
      <c r="B1671" s="22" t="s">
        <v>896</v>
      </c>
      <c r="C1671" s="22" t="s">
        <v>7055</v>
      </c>
      <c r="D1671" s="22" t="s">
        <v>7056</v>
      </c>
      <c r="E1671" s="21"/>
      <c r="F1671" s="22" t="s">
        <v>6987</v>
      </c>
      <c r="G1671" s="28" t="s">
        <v>2012</v>
      </c>
      <c r="H1671" s="22" t="s">
        <v>2080</v>
      </c>
      <c r="I1671" s="21"/>
      <c r="J1671" s="22" t="s">
        <v>494</v>
      </c>
      <c r="K1671" s="22" t="s">
        <v>262</v>
      </c>
      <c r="L1671" s="21"/>
      <c r="M1671" s="22" t="s">
        <v>2014</v>
      </c>
      <c r="N1671" s="28" t="s">
        <v>2015</v>
      </c>
      <c r="O1671" s="28" t="s">
        <v>2016</v>
      </c>
      <c r="P1671" s="29">
        <v>0</v>
      </c>
      <c r="Q1671" s="28" t="s">
        <v>2017</v>
      </c>
      <c r="R1671" s="41">
        <v>0</v>
      </c>
      <c r="S1671" s="29">
        <v>2</v>
      </c>
      <c r="T1671" s="32">
        <v>3.1111111111000001E-2</v>
      </c>
      <c r="U1671" s="32">
        <v>0</v>
      </c>
      <c r="V1671" s="41">
        <v>0</v>
      </c>
      <c r="W1671" s="21"/>
      <c r="X1671" s="21"/>
    </row>
    <row r="1672" spans="1:24" ht="15.75" thickBot="1" x14ac:dyDescent="0.3">
      <c r="A1672" t="str">
        <f t="shared" si="26"/>
        <v>KB3B 2631057 AE3ZHE</v>
      </c>
      <c r="B1672" s="22" t="s">
        <v>898</v>
      </c>
      <c r="C1672" s="22" t="s">
        <v>7057</v>
      </c>
      <c r="D1672" s="22" t="s">
        <v>7058</v>
      </c>
      <c r="E1672" s="21"/>
      <c r="F1672" s="22" t="s">
        <v>6987</v>
      </c>
      <c r="G1672" s="28" t="s">
        <v>2012</v>
      </c>
      <c r="H1672" s="22" t="s">
        <v>2080</v>
      </c>
      <c r="I1672" s="21"/>
      <c r="J1672" s="22" t="s">
        <v>494</v>
      </c>
      <c r="K1672" s="22" t="s">
        <v>262</v>
      </c>
      <c r="L1672" s="21"/>
      <c r="M1672" s="22" t="s">
        <v>2014</v>
      </c>
      <c r="N1672" s="28" t="s">
        <v>2015</v>
      </c>
      <c r="O1672" s="28" t="s">
        <v>2016</v>
      </c>
      <c r="P1672" s="29">
        <v>112</v>
      </c>
      <c r="Q1672" s="28" t="s">
        <v>2017</v>
      </c>
      <c r="R1672" s="40">
        <v>7200</v>
      </c>
      <c r="S1672" s="29">
        <v>1</v>
      </c>
      <c r="T1672" s="32">
        <v>1.5555555555E-2</v>
      </c>
      <c r="U1672" s="32">
        <v>0</v>
      </c>
      <c r="V1672" s="40">
        <v>7200</v>
      </c>
      <c r="W1672" s="30"/>
      <c r="X1672" s="30"/>
    </row>
    <row r="1673" spans="1:24" ht="15.75" thickBot="1" x14ac:dyDescent="0.3">
      <c r="A1673" t="str">
        <f t="shared" si="26"/>
        <v>KB3B 26403A86 AF3ZHE</v>
      </c>
      <c r="B1673" s="22" t="s">
        <v>7059</v>
      </c>
      <c r="C1673" s="22" t="s">
        <v>7060</v>
      </c>
      <c r="D1673" s="22" t="s">
        <v>6863</v>
      </c>
      <c r="E1673" s="21"/>
      <c r="F1673" s="22" t="s">
        <v>7061</v>
      </c>
      <c r="G1673" s="28" t="s">
        <v>2012</v>
      </c>
      <c r="H1673" s="22" t="s">
        <v>2080</v>
      </c>
      <c r="I1673" s="21"/>
      <c r="J1673" s="22" t="s">
        <v>494</v>
      </c>
      <c r="K1673" s="22" t="s">
        <v>262</v>
      </c>
      <c r="L1673" s="21"/>
      <c r="M1673" s="22" t="s">
        <v>2014</v>
      </c>
      <c r="N1673" s="28" t="s">
        <v>2015</v>
      </c>
      <c r="O1673" s="28" t="s">
        <v>2016</v>
      </c>
      <c r="P1673" s="29">
        <v>283</v>
      </c>
      <c r="Q1673" s="28" t="s">
        <v>2017</v>
      </c>
      <c r="R1673" s="21"/>
      <c r="S1673" s="21"/>
      <c r="T1673" s="21"/>
      <c r="U1673" s="21"/>
      <c r="V1673" s="21"/>
      <c r="W1673" s="21"/>
      <c r="X1673" s="21"/>
    </row>
    <row r="1674" spans="1:24" ht="15.75" thickBot="1" x14ac:dyDescent="0.3">
      <c r="A1674" t="str">
        <f t="shared" si="26"/>
        <v>KB3B 26403E32 AD</v>
      </c>
      <c r="B1674" s="22" t="s">
        <v>7062</v>
      </c>
      <c r="C1674" s="22" t="s">
        <v>7063</v>
      </c>
      <c r="D1674" s="22" t="s">
        <v>7064</v>
      </c>
      <c r="E1674" s="22" t="s">
        <v>7065</v>
      </c>
      <c r="F1674" s="22" t="s">
        <v>2030</v>
      </c>
      <c r="G1674" s="28" t="s">
        <v>5499</v>
      </c>
      <c r="H1674" s="22" t="s">
        <v>2080</v>
      </c>
      <c r="I1674" s="21"/>
      <c r="J1674" s="22" t="s">
        <v>494</v>
      </c>
      <c r="K1674" s="22" t="s">
        <v>924</v>
      </c>
      <c r="L1674" s="21"/>
      <c r="M1674" s="22" t="s">
        <v>2014</v>
      </c>
      <c r="N1674" s="28" t="s">
        <v>2015</v>
      </c>
      <c r="O1674" s="28" t="s">
        <v>2016</v>
      </c>
      <c r="P1674" s="29">
        <v>42</v>
      </c>
      <c r="Q1674" s="28" t="s">
        <v>2017</v>
      </c>
      <c r="R1674" s="21"/>
      <c r="S1674" s="21"/>
      <c r="T1674" s="21"/>
      <c r="U1674" s="21"/>
      <c r="V1674" s="21"/>
      <c r="W1674" s="21"/>
      <c r="X1674" s="21"/>
    </row>
    <row r="1675" spans="1:24" ht="15.75" thickBot="1" x14ac:dyDescent="0.3">
      <c r="A1675" t="str">
        <f t="shared" si="26"/>
        <v>KB3B 26403E32 AE</v>
      </c>
      <c r="B1675" s="22" t="s">
        <v>7066</v>
      </c>
      <c r="C1675" s="22" t="s">
        <v>7067</v>
      </c>
      <c r="D1675" s="22" t="s">
        <v>7064</v>
      </c>
      <c r="E1675" s="22" t="s">
        <v>7065</v>
      </c>
      <c r="F1675" s="22" t="s">
        <v>2030</v>
      </c>
      <c r="G1675" s="28" t="s">
        <v>2012</v>
      </c>
      <c r="H1675" s="22" t="s">
        <v>2080</v>
      </c>
      <c r="I1675" s="21"/>
      <c r="J1675" s="22" t="s">
        <v>494</v>
      </c>
      <c r="K1675" s="22" t="s">
        <v>924</v>
      </c>
      <c r="L1675" s="21"/>
      <c r="M1675" s="22" t="s">
        <v>2014</v>
      </c>
      <c r="N1675" s="28" t="s">
        <v>2015</v>
      </c>
      <c r="O1675" s="28" t="s">
        <v>2016</v>
      </c>
      <c r="P1675" s="29">
        <v>98</v>
      </c>
      <c r="Q1675" s="28" t="s">
        <v>2017</v>
      </c>
      <c r="R1675" s="21"/>
      <c r="S1675" s="21"/>
      <c r="T1675" s="21"/>
      <c r="U1675" s="21"/>
      <c r="V1675" s="21"/>
      <c r="W1675" s="21"/>
      <c r="X1675" s="21"/>
    </row>
    <row r="1676" spans="1:24" ht="15.75" thickBot="1" x14ac:dyDescent="0.3">
      <c r="A1676" t="str">
        <f t="shared" si="26"/>
        <v>KB3B 26454W66 AA</v>
      </c>
      <c r="B1676" s="22" t="s">
        <v>973</v>
      </c>
      <c r="C1676" s="22" t="s">
        <v>7068</v>
      </c>
      <c r="D1676" s="22" t="s">
        <v>5233</v>
      </c>
      <c r="E1676" s="21"/>
      <c r="F1676" s="22" t="s">
        <v>2030</v>
      </c>
      <c r="G1676" s="28" t="s">
        <v>2012</v>
      </c>
      <c r="H1676" s="22" t="s">
        <v>2080</v>
      </c>
      <c r="I1676" s="21"/>
      <c r="J1676" s="22" t="s">
        <v>494</v>
      </c>
      <c r="K1676" s="22" t="s">
        <v>924</v>
      </c>
      <c r="L1676" s="21"/>
      <c r="M1676" s="22" t="s">
        <v>2014</v>
      </c>
      <c r="N1676" s="28" t="s">
        <v>2015</v>
      </c>
      <c r="O1676" s="28" t="s">
        <v>2016</v>
      </c>
      <c r="P1676" s="29">
        <v>0</v>
      </c>
      <c r="Q1676" s="28" t="s">
        <v>2017</v>
      </c>
      <c r="R1676" s="21"/>
      <c r="S1676" s="21"/>
      <c r="T1676" s="21"/>
      <c r="U1676" s="21"/>
      <c r="V1676" s="21"/>
      <c r="W1676" s="21"/>
      <c r="X1676" s="21"/>
    </row>
    <row r="1677" spans="1:24" ht="15.75" thickBot="1" x14ac:dyDescent="0.3">
      <c r="A1677" t="str">
        <f t="shared" si="26"/>
        <v>KB3B 26454W66 BA</v>
      </c>
      <c r="B1677" s="22" t="s">
        <v>975</v>
      </c>
      <c r="C1677" s="22" t="s">
        <v>5232</v>
      </c>
      <c r="D1677" s="22" t="s">
        <v>5233</v>
      </c>
      <c r="E1677" s="21"/>
      <c r="F1677" s="22" t="s">
        <v>2030</v>
      </c>
      <c r="G1677" s="28" t="s">
        <v>2012</v>
      </c>
      <c r="H1677" s="22" t="s">
        <v>2080</v>
      </c>
      <c r="I1677" s="21"/>
      <c r="J1677" s="22" t="s">
        <v>494</v>
      </c>
      <c r="K1677" s="22" t="s">
        <v>924</v>
      </c>
      <c r="L1677" s="21"/>
      <c r="M1677" s="22" t="s">
        <v>2014</v>
      </c>
      <c r="N1677" s="28" t="s">
        <v>2015</v>
      </c>
      <c r="O1677" s="28" t="s">
        <v>2016</v>
      </c>
      <c r="P1677" s="29">
        <v>0</v>
      </c>
      <c r="Q1677" s="28" t="s">
        <v>2017</v>
      </c>
      <c r="R1677" s="41">
        <v>0</v>
      </c>
      <c r="S1677" s="29">
        <v>27360</v>
      </c>
      <c r="T1677" s="32">
        <v>425.6</v>
      </c>
      <c r="U1677" s="32">
        <v>0</v>
      </c>
      <c r="V1677" s="41">
        <v>0</v>
      </c>
      <c r="W1677" s="21"/>
      <c r="X1677" s="21"/>
    </row>
    <row r="1678" spans="1:24" ht="15.75" thickBot="1" x14ac:dyDescent="0.3">
      <c r="A1678" t="str">
        <f t="shared" si="26"/>
        <v>KB3B 2651104 AA</v>
      </c>
      <c r="B1678" s="22" t="s">
        <v>7069</v>
      </c>
      <c r="C1678" s="22" t="s">
        <v>7070</v>
      </c>
      <c r="D1678" s="22" t="s">
        <v>7071</v>
      </c>
      <c r="E1678" s="21"/>
      <c r="F1678" s="22" t="s">
        <v>2030</v>
      </c>
      <c r="G1678" s="28" t="s">
        <v>2012</v>
      </c>
      <c r="H1678" s="22" t="s">
        <v>2080</v>
      </c>
      <c r="I1678" s="21"/>
      <c r="J1678" s="22" t="s">
        <v>494</v>
      </c>
      <c r="K1678" s="22" t="s">
        <v>924</v>
      </c>
      <c r="L1678" s="21"/>
      <c r="M1678" s="22" t="s">
        <v>2014</v>
      </c>
      <c r="N1678" s="28" t="s">
        <v>2015</v>
      </c>
      <c r="O1678" s="28" t="s">
        <v>2016</v>
      </c>
      <c r="P1678" s="29">
        <v>330</v>
      </c>
      <c r="Q1678" s="28" t="s">
        <v>2017</v>
      </c>
      <c r="R1678" s="21"/>
      <c r="S1678" s="21"/>
      <c r="T1678" s="21"/>
      <c r="U1678" s="21"/>
      <c r="V1678" s="21"/>
      <c r="W1678" s="21"/>
      <c r="X1678" s="21"/>
    </row>
    <row r="1679" spans="1:24" ht="15.75" thickBot="1" x14ac:dyDescent="0.3">
      <c r="A1679" t="str">
        <f t="shared" si="26"/>
        <v>KB3B 2651105 AA</v>
      </c>
      <c r="B1679" s="22" t="s">
        <v>7072</v>
      </c>
      <c r="C1679" s="22" t="s">
        <v>7073</v>
      </c>
      <c r="D1679" s="22" t="s">
        <v>7074</v>
      </c>
      <c r="E1679" s="21"/>
      <c r="F1679" s="22" t="s">
        <v>2030</v>
      </c>
      <c r="G1679" s="28" t="s">
        <v>2012</v>
      </c>
      <c r="H1679" s="22" t="s">
        <v>2080</v>
      </c>
      <c r="I1679" s="21"/>
      <c r="J1679" s="22" t="s">
        <v>494</v>
      </c>
      <c r="K1679" s="22" t="s">
        <v>924</v>
      </c>
      <c r="L1679" s="21"/>
      <c r="M1679" s="22" t="s">
        <v>2014</v>
      </c>
      <c r="N1679" s="28" t="s">
        <v>2015</v>
      </c>
      <c r="O1679" s="28" t="s">
        <v>2016</v>
      </c>
      <c r="P1679" s="29">
        <v>206</v>
      </c>
      <c r="Q1679" s="28" t="s">
        <v>2017</v>
      </c>
      <c r="R1679" s="21"/>
      <c r="S1679" s="21"/>
      <c r="T1679" s="21"/>
      <c r="U1679" s="21"/>
      <c r="V1679" s="21"/>
      <c r="W1679" s="21"/>
      <c r="X1679" s="21"/>
    </row>
    <row r="1680" spans="1:24" ht="15.75" thickBot="1" x14ac:dyDescent="0.3">
      <c r="A1680" t="str">
        <f t="shared" si="26"/>
        <v>KB3B 28344 AA</v>
      </c>
      <c r="B1680" s="22" t="s">
        <v>7075</v>
      </c>
      <c r="C1680" s="22" t="s">
        <v>7076</v>
      </c>
      <c r="D1680" s="22" t="s">
        <v>7077</v>
      </c>
      <c r="E1680" s="21"/>
      <c r="F1680" s="22" t="s">
        <v>7078</v>
      </c>
      <c r="G1680" s="28" t="s">
        <v>2012</v>
      </c>
      <c r="H1680" s="22" t="s">
        <v>2080</v>
      </c>
      <c r="I1680" s="21"/>
      <c r="J1680" s="22" t="s">
        <v>494</v>
      </c>
      <c r="K1680" s="22" t="s">
        <v>262</v>
      </c>
      <c r="L1680" s="21"/>
      <c r="M1680" s="22" t="s">
        <v>2014</v>
      </c>
      <c r="N1680" s="28" t="s">
        <v>2015</v>
      </c>
      <c r="O1680" s="28" t="s">
        <v>2016</v>
      </c>
      <c r="P1680" s="29">
        <v>852</v>
      </c>
      <c r="Q1680" s="28" t="s">
        <v>2017</v>
      </c>
      <c r="R1680" s="40">
        <v>2106.5934065934098</v>
      </c>
      <c r="S1680" s="29">
        <v>26</v>
      </c>
      <c r="T1680" s="32">
        <v>0.40444444444400002</v>
      </c>
      <c r="U1680" s="32">
        <v>0</v>
      </c>
      <c r="V1680" s="40">
        <v>2106.5934065934098</v>
      </c>
      <c r="W1680" s="30"/>
      <c r="X1680" s="30"/>
    </row>
    <row r="1681" spans="1:24" ht="15.75" thickBot="1" x14ac:dyDescent="0.3">
      <c r="A1681" t="str">
        <f t="shared" si="26"/>
        <v>KB3B 2L624 AA</v>
      </c>
      <c r="B1681" s="22" t="s">
        <v>7079</v>
      </c>
      <c r="C1681" s="22" t="s">
        <v>7080</v>
      </c>
      <c r="D1681" s="22" t="s">
        <v>7081</v>
      </c>
      <c r="E1681" s="21"/>
      <c r="F1681" s="22" t="s">
        <v>2030</v>
      </c>
      <c r="G1681" s="28" t="s">
        <v>2012</v>
      </c>
      <c r="H1681" s="22" t="s">
        <v>2080</v>
      </c>
      <c r="I1681" s="21"/>
      <c r="J1681" s="22" t="s">
        <v>494</v>
      </c>
      <c r="K1681" s="22" t="s">
        <v>924</v>
      </c>
      <c r="L1681" s="21"/>
      <c r="M1681" s="22" t="s">
        <v>2014</v>
      </c>
      <c r="N1681" s="28" t="s">
        <v>2015</v>
      </c>
      <c r="O1681" s="28" t="s">
        <v>2016</v>
      </c>
      <c r="P1681" s="29">
        <v>0</v>
      </c>
      <c r="Q1681" s="28" t="s">
        <v>2017</v>
      </c>
      <c r="R1681" s="21"/>
      <c r="S1681" s="21"/>
      <c r="T1681" s="21"/>
      <c r="U1681" s="21"/>
      <c r="V1681" s="21"/>
      <c r="W1681" s="21"/>
      <c r="X1681" s="21"/>
    </row>
    <row r="1682" spans="1:24" ht="15.75" thickBot="1" x14ac:dyDescent="0.3">
      <c r="A1682" t="str">
        <f t="shared" si="26"/>
        <v>KB3B 5A273 AA</v>
      </c>
      <c r="B1682" s="22" t="s">
        <v>7082</v>
      </c>
      <c r="C1682" s="22" t="s">
        <v>7083</v>
      </c>
      <c r="D1682" s="22" t="s">
        <v>7084</v>
      </c>
      <c r="E1682" s="21"/>
      <c r="F1682" s="22" t="s">
        <v>7085</v>
      </c>
      <c r="G1682" s="28" t="s">
        <v>2012</v>
      </c>
      <c r="H1682" s="22" t="s">
        <v>2080</v>
      </c>
      <c r="I1682" s="21"/>
      <c r="J1682" s="22" t="s">
        <v>494</v>
      </c>
      <c r="K1682" s="22" t="s">
        <v>924</v>
      </c>
      <c r="L1682" s="21"/>
      <c r="M1682" s="22" t="s">
        <v>2014</v>
      </c>
      <c r="N1682" s="28" t="s">
        <v>2015</v>
      </c>
      <c r="O1682" s="28" t="s">
        <v>2016</v>
      </c>
      <c r="P1682" s="29">
        <v>600</v>
      </c>
      <c r="Q1682" s="28" t="s">
        <v>2017</v>
      </c>
      <c r="R1682" s="21"/>
      <c r="S1682" s="21"/>
      <c r="T1682" s="21"/>
      <c r="U1682" s="21"/>
      <c r="V1682" s="21"/>
      <c r="W1682" s="21"/>
      <c r="X1682" s="21"/>
    </row>
    <row r="1683" spans="1:24" ht="15.75" thickBot="1" x14ac:dyDescent="0.3">
      <c r="A1683" t="str">
        <f t="shared" si="26"/>
        <v>KB3C 5B018 AA</v>
      </c>
      <c r="B1683" s="22" t="s">
        <v>7086</v>
      </c>
      <c r="C1683" s="22" t="s">
        <v>7087</v>
      </c>
      <c r="D1683" s="22" t="s">
        <v>6407</v>
      </c>
      <c r="E1683" s="21"/>
      <c r="F1683" s="22" t="s">
        <v>2030</v>
      </c>
      <c r="G1683" s="28" t="s">
        <v>2012</v>
      </c>
      <c r="H1683" s="22" t="s">
        <v>2080</v>
      </c>
      <c r="I1683" s="21"/>
      <c r="J1683" s="22" t="s">
        <v>494</v>
      </c>
      <c r="K1683" s="22" t="s">
        <v>924</v>
      </c>
      <c r="L1683" s="21"/>
      <c r="M1683" s="22" t="s">
        <v>2014</v>
      </c>
      <c r="N1683" s="28" t="s">
        <v>2015</v>
      </c>
      <c r="O1683" s="28" t="s">
        <v>2016</v>
      </c>
      <c r="P1683" s="29">
        <v>1640</v>
      </c>
      <c r="Q1683" s="28" t="s">
        <v>2017</v>
      </c>
      <c r="R1683" s="40">
        <v>3765.3061224489802</v>
      </c>
      <c r="S1683" s="29">
        <v>28</v>
      </c>
      <c r="T1683" s="32">
        <v>0.43555555555499997</v>
      </c>
      <c r="U1683" s="32">
        <v>0</v>
      </c>
      <c r="V1683" s="40">
        <v>3765.3061224489802</v>
      </c>
      <c r="W1683" s="30"/>
      <c r="X1683" s="30"/>
    </row>
    <row r="1684" spans="1:24" ht="15.75" thickBot="1" x14ac:dyDescent="0.3">
      <c r="A1684" t="str">
        <f t="shared" si="26"/>
        <v>KB3C 7E063 AA</v>
      </c>
      <c r="B1684" s="22" t="s">
        <v>7088</v>
      </c>
      <c r="C1684" s="22" t="s">
        <v>7089</v>
      </c>
      <c r="D1684" s="22" t="s">
        <v>7090</v>
      </c>
      <c r="E1684" s="21"/>
      <c r="F1684" s="22" t="s">
        <v>2030</v>
      </c>
      <c r="G1684" s="28" t="s">
        <v>2012</v>
      </c>
      <c r="H1684" s="22" t="s">
        <v>2080</v>
      </c>
      <c r="I1684" s="21"/>
      <c r="J1684" s="22" t="s">
        <v>494</v>
      </c>
      <c r="K1684" s="22" t="s">
        <v>924</v>
      </c>
      <c r="L1684" s="21"/>
      <c r="M1684" s="22" t="s">
        <v>2014</v>
      </c>
      <c r="N1684" s="28" t="s">
        <v>2015</v>
      </c>
      <c r="O1684" s="28" t="s">
        <v>2016</v>
      </c>
      <c r="P1684" s="29">
        <v>503</v>
      </c>
      <c r="Q1684" s="28" t="s">
        <v>2017</v>
      </c>
      <c r="R1684" s="21"/>
      <c r="S1684" s="21"/>
      <c r="T1684" s="21"/>
      <c r="U1684" s="21"/>
      <c r="V1684" s="21"/>
      <c r="W1684" s="21"/>
      <c r="X1684" s="21"/>
    </row>
    <row r="1685" spans="1:24" ht="15.75" thickBot="1" x14ac:dyDescent="0.3">
      <c r="A1685" t="str">
        <f t="shared" si="26"/>
        <v>KB3Z 10732 B</v>
      </c>
      <c r="B1685" s="22" t="s">
        <v>7091</v>
      </c>
      <c r="C1685" s="22" t="s">
        <v>7092</v>
      </c>
      <c r="D1685" s="22" t="s">
        <v>7093</v>
      </c>
      <c r="E1685" s="22" t="s">
        <v>6575</v>
      </c>
      <c r="F1685" s="22" t="s">
        <v>6576</v>
      </c>
      <c r="G1685" s="28" t="s">
        <v>2012</v>
      </c>
      <c r="H1685" s="22" t="s">
        <v>5080</v>
      </c>
      <c r="I1685" s="21"/>
      <c r="J1685" s="22" t="s">
        <v>494</v>
      </c>
      <c r="K1685" s="22" t="s">
        <v>924</v>
      </c>
      <c r="L1685" s="21"/>
      <c r="M1685" s="22" t="s">
        <v>2014</v>
      </c>
      <c r="N1685" s="28" t="s">
        <v>2015</v>
      </c>
      <c r="O1685" s="28" t="s">
        <v>2016</v>
      </c>
      <c r="P1685" s="29">
        <v>222</v>
      </c>
      <c r="Q1685" s="28" t="s">
        <v>2017</v>
      </c>
      <c r="R1685" s="21"/>
      <c r="S1685" s="21"/>
      <c r="T1685" s="21"/>
      <c r="U1685" s="21"/>
      <c r="V1685" s="21"/>
      <c r="W1685" s="21"/>
      <c r="X1685" s="21"/>
    </row>
    <row r="1686" spans="1:24" ht="15.75" thickBot="1" x14ac:dyDescent="0.3">
      <c r="A1686" t="str">
        <f t="shared" si="26"/>
        <v>KB3Z 16138 B</v>
      </c>
      <c r="B1686" s="22" t="s">
        <v>7094</v>
      </c>
      <c r="C1686" s="22" t="s">
        <v>7095</v>
      </c>
      <c r="D1686" s="22" t="s">
        <v>5517</v>
      </c>
      <c r="E1686" s="22" t="s">
        <v>5518</v>
      </c>
      <c r="F1686" s="22" t="s">
        <v>2030</v>
      </c>
      <c r="G1686" s="28" t="s">
        <v>2012</v>
      </c>
      <c r="H1686" s="22" t="s">
        <v>5080</v>
      </c>
      <c r="I1686" s="21"/>
      <c r="J1686" s="22" t="s">
        <v>494</v>
      </c>
      <c r="K1686" s="22" t="s">
        <v>924</v>
      </c>
      <c r="L1686" s="21"/>
      <c r="M1686" s="22" t="s">
        <v>2014</v>
      </c>
      <c r="N1686" s="28" t="s">
        <v>2015</v>
      </c>
      <c r="O1686" s="28" t="s">
        <v>2016</v>
      </c>
      <c r="P1686" s="29">
        <v>0</v>
      </c>
      <c r="Q1686" s="28" t="s">
        <v>2017</v>
      </c>
      <c r="R1686" s="21"/>
      <c r="S1686" s="21"/>
      <c r="T1686" s="21"/>
      <c r="U1686" s="21"/>
      <c r="V1686" s="21"/>
      <c r="W1686" s="21"/>
      <c r="X1686" s="21"/>
    </row>
    <row r="1687" spans="1:24" ht="15.75" thickBot="1" x14ac:dyDescent="0.3">
      <c r="A1687" t="str">
        <f t="shared" si="26"/>
        <v>KB3Z 16A298 A</v>
      </c>
      <c r="B1687" s="22" t="s">
        <v>7096</v>
      </c>
      <c r="C1687" s="22" t="s">
        <v>6577</v>
      </c>
      <c r="D1687" s="22" t="s">
        <v>7097</v>
      </c>
      <c r="E1687" s="22" t="s">
        <v>6579</v>
      </c>
      <c r="F1687" s="22" t="s">
        <v>2030</v>
      </c>
      <c r="G1687" s="28" t="s">
        <v>2012</v>
      </c>
      <c r="H1687" s="22" t="s">
        <v>5080</v>
      </c>
      <c r="I1687" s="21"/>
      <c r="J1687" s="22" t="s">
        <v>494</v>
      </c>
      <c r="K1687" s="22" t="s">
        <v>924</v>
      </c>
      <c r="L1687" s="21"/>
      <c r="M1687" s="22" t="s">
        <v>2014</v>
      </c>
      <c r="N1687" s="28" t="s">
        <v>2015</v>
      </c>
      <c r="O1687" s="28" t="s">
        <v>2016</v>
      </c>
      <c r="P1687" s="29">
        <v>2215</v>
      </c>
      <c r="Q1687" s="28" t="s">
        <v>2017</v>
      </c>
      <c r="R1687" s="21"/>
      <c r="S1687" s="21"/>
      <c r="T1687" s="21"/>
      <c r="U1687" s="21"/>
      <c r="V1687" s="21"/>
      <c r="W1687" s="21"/>
      <c r="X1687" s="21"/>
    </row>
    <row r="1688" spans="1:24" ht="15.75" thickBot="1" x14ac:dyDescent="0.3">
      <c r="A1688" t="str">
        <f t="shared" si="26"/>
        <v>KB3Z 16A298 B</v>
      </c>
      <c r="B1688" s="22" t="s">
        <v>7098</v>
      </c>
      <c r="C1688" s="22" t="s">
        <v>6580</v>
      </c>
      <c r="D1688" s="22" t="s">
        <v>7099</v>
      </c>
      <c r="E1688" s="22" t="s">
        <v>6581</v>
      </c>
      <c r="F1688" s="22" t="s">
        <v>2030</v>
      </c>
      <c r="G1688" s="28" t="s">
        <v>2012</v>
      </c>
      <c r="H1688" s="22" t="s">
        <v>5080</v>
      </c>
      <c r="I1688" s="21"/>
      <c r="J1688" s="22" t="s">
        <v>494</v>
      </c>
      <c r="K1688" s="22" t="s">
        <v>924</v>
      </c>
      <c r="L1688" s="21"/>
      <c r="M1688" s="22" t="s">
        <v>2014</v>
      </c>
      <c r="N1688" s="28" t="s">
        <v>2015</v>
      </c>
      <c r="O1688" s="28" t="s">
        <v>2016</v>
      </c>
      <c r="P1688" s="29">
        <v>710</v>
      </c>
      <c r="Q1688" s="28" t="s">
        <v>2017</v>
      </c>
      <c r="R1688" s="21"/>
      <c r="S1688" s="21"/>
      <c r="T1688" s="21"/>
      <c r="U1688" s="21"/>
      <c r="V1688" s="21"/>
      <c r="W1688" s="21"/>
      <c r="X1688" s="21"/>
    </row>
    <row r="1689" spans="1:24" ht="15.75" thickBot="1" x14ac:dyDescent="0.3">
      <c r="A1689" t="str">
        <f t="shared" si="26"/>
        <v>KB3Z 16B145 A</v>
      </c>
      <c r="B1689" s="22" t="s">
        <v>7100</v>
      </c>
      <c r="C1689" s="22" t="s">
        <v>7101</v>
      </c>
      <c r="D1689" s="22" t="s">
        <v>7102</v>
      </c>
      <c r="E1689" s="21"/>
      <c r="F1689" s="22" t="s">
        <v>2030</v>
      </c>
      <c r="G1689" s="28" t="s">
        <v>2012</v>
      </c>
      <c r="H1689" s="22" t="s">
        <v>5080</v>
      </c>
      <c r="I1689" s="21"/>
      <c r="J1689" s="22" t="s">
        <v>494</v>
      </c>
      <c r="K1689" s="22" t="s">
        <v>924</v>
      </c>
      <c r="L1689" s="21"/>
      <c r="M1689" s="22" t="s">
        <v>2014</v>
      </c>
      <c r="N1689" s="28" t="s">
        <v>2015</v>
      </c>
      <c r="O1689" s="28" t="s">
        <v>2016</v>
      </c>
      <c r="P1689" s="29">
        <v>0</v>
      </c>
      <c r="Q1689" s="28" t="s">
        <v>2017</v>
      </c>
      <c r="R1689" s="21"/>
      <c r="S1689" s="21"/>
      <c r="T1689" s="21"/>
      <c r="U1689" s="21"/>
      <c r="V1689" s="21"/>
      <c r="W1689" s="21"/>
      <c r="X1689" s="21"/>
    </row>
    <row r="1690" spans="1:24" ht="15.75" thickBot="1" x14ac:dyDescent="0.3">
      <c r="A1690" t="str">
        <f t="shared" si="26"/>
        <v>KB3Z 16E214 A</v>
      </c>
      <c r="B1690" s="22" t="s">
        <v>7103</v>
      </c>
      <c r="C1690" s="22" t="s">
        <v>6599</v>
      </c>
      <c r="D1690" s="22" t="s">
        <v>7104</v>
      </c>
      <c r="E1690" s="22" t="s">
        <v>6600</v>
      </c>
      <c r="F1690" s="22" t="s">
        <v>2030</v>
      </c>
      <c r="G1690" s="28" t="s">
        <v>2012</v>
      </c>
      <c r="H1690" s="22" t="s">
        <v>5080</v>
      </c>
      <c r="I1690" s="21"/>
      <c r="J1690" s="22" t="s">
        <v>494</v>
      </c>
      <c r="K1690" s="22" t="s">
        <v>924</v>
      </c>
      <c r="L1690" s="21"/>
      <c r="M1690" s="22" t="s">
        <v>2014</v>
      </c>
      <c r="N1690" s="28" t="s">
        <v>2015</v>
      </c>
      <c r="O1690" s="28" t="s">
        <v>2016</v>
      </c>
      <c r="P1690" s="29">
        <v>29</v>
      </c>
      <c r="Q1690" s="28" t="s">
        <v>2017</v>
      </c>
      <c r="R1690" s="21"/>
      <c r="S1690" s="21"/>
      <c r="T1690" s="21"/>
      <c r="U1690" s="21"/>
      <c r="V1690" s="21"/>
      <c r="W1690" s="21"/>
      <c r="X1690" s="21"/>
    </row>
    <row r="1691" spans="1:24" ht="15.75" thickBot="1" x14ac:dyDescent="0.3">
      <c r="A1691" t="str">
        <f t="shared" si="26"/>
        <v>KB3Z 16E215 A</v>
      </c>
      <c r="B1691" s="22" t="s">
        <v>7105</v>
      </c>
      <c r="C1691" s="22" t="s">
        <v>5389</v>
      </c>
      <c r="D1691" s="22" t="s">
        <v>7102</v>
      </c>
      <c r="E1691" s="22" t="s">
        <v>7106</v>
      </c>
      <c r="F1691" s="22" t="s">
        <v>2030</v>
      </c>
      <c r="G1691" s="28" t="s">
        <v>2012</v>
      </c>
      <c r="H1691" s="22" t="s">
        <v>5080</v>
      </c>
      <c r="I1691" s="21"/>
      <c r="J1691" s="22" t="s">
        <v>494</v>
      </c>
      <c r="K1691" s="22" t="s">
        <v>924</v>
      </c>
      <c r="L1691" s="21"/>
      <c r="M1691" s="22" t="s">
        <v>2014</v>
      </c>
      <c r="N1691" s="28" t="s">
        <v>2015</v>
      </c>
      <c r="O1691" s="28" t="s">
        <v>2016</v>
      </c>
      <c r="P1691" s="29">
        <v>29</v>
      </c>
      <c r="Q1691" s="28" t="s">
        <v>2017</v>
      </c>
      <c r="R1691" s="21"/>
      <c r="S1691" s="21"/>
      <c r="T1691" s="21"/>
      <c r="U1691" s="21"/>
      <c r="V1691" s="21"/>
      <c r="W1691" s="21"/>
      <c r="X1691" s="21"/>
    </row>
    <row r="1692" spans="1:24" ht="15.75" thickBot="1" x14ac:dyDescent="0.3">
      <c r="A1692" t="str">
        <f t="shared" si="26"/>
        <v>KB3Z 16K006 A</v>
      </c>
      <c r="B1692" s="22" t="s">
        <v>7107</v>
      </c>
      <c r="C1692" s="22" t="s">
        <v>6583</v>
      </c>
      <c r="D1692" s="22" t="s">
        <v>7108</v>
      </c>
      <c r="E1692" s="22" t="s">
        <v>6584</v>
      </c>
      <c r="F1692" s="22" t="s">
        <v>2030</v>
      </c>
      <c r="G1692" s="28" t="s">
        <v>2012</v>
      </c>
      <c r="H1692" s="22" t="s">
        <v>5080</v>
      </c>
      <c r="I1692" s="21"/>
      <c r="J1692" s="22" t="s">
        <v>494</v>
      </c>
      <c r="K1692" s="22" t="s">
        <v>924</v>
      </c>
      <c r="L1692" s="21"/>
      <c r="M1692" s="22" t="s">
        <v>2014</v>
      </c>
      <c r="N1692" s="28" t="s">
        <v>2015</v>
      </c>
      <c r="O1692" s="28" t="s">
        <v>2016</v>
      </c>
      <c r="P1692" s="29">
        <v>23</v>
      </c>
      <c r="Q1692" s="28" t="s">
        <v>2017</v>
      </c>
      <c r="R1692" s="21"/>
      <c r="S1692" s="21"/>
      <c r="T1692" s="21"/>
      <c r="U1692" s="21"/>
      <c r="V1692" s="21"/>
      <c r="W1692" s="21"/>
      <c r="X1692" s="21"/>
    </row>
    <row r="1693" spans="1:24" ht="15.75" thickBot="1" x14ac:dyDescent="0.3">
      <c r="A1693" t="str">
        <f t="shared" si="26"/>
        <v>KB3Z 16K007 A</v>
      </c>
      <c r="B1693" s="22" t="s">
        <v>7109</v>
      </c>
      <c r="C1693" s="22" t="s">
        <v>7110</v>
      </c>
      <c r="D1693" s="22" t="s">
        <v>7111</v>
      </c>
      <c r="E1693" s="22" t="s">
        <v>5079</v>
      </c>
      <c r="F1693" s="22" t="s">
        <v>2030</v>
      </c>
      <c r="G1693" s="28" t="s">
        <v>2012</v>
      </c>
      <c r="H1693" s="22" t="s">
        <v>5080</v>
      </c>
      <c r="I1693" s="21"/>
      <c r="J1693" s="22" t="s">
        <v>494</v>
      </c>
      <c r="K1693" s="22" t="s">
        <v>924</v>
      </c>
      <c r="L1693" s="21"/>
      <c r="M1693" s="22" t="s">
        <v>2014</v>
      </c>
      <c r="N1693" s="28" t="s">
        <v>2015</v>
      </c>
      <c r="O1693" s="28" t="s">
        <v>2016</v>
      </c>
      <c r="P1693" s="29">
        <v>13</v>
      </c>
      <c r="Q1693" s="28" t="s">
        <v>2017</v>
      </c>
      <c r="R1693" s="21"/>
      <c r="S1693" s="21"/>
      <c r="T1693" s="21"/>
      <c r="U1693" s="21"/>
      <c r="V1693" s="21"/>
      <c r="W1693" s="21"/>
      <c r="X1693" s="21"/>
    </row>
    <row r="1694" spans="1:24" ht="15.75" thickBot="1" x14ac:dyDescent="0.3">
      <c r="A1694" t="str">
        <f t="shared" si="26"/>
        <v>KB3Z 2103410 A</v>
      </c>
      <c r="B1694" s="22" t="s">
        <v>7112</v>
      </c>
      <c r="C1694" s="22" t="s">
        <v>7113</v>
      </c>
      <c r="D1694" s="22" t="s">
        <v>7114</v>
      </c>
      <c r="E1694" s="21"/>
      <c r="F1694" s="22" t="s">
        <v>2030</v>
      </c>
      <c r="G1694" s="28" t="s">
        <v>2012</v>
      </c>
      <c r="H1694" s="22" t="s">
        <v>5080</v>
      </c>
      <c r="I1694" s="21"/>
      <c r="J1694" s="22" t="s">
        <v>494</v>
      </c>
      <c r="K1694" s="22" t="s">
        <v>924</v>
      </c>
      <c r="L1694" s="21"/>
      <c r="M1694" s="22" t="s">
        <v>2014</v>
      </c>
      <c r="N1694" s="28" t="s">
        <v>2015</v>
      </c>
      <c r="O1694" s="28" t="s">
        <v>2016</v>
      </c>
      <c r="P1694" s="29">
        <v>32</v>
      </c>
      <c r="Q1694" s="28" t="s">
        <v>2017</v>
      </c>
      <c r="R1694" s="21"/>
      <c r="S1694" s="21"/>
      <c r="T1694" s="21"/>
      <c r="U1694" s="21"/>
      <c r="V1694" s="21"/>
      <c r="W1694" s="21"/>
      <c r="X1694" s="21"/>
    </row>
    <row r="1695" spans="1:24" ht="15.75" thickBot="1" x14ac:dyDescent="0.3">
      <c r="A1695" t="str">
        <f t="shared" si="26"/>
        <v>KB3Z 2113209 AA</v>
      </c>
      <c r="B1695" s="22" t="s">
        <v>7115</v>
      </c>
      <c r="C1695" s="22" t="s">
        <v>7116</v>
      </c>
      <c r="D1695" s="22" t="s">
        <v>6745</v>
      </c>
      <c r="E1695" s="21"/>
      <c r="F1695" s="22" t="s">
        <v>2030</v>
      </c>
      <c r="G1695" s="28" t="s">
        <v>2012</v>
      </c>
      <c r="H1695" s="22" t="s">
        <v>5080</v>
      </c>
      <c r="I1695" s="21"/>
      <c r="J1695" s="22" t="s">
        <v>494</v>
      </c>
      <c r="K1695" s="22" t="s">
        <v>262</v>
      </c>
      <c r="L1695" s="21"/>
      <c r="M1695" s="22" t="s">
        <v>2014</v>
      </c>
      <c r="N1695" s="28" t="s">
        <v>2015</v>
      </c>
      <c r="O1695" s="28" t="s">
        <v>2016</v>
      </c>
      <c r="P1695" s="29">
        <v>0</v>
      </c>
      <c r="Q1695" s="28" t="s">
        <v>2017</v>
      </c>
      <c r="R1695" s="21"/>
      <c r="S1695" s="21"/>
      <c r="T1695" s="21"/>
      <c r="U1695" s="21"/>
      <c r="V1695" s="21"/>
      <c r="W1695" s="21"/>
      <c r="X1695" s="21"/>
    </row>
    <row r="1696" spans="1:24" ht="15.75" thickBot="1" x14ac:dyDescent="0.3">
      <c r="A1696" t="str">
        <f t="shared" si="26"/>
        <v>M2DB 16E166 AF</v>
      </c>
      <c r="B1696" s="22" t="s">
        <v>7117</v>
      </c>
      <c r="C1696" s="22" t="s">
        <v>7118</v>
      </c>
      <c r="D1696" s="22" t="s">
        <v>7119</v>
      </c>
      <c r="E1696" s="21"/>
      <c r="F1696" s="22" t="s">
        <v>2574</v>
      </c>
      <c r="G1696" s="28" t="s">
        <v>5499</v>
      </c>
      <c r="H1696" s="22" t="s">
        <v>2080</v>
      </c>
      <c r="I1696" s="21"/>
      <c r="J1696" s="22" t="s">
        <v>364</v>
      </c>
      <c r="K1696" s="22" t="s">
        <v>262</v>
      </c>
      <c r="L1696" s="21"/>
      <c r="M1696" s="22" t="s">
        <v>2014</v>
      </c>
      <c r="N1696" s="28" t="s">
        <v>2015</v>
      </c>
      <c r="O1696" s="28" t="s">
        <v>2016</v>
      </c>
      <c r="P1696" s="29">
        <v>12</v>
      </c>
      <c r="Q1696" s="28" t="s">
        <v>2017</v>
      </c>
      <c r="R1696" s="21"/>
      <c r="S1696" s="21"/>
      <c r="T1696" s="21"/>
      <c r="U1696" s="21"/>
      <c r="V1696" s="21"/>
      <c r="W1696" s="21"/>
      <c r="X1696" s="21"/>
    </row>
    <row r="1697" spans="1:24" ht="15.75" thickBot="1" x14ac:dyDescent="0.3">
      <c r="A1697" t="str">
        <f t="shared" si="26"/>
        <v>M2DB 17E810 BAW</v>
      </c>
      <c r="B1697" s="22" t="s">
        <v>7120</v>
      </c>
      <c r="C1697" s="22" t="s">
        <v>7121</v>
      </c>
      <c r="D1697" s="22" t="s">
        <v>3257</v>
      </c>
      <c r="E1697" s="21"/>
      <c r="F1697" s="22" t="s">
        <v>7122</v>
      </c>
      <c r="G1697" s="28" t="s">
        <v>2012</v>
      </c>
      <c r="H1697" s="22" t="s">
        <v>2080</v>
      </c>
      <c r="I1697" s="21"/>
      <c r="J1697" s="22" t="s">
        <v>364</v>
      </c>
      <c r="K1697" s="22" t="s">
        <v>262</v>
      </c>
      <c r="L1697" s="21"/>
      <c r="M1697" s="22" t="s">
        <v>2014</v>
      </c>
      <c r="N1697" s="28" t="s">
        <v>2015</v>
      </c>
      <c r="O1697" s="28" t="s">
        <v>2016</v>
      </c>
      <c r="P1697" s="29">
        <v>0</v>
      </c>
      <c r="Q1697" s="28" t="s">
        <v>2017</v>
      </c>
      <c r="R1697" s="21"/>
      <c r="S1697" s="21"/>
      <c r="T1697" s="21"/>
      <c r="U1697" s="21"/>
      <c r="V1697" s="21"/>
      <c r="W1697" s="21"/>
      <c r="X1697" s="21"/>
    </row>
    <row r="1698" spans="1:24" ht="15.75" thickBot="1" x14ac:dyDescent="0.3">
      <c r="A1698" t="str">
        <f t="shared" si="26"/>
        <v>M2DB 17E810 CBW</v>
      </c>
      <c r="B1698" s="22" t="s">
        <v>7123</v>
      </c>
      <c r="C1698" s="22" t="s">
        <v>7124</v>
      </c>
      <c r="D1698" s="22" t="s">
        <v>2228</v>
      </c>
      <c r="E1698" s="21"/>
      <c r="F1698" s="22" t="s">
        <v>2229</v>
      </c>
      <c r="G1698" s="28" t="s">
        <v>5499</v>
      </c>
      <c r="H1698" s="22" t="s">
        <v>2080</v>
      </c>
      <c r="I1698" s="21"/>
      <c r="J1698" s="22" t="s">
        <v>364</v>
      </c>
      <c r="K1698" s="22" t="s">
        <v>262</v>
      </c>
      <c r="L1698" s="21"/>
      <c r="M1698" s="22" t="s">
        <v>2014</v>
      </c>
      <c r="N1698" s="28" t="s">
        <v>2015</v>
      </c>
      <c r="O1698" s="28" t="s">
        <v>2016</v>
      </c>
      <c r="P1698" s="29">
        <v>0</v>
      </c>
      <c r="Q1698" s="28" t="s">
        <v>2017</v>
      </c>
      <c r="R1698" s="21"/>
      <c r="S1698" s="21"/>
      <c r="T1698" s="21"/>
      <c r="U1698" s="21"/>
      <c r="V1698" s="21"/>
      <c r="W1698" s="21"/>
      <c r="X1698" s="21"/>
    </row>
    <row r="1699" spans="1:24" ht="15.75" thickBot="1" x14ac:dyDescent="0.3">
      <c r="A1699" t="str">
        <f t="shared" si="26"/>
        <v>M2DB 17E810 GCW</v>
      </c>
      <c r="B1699" s="22" t="s">
        <v>7125</v>
      </c>
      <c r="C1699" s="22" t="s">
        <v>7126</v>
      </c>
      <c r="D1699" s="22" t="s">
        <v>3514</v>
      </c>
      <c r="E1699" s="21"/>
      <c r="F1699" s="22" t="s">
        <v>2030</v>
      </c>
      <c r="G1699" s="28" t="s">
        <v>5499</v>
      </c>
      <c r="H1699" s="22" t="s">
        <v>2080</v>
      </c>
      <c r="I1699" s="21"/>
      <c r="J1699" s="22" t="s">
        <v>364</v>
      </c>
      <c r="K1699" s="22" t="s">
        <v>262</v>
      </c>
      <c r="L1699" s="21"/>
      <c r="M1699" s="22" t="s">
        <v>2014</v>
      </c>
      <c r="N1699" s="28" t="s">
        <v>2015</v>
      </c>
      <c r="O1699" s="28" t="s">
        <v>2016</v>
      </c>
      <c r="P1699" s="29">
        <v>0</v>
      </c>
      <c r="Q1699" s="28" t="s">
        <v>2017</v>
      </c>
      <c r="R1699" s="21"/>
      <c r="S1699" s="21"/>
      <c r="T1699" s="21"/>
      <c r="U1699" s="21"/>
      <c r="V1699" s="21"/>
      <c r="W1699" s="21"/>
      <c r="X1699" s="21"/>
    </row>
    <row r="1700" spans="1:24" ht="15.75" thickBot="1" x14ac:dyDescent="0.3">
      <c r="A1700" t="str">
        <f t="shared" si="26"/>
        <v>M2DB 17E811 BAW</v>
      </c>
      <c r="B1700" s="22" t="s">
        <v>7127</v>
      </c>
      <c r="C1700" s="22" t="s">
        <v>7128</v>
      </c>
      <c r="D1700" s="22" t="s">
        <v>2649</v>
      </c>
      <c r="E1700" s="21"/>
      <c r="F1700" s="22" t="s">
        <v>7122</v>
      </c>
      <c r="G1700" s="28" t="s">
        <v>2012</v>
      </c>
      <c r="H1700" s="22" t="s">
        <v>2080</v>
      </c>
      <c r="I1700" s="21"/>
      <c r="J1700" s="22" t="s">
        <v>364</v>
      </c>
      <c r="K1700" s="22" t="s">
        <v>262</v>
      </c>
      <c r="L1700" s="21"/>
      <c r="M1700" s="22" t="s">
        <v>2014</v>
      </c>
      <c r="N1700" s="28" t="s">
        <v>2015</v>
      </c>
      <c r="O1700" s="28" t="s">
        <v>2016</v>
      </c>
      <c r="P1700" s="29">
        <v>0</v>
      </c>
      <c r="Q1700" s="28" t="s">
        <v>2017</v>
      </c>
      <c r="R1700" s="21"/>
      <c r="S1700" s="21"/>
      <c r="T1700" s="21"/>
      <c r="U1700" s="21"/>
      <c r="V1700" s="21"/>
      <c r="W1700" s="21"/>
      <c r="X1700" s="21"/>
    </row>
    <row r="1701" spans="1:24" ht="15.75" thickBot="1" x14ac:dyDescent="0.3">
      <c r="A1701" t="str">
        <f t="shared" si="26"/>
        <v>M2DB 17E811 CA5YZ9</v>
      </c>
      <c r="B1701" s="22" t="s">
        <v>388</v>
      </c>
      <c r="C1701" s="22" t="s">
        <v>7129</v>
      </c>
      <c r="D1701" s="22" t="s">
        <v>2231</v>
      </c>
      <c r="E1701" s="21"/>
      <c r="F1701" s="22" t="s">
        <v>2232</v>
      </c>
      <c r="G1701" s="28" t="s">
        <v>2012</v>
      </c>
      <c r="H1701" s="22" t="s">
        <v>2080</v>
      </c>
      <c r="I1701" s="21"/>
      <c r="J1701" s="22" t="s">
        <v>364</v>
      </c>
      <c r="K1701" s="22" t="s">
        <v>262</v>
      </c>
      <c r="L1701" s="21"/>
      <c r="M1701" s="22" t="s">
        <v>2014</v>
      </c>
      <c r="N1701" s="28" t="s">
        <v>2015</v>
      </c>
      <c r="O1701" s="28" t="s">
        <v>2016</v>
      </c>
      <c r="P1701" s="29">
        <v>0</v>
      </c>
      <c r="Q1701" s="28" t="s">
        <v>2017</v>
      </c>
      <c r="R1701" s="41">
        <v>0</v>
      </c>
      <c r="S1701" s="29">
        <v>40</v>
      </c>
      <c r="T1701" s="32">
        <v>0.62222222222199997</v>
      </c>
      <c r="U1701" s="32">
        <v>0</v>
      </c>
      <c r="V1701" s="41">
        <v>0</v>
      </c>
      <c r="W1701" s="21"/>
      <c r="X1701" s="21"/>
    </row>
    <row r="1702" spans="1:24" ht="15.75" thickBot="1" x14ac:dyDescent="0.3">
      <c r="A1702" t="str">
        <f t="shared" si="26"/>
        <v>M2DB 17E811 CBW</v>
      </c>
      <c r="B1702" s="22" t="s">
        <v>7130</v>
      </c>
      <c r="C1702" s="22" t="s">
        <v>7131</v>
      </c>
      <c r="D1702" s="22" t="s">
        <v>2231</v>
      </c>
      <c r="E1702" s="21"/>
      <c r="F1702" s="22" t="s">
        <v>2232</v>
      </c>
      <c r="G1702" s="28" t="s">
        <v>2012</v>
      </c>
      <c r="H1702" s="22" t="s">
        <v>2080</v>
      </c>
      <c r="I1702" s="21"/>
      <c r="J1702" s="22" t="s">
        <v>364</v>
      </c>
      <c r="K1702" s="22" t="s">
        <v>262</v>
      </c>
      <c r="L1702" s="21"/>
      <c r="M1702" s="22" t="s">
        <v>2014</v>
      </c>
      <c r="N1702" s="28" t="s">
        <v>2015</v>
      </c>
      <c r="O1702" s="28" t="s">
        <v>2016</v>
      </c>
      <c r="P1702" s="29">
        <v>0</v>
      </c>
      <c r="Q1702" s="28" t="s">
        <v>2017</v>
      </c>
      <c r="R1702" s="21"/>
      <c r="S1702" s="21"/>
      <c r="T1702" s="21"/>
      <c r="U1702" s="21"/>
      <c r="V1702" s="21"/>
      <c r="W1702" s="21"/>
      <c r="X1702" s="21"/>
    </row>
    <row r="1703" spans="1:24" ht="15.75" thickBot="1" x14ac:dyDescent="0.3">
      <c r="A1703" t="str">
        <f t="shared" si="26"/>
        <v>M2DB 17E811 GCW</v>
      </c>
      <c r="B1703" s="22" t="s">
        <v>7132</v>
      </c>
      <c r="C1703" s="22" t="s">
        <v>7133</v>
      </c>
      <c r="D1703" s="22" t="s">
        <v>3514</v>
      </c>
      <c r="E1703" s="21"/>
      <c r="F1703" s="22" t="s">
        <v>2030</v>
      </c>
      <c r="G1703" s="28" t="s">
        <v>5499</v>
      </c>
      <c r="H1703" s="22" t="s">
        <v>2080</v>
      </c>
      <c r="I1703" s="21"/>
      <c r="J1703" s="22" t="s">
        <v>364</v>
      </c>
      <c r="K1703" s="22" t="s">
        <v>262</v>
      </c>
      <c r="L1703" s="21"/>
      <c r="M1703" s="22" t="s">
        <v>2014</v>
      </c>
      <c r="N1703" s="28" t="s">
        <v>2015</v>
      </c>
      <c r="O1703" s="28" t="s">
        <v>2016</v>
      </c>
      <c r="P1703" s="29">
        <v>0</v>
      </c>
      <c r="Q1703" s="28" t="s">
        <v>2017</v>
      </c>
      <c r="R1703" s="21"/>
      <c r="S1703" s="21"/>
      <c r="T1703" s="21"/>
      <c r="U1703" s="21"/>
      <c r="V1703" s="21"/>
      <c r="W1703" s="21"/>
      <c r="X1703" s="21"/>
    </row>
    <row r="1704" spans="1:24" ht="15.75" thickBot="1" x14ac:dyDescent="0.3">
      <c r="A1704" t="str">
        <f t="shared" si="26"/>
        <v>M2DB S109A26 AB</v>
      </c>
      <c r="B1704" s="22" t="s">
        <v>929</v>
      </c>
      <c r="C1704" s="22" t="s">
        <v>2700</v>
      </c>
      <c r="D1704" s="22" t="s">
        <v>7134</v>
      </c>
      <c r="E1704" s="21"/>
      <c r="F1704" s="22" t="s">
        <v>2030</v>
      </c>
      <c r="G1704" s="28" t="s">
        <v>2012</v>
      </c>
      <c r="H1704" s="22" t="s">
        <v>7135</v>
      </c>
      <c r="I1704" s="21"/>
      <c r="J1704" s="22" t="s">
        <v>364</v>
      </c>
      <c r="K1704" s="22" t="s">
        <v>924</v>
      </c>
      <c r="L1704" s="21"/>
      <c r="M1704" s="22" t="s">
        <v>2014</v>
      </c>
      <c r="N1704" s="28" t="s">
        <v>2015</v>
      </c>
      <c r="O1704" s="28" t="s">
        <v>2016</v>
      </c>
      <c r="P1704" s="29">
        <v>0</v>
      </c>
      <c r="Q1704" s="28" t="s">
        <v>2017</v>
      </c>
      <c r="R1704" s="41">
        <v>0</v>
      </c>
      <c r="S1704" s="29">
        <v>806</v>
      </c>
      <c r="T1704" s="32">
        <v>12.537777777777</v>
      </c>
      <c r="U1704" s="32">
        <v>0</v>
      </c>
      <c r="V1704" s="41">
        <v>0</v>
      </c>
      <c r="W1704" s="21"/>
      <c r="X1704" s="21"/>
    </row>
    <row r="1705" spans="1:24" ht="15.75" thickBot="1" x14ac:dyDescent="0.3">
      <c r="A1705" t="str">
        <f t="shared" si="26"/>
        <v>M2DB S27830 AA</v>
      </c>
      <c r="B1705" s="22" t="s">
        <v>1858</v>
      </c>
      <c r="C1705" s="22" t="s">
        <v>3040</v>
      </c>
      <c r="D1705" s="22" t="s">
        <v>4106</v>
      </c>
      <c r="E1705" s="21"/>
      <c r="F1705" s="22" t="s">
        <v>7136</v>
      </c>
      <c r="G1705" s="28" t="s">
        <v>2012</v>
      </c>
      <c r="H1705" s="22" t="s">
        <v>2080</v>
      </c>
      <c r="I1705" s="21"/>
      <c r="J1705" s="22" t="s">
        <v>364</v>
      </c>
      <c r="K1705" s="22" t="s">
        <v>924</v>
      </c>
      <c r="L1705" s="21"/>
      <c r="M1705" s="22" t="s">
        <v>2014</v>
      </c>
      <c r="N1705" s="28" t="s">
        <v>2015</v>
      </c>
      <c r="O1705" s="28" t="s">
        <v>2016</v>
      </c>
      <c r="P1705" s="29">
        <v>461</v>
      </c>
      <c r="Q1705" s="28" t="s">
        <v>2017</v>
      </c>
      <c r="R1705" s="41">
        <v>0.70532675549599999</v>
      </c>
      <c r="S1705" s="29">
        <v>42017</v>
      </c>
      <c r="T1705" s="32">
        <v>653.59777777777799</v>
      </c>
      <c r="U1705" s="32">
        <v>0</v>
      </c>
      <c r="V1705" s="41">
        <v>0.70532675549599999</v>
      </c>
      <c r="W1705" s="21"/>
      <c r="X1705" s="21"/>
    </row>
    <row r="1706" spans="1:24" ht="15.75" thickBot="1" x14ac:dyDescent="0.3">
      <c r="A1706" t="str">
        <f t="shared" si="26"/>
        <v>M2DB S28126 AA</v>
      </c>
      <c r="B1706" s="22" t="s">
        <v>931</v>
      </c>
      <c r="C1706" s="22" t="s">
        <v>2703</v>
      </c>
      <c r="D1706" s="22" t="s">
        <v>7137</v>
      </c>
      <c r="E1706" s="21"/>
      <c r="F1706" s="22" t="s">
        <v>7138</v>
      </c>
      <c r="G1706" s="28" t="s">
        <v>2012</v>
      </c>
      <c r="H1706" s="22" t="s">
        <v>2080</v>
      </c>
      <c r="I1706" s="21"/>
      <c r="J1706" s="22" t="s">
        <v>364</v>
      </c>
      <c r="K1706" s="22" t="s">
        <v>924</v>
      </c>
      <c r="L1706" s="21"/>
      <c r="M1706" s="22" t="s">
        <v>2014</v>
      </c>
      <c r="N1706" s="28" t="s">
        <v>2015</v>
      </c>
      <c r="O1706" s="28" t="s">
        <v>2016</v>
      </c>
      <c r="P1706" s="29">
        <v>0</v>
      </c>
      <c r="Q1706" s="28" t="s">
        <v>2017</v>
      </c>
      <c r="R1706" s="41">
        <v>0</v>
      </c>
      <c r="S1706" s="29">
        <v>7704</v>
      </c>
      <c r="T1706" s="32">
        <v>119.84</v>
      </c>
      <c r="U1706" s="32">
        <v>0</v>
      </c>
      <c r="V1706" s="41">
        <v>0</v>
      </c>
      <c r="W1706" s="21"/>
      <c r="X1706" s="21"/>
    </row>
    <row r="1707" spans="1:24" ht="15.75" thickBot="1" x14ac:dyDescent="0.3">
      <c r="A1707" t="str">
        <f t="shared" si="26"/>
        <v>M2DB S502D12 AD</v>
      </c>
      <c r="B1707" s="22" t="s">
        <v>7139</v>
      </c>
      <c r="C1707" s="22" t="s">
        <v>7140</v>
      </c>
      <c r="D1707" s="22" t="s">
        <v>2242</v>
      </c>
      <c r="E1707" s="22" t="s">
        <v>2243</v>
      </c>
      <c r="F1707" s="22" t="s">
        <v>2244</v>
      </c>
      <c r="G1707" s="28" t="s">
        <v>5499</v>
      </c>
      <c r="H1707" s="22" t="s">
        <v>2080</v>
      </c>
      <c r="I1707" s="21"/>
      <c r="J1707" s="22" t="s">
        <v>364</v>
      </c>
      <c r="K1707" s="22" t="s">
        <v>924</v>
      </c>
      <c r="L1707" s="21"/>
      <c r="M1707" s="22" t="s">
        <v>2014</v>
      </c>
      <c r="N1707" s="28" t="s">
        <v>2015</v>
      </c>
      <c r="O1707" s="28" t="s">
        <v>2016</v>
      </c>
      <c r="P1707" s="29">
        <v>0</v>
      </c>
      <c r="Q1707" s="28" t="s">
        <v>2017</v>
      </c>
      <c r="R1707" s="21"/>
      <c r="S1707" s="21"/>
      <c r="T1707" s="21"/>
      <c r="U1707" s="21"/>
      <c r="V1707" s="21"/>
      <c r="W1707" s="21"/>
      <c r="X1707" s="21"/>
    </row>
    <row r="1708" spans="1:24" ht="15.75" thickBot="1" x14ac:dyDescent="0.3">
      <c r="A1708" t="str">
        <f t="shared" si="26"/>
        <v>M2DB X200B39 AB</v>
      </c>
      <c r="B1708" s="22" t="s">
        <v>7141</v>
      </c>
      <c r="C1708" s="22" t="s">
        <v>2883</v>
      </c>
      <c r="D1708" s="22" t="s">
        <v>2651</v>
      </c>
      <c r="E1708" s="21"/>
      <c r="F1708" s="22" t="s">
        <v>2235</v>
      </c>
      <c r="G1708" s="28" t="s">
        <v>5499</v>
      </c>
      <c r="H1708" s="22" t="s">
        <v>2080</v>
      </c>
      <c r="I1708" s="21"/>
      <c r="J1708" s="22" t="s">
        <v>364</v>
      </c>
      <c r="K1708" s="22" t="s">
        <v>262</v>
      </c>
      <c r="L1708" s="21"/>
      <c r="M1708" s="22" t="s">
        <v>2014</v>
      </c>
      <c r="N1708" s="28" t="s">
        <v>2015</v>
      </c>
      <c r="O1708" s="28" t="s">
        <v>2016</v>
      </c>
      <c r="P1708" s="29">
        <v>0</v>
      </c>
      <c r="Q1708" s="28" t="s">
        <v>2017</v>
      </c>
      <c r="R1708" s="21"/>
      <c r="S1708" s="21"/>
      <c r="T1708" s="21"/>
      <c r="U1708" s="21"/>
      <c r="V1708" s="21"/>
      <c r="W1708" s="21"/>
      <c r="X1708" s="21"/>
    </row>
    <row r="1709" spans="1:24" ht="15.75" thickBot="1" x14ac:dyDescent="0.3">
      <c r="A1709" t="str">
        <f t="shared" si="26"/>
        <v>M2DZ 16138 C</v>
      </c>
      <c r="B1709" s="22" t="s">
        <v>7142</v>
      </c>
      <c r="C1709" s="22" t="s">
        <v>7143</v>
      </c>
      <c r="D1709" s="22" t="s">
        <v>7144</v>
      </c>
      <c r="E1709" s="22" t="s">
        <v>7145</v>
      </c>
      <c r="F1709" s="22" t="s">
        <v>2574</v>
      </c>
      <c r="G1709" s="28" t="s">
        <v>2012</v>
      </c>
      <c r="H1709" s="22" t="s">
        <v>2080</v>
      </c>
      <c r="I1709" s="21"/>
      <c r="J1709" s="22" t="s">
        <v>364</v>
      </c>
      <c r="K1709" s="22" t="s">
        <v>262</v>
      </c>
      <c r="L1709" s="21"/>
      <c r="M1709" s="22" t="s">
        <v>2014</v>
      </c>
      <c r="N1709" s="28" t="s">
        <v>2015</v>
      </c>
      <c r="O1709" s="28" t="s">
        <v>2016</v>
      </c>
      <c r="P1709" s="29">
        <v>0</v>
      </c>
      <c r="Q1709" s="28" t="s">
        <v>2017</v>
      </c>
      <c r="R1709" s="21"/>
      <c r="S1709" s="21"/>
      <c r="T1709" s="21"/>
      <c r="U1709" s="21"/>
      <c r="V1709" s="21"/>
      <c r="W1709" s="21"/>
      <c r="X1709" s="21"/>
    </row>
    <row r="1710" spans="1:24" ht="15.75" thickBot="1" x14ac:dyDescent="0.3">
      <c r="A1710" t="str">
        <f t="shared" si="26"/>
        <v>M2DZ 17E811 BA</v>
      </c>
      <c r="B1710" s="22" t="s">
        <v>7146</v>
      </c>
      <c r="C1710" s="22" t="s">
        <v>3256</v>
      </c>
      <c r="D1710" s="22" t="s">
        <v>3257</v>
      </c>
      <c r="E1710" s="22" t="s">
        <v>3256</v>
      </c>
      <c r="F1710" s="22" t="s">
        <v>7122</v>
      </c>
      <c r="G1710" s="28" t="s">
        <v>2012</v>
      </c>
      <c r="H1710" s="22" t="s">
        <v>2080</v>
      </c>
      <c r="I1710" s="21"/>
      <c r="J1710" s="22" t="s">
        <v>364</v>
      </c>
      <c r="K1710" s="22" t="s">
        <v>262</v>
      </c>
      <c r="L1710" s="21"/>
      <c r="M1710" s="22" t="s">
        <v>2014</v>
      </c>
      <c r="N1710" s="28" t="s">
        <v>2015</v>
      </c>
      <c r="O1710" s="28" t="s">
        <v>2016</v>
      </c>
      <c r="P1710" s="29">
        <v>0</v>
      </c>
      <c r="Q1710" s="28" t="s">
        <v>2017</v>
      </c>
      <c r="R1710" s="21"/>
      <c r="S1710" s="21"/>
      <c r="T1710" s="21"/>
      <c r="U1710" s="21"/>
      <c r="V1710" s="21"/>
      <c r="W1710" s="21"/>
      <c r="X1710" s="21"/>
    </row>
    <row r="1711" spans="1:24" ht="15.75" thickBot="1" x14ac:dyDescent="0.3">
      <c r="A1711" t="str">
        <f t="shared" si="26"/>
        <v>M2DZ 17E811 GA</v>
      </c>
      <c r="B1711" s="22" t="s">
        <v>7147</v>
      </c>
      <c r="C1711" s="22" t="s">
        <v>7148</v>
      </c>
      <c r="D1711" s="22" t="s">
        <v>2917</v>
      </c>
      <c r="E1711" s="21"/>
      <c r="F1711" s="22" t="s">
        <v>7149</v>
      </c>
      <c r="G1711" s="28" t="s">
        <v>2012</v>
      </c>
      <c r="H1711" s="22" t="s">
        <v>2080</v>
      </c>
      <c r="I1711" s="21"/>
      <c r="J1711" s="22" t="s">
        <v>364</v>
      </c>
      <c r="K1711" s="22" t="s">
        <v>262</v>
      </c>
      <c r="L1711" s="21"/>
      <c r="M1711" s="22" t="s">
        <v>2014</v>
      </c>
      <c r="N1711" s="28" t="s">
        <v>2015</v>
      </c>
      <c r="O1711" s="28" t="s">
        <v>2016</v>
      </c>
      <c r="P1711" s="29">
        <v>0</v>
      </c>
      <c r="Q1711" s="28" t="s">
        <v>2017</v>
      </c>
      <c r="R1711" s="21"/>
      <c r="S1711" s="21"/>
      <c r="T1711" s="21"/>
      <c r="U1711" s="21"/>
      <c r="V1711" s="21"/>
      <c r="W1711" s="21"/>
      <c r="X1711" s="21"/>
    </row>
    <row r="1712" spans="1:24" ht="15.75" thickBot="1" x14ac:dyDescent="0.3">
      <c r="A1712" t="str">
        <f t="shared" si="26"/>
        <v>MB3B 2102038 AF</v>
      </c>
      <c r="B1712" s="22" t="s">
        <v>7150</v>
      </c>
      <c r="C1712" s="22" t="s">
        <v>7151</v>
      </c>
      <c r="D1712" s="22" t="s">
        <v>2251</v>
      </c>
      <c r="E1712" s="21"/>
      <c r="F1712" s="22" t="s">
        <v>2030</v>
      </c>
      <c r="G1712" s="28" t="s">
        <v>5499</v>
      </c>
      <c r="H1712" s="22" t="s">
        <v>2080</v>
      </c>
      <c r="I1712" s="21"/>
      <c r="J1712" s="22" t="s">
        <v>261</v>
      </c>
      <c r="K1712" s="22" t="s">
        <v>924</v>
      </c>
      <c r="L1712" s="21"/>
      <c r="M1712" s="22" t="s">
        <v>2014</v>
      </c>
      <c r="N1712" s="28" t="s">
        <v>2015</v>
      </c>
      <c r="O1712" s="28" t="s">
        <v>2016</v>
      </c>
      <c r="P1712" s="29">
        <v>0</v>
      </c>
      <c r="Q1712" s="28" t="s">
        <v>2017</v>
      </c>
      <c r="R1712" s="21"/>
      <c r="S1712" s="21"/>
      <c r="T1712" s="21"/>
      <c r="U1712" s="21"/>
      <c r="V1712" s="21"/>
      <c r="W1712" s="21"/>
      <c r="X1712" s="21"/>
    </row>
    <row r="1713" spans="1:24" ht="15.75" thickBot="1" x14ac:dyDescent="0.3">
      <c r="A1713" t="str">
        <f t="shared" si="26"/>
        <v>MB3B 21021A40 AD</v>
      </c>
      <c r="B1713" s="22" t="s">
        <v>7152</v>
      </c>
      <c r="C1713" s="22" t="s">
        <v>7153</v>
      </c>
      <c r="D1713" s="22" t="s">
        <v>2254</v>
      </c>
      <c r="E1713" s="21"/>
      <c r="F1713" s="22" t="s">
        <v>2255</v>
      </c>
      <c r="G1713" s="28" t="s">
        <v>5499</v>
      </c>
      <c r="H1713" s="22" t="s">
        <v>2080</v>
      </c>
      <c r="I1713" s="21"/>
      <c r="J1713" s="22" t="s">
        <v>261</v>
      </c>
      <c r="K1713" s="22" t="s">
        <v>924</v>
      </c>
      <c r="L1713" s="21"/>
      <c r="M1713" s="22" t="s">
        <v>2014</v>
      </c>
      <c r="N1713" s="28" t="s">
        <v>2015</v>
      </c>
      <c r="O1713" s="28" t="s">
        <v>2016</v>
      </c>
      <c r="P1713" s="29">
        <v>0</v>
      </c>
      <c r="Q1713" s="28" t="s">
        <v>2017</v>
      </c>
      <c r="R1713" s="21"/>
      <c r="S1713" s="21"/>
      <c r="T1713" s="21"/>
      <c r="U1713" s="21"/>
      <c r="V1713" s="21"/>
      <c r="W1713" s="21"/>
      <c r="X1713" s="21"/>
    </row>
    <row r="1714" spans="1:24" ht="15.75" thickBot="1" x14ac:dyDescent="0.3">
      <c r="A1714" t="str">
        <f t="shared" si="26"/>
        <v>MB3B 2610020 AA04</v>
      </c>
      <c r="B1714" s="22" t="s">
        <v>7154</v>
      </c>
      <c r="C1714" s="22" t="s">
        <v>7155</v>
      </c>
      <c r="D1714" s="22" t="s">
        <v>2257</v>
      </c>
      <c r="E1714" s="22" t="s">
        <v>2258</v>
      </c>
      <c r="F1714" s="22" t="s">
        <v>2030</v>
      </c>
      <c r="G1714" s="28" t="s">
        <v>2012</v>
      </c>
      <c r="H1714" s="22" t="s">
        <v>2080</v>
      </c>
      <c r="I1714" s="21"/>
      <c r="J1714" s="22" t="s">
        <v>261</v>
      </c>
      <c r="K1714" s="22" t="s">
        <v>924</v>
      </c>
      <c r="L1714" s="21"/>
      <c r="M1714" s="22" t="s">
        <v>2014</v>
      </c>
      <c r="N1714" s="28" t="s">
        <v>2015</v>
      </c>
      <c r="O1714" s="28" t="s">
        <v>2016</v>
      </c>
      <c r="P1714" s="29">
        <v>45</v>
      </c>
      <c r="Q1714" s="28" t="s">
        <v>2017</v>
      </c>
      <c r="R1714" s="21"/>
      <c r="S1714" s="21"/>
      <c r="T1714" s="21"/>
      <c r="U1714" s="21"/>
      <c r="V1714" s="21"/>
      <c r="W1714" s="21"/>
      <c r="X1714" s="21"/>
    </row>
    <row r="1715" spans="1:24" ht="15.75" thickBot="1" x14ac:dyDescent="0.3">
      <c r="A1715" t="str">
        <f t="shared" si="26"/>
        <v>MB3B 2610020 AC</v>
      </c>
      <c r="B1715" s="22" t="s">
        <v>1952</v>
      </c>
      <c r="C1715" s="22" t="s">
        <v>7156</v>
      </c>
      <c r="D1715" s="22" t="s">
        <v>2257</v>
      </c>
      <c r="E1715" s="22" t="s">
        <v>2258</v>
      </c>
      <c r="F1715" s="22" t="s">
        <v>2259</v>
      </c>
      <c r="G1715" s="28" t="s">
        <v>2012</v>
      </c>
      <c r="H1715" s="22" t="s">
        <v>2080</v>
      </c>
      <c r="I1715" s="21"/>
      <c r="J1715" s="22" t="s">
        <v>261</v>
      </c>
      <c r="K1715" s="22" t="s">
        <v>924</v>
      </c>
      <c r="L1715" s="21"/>
      <c r="M1715" s="22" t="s">
        <v>2014</v>
      </c>
      <c r="N1715" s="28" t="s">
        <v>2015</v>
      </c>
      <c r="O1715" s="28" t="s">
        <v>2016</v>
      </c>
      <c r="P1715" s="29">
        <v>0</v>
      </c>
      <c r="Q1715" s="28" t="s">
        <v>2017</v>
      </c>
      <c r="R1715" s="41">
        <v>0</v>
      </c>
      <c r="S1715" s="29">
        <v>110</v>
      </c>
      <c r="T1715" s="32">
        <v>1.711111111111</v>
      </c>
      <c r="U1715" s="32">
        <v>0</v>
      </c>
      <c r="V1715" s="41">
        <v>0</v>
      </c>
      <c r="W1715" s="21"/>
      <c r="X1715" s="21"/>
    </row>
    <row r="1716" spans="1:24" ht="15.75" thickBot="1" x14ac:dyDescent="0.3">
      <c r="A1716" t="str">
        <f t="shared" si="26"/>
        <v>MB3B 58016B28 AA</v>
      </c>
      <c r="B1716" s="22" t="s">
        <v>956</v>
      </c>
      <c r="C1716" s="22" t="s">
        <v>3938</v>
      </c>
      <c r="D1716" s="22" t="s">
        <v>3939</v>
      </c>
      <c r="E1716" s="21"/>
      <c r="F1716" s="22" t="s">
        <v>7157</v>
      </c>
      <c r="G1716" s="28" t="s">
        <v>2012</v>
      </c>
      <c r="H1716" s="22" t="s">
        <v>2013</v>
      </c>
      <c r="I1716" s="21"/>
      <c r="J1716" s="22" t="s">
        <v>364</v>
      </c>
      <c r="K1716" s="22" t="s">
        <v>924</v>
      </c>
      <c r="L1716" s="21"/>
      <c r="M1716" s="22" t="s">
        <v>2014</v>
      </c>
      <c r="N1716" s="28" t="s">
        <v>2015</v>
      </c>
      <c r="O1716" s="28" t="s">
        <v>2016</v>
      </c>
      <c r="P1716" s="29">
        <v>0</v>
      </c>
      <c r="Q1716" s="28" t="s">
        <v>2017</v>
      </c>
      <c r="R1716" s="41">
        <v>0</v>
      </c>
      <c r="S1716" s="29">
        <v>60660</v>
      </c>
      <c r="T1716" s="32">
        <v>943.6</v>
      </c>
      <c r="U1716" s="32">
        <v>0</v>
      </c>
      <c r="V1716" s="41">
        <v>0</v>
      </c>
      <c r="W1716" s="21"/>
      <c r="X1716" s="21"/>
    </row>
    <row r="1717" spans="1:24" ht="15.75" thickBot="1" x14ac:dyDescent="0.3">
      <c r="A1717" t="str">
        <f t="shared" si="26"/>
        <v>MB3G 6C038 DC</v>
      </c>
      <c r="B1717" s="22" t="s">
        <v>7158</v>
      </c>
      <c r="C1717" s="22" t="s">
        <v>7159</v>
      </c>
      <c r="D1717" s="22" t="s">
        <v>7160</v>
      </c>
      <c r="E1717" s="21"/>
      <c r="F1717" s="22" t="s">
        <v>7161</v>
      </c>
      <c r="G1717" s="28" t="s">
        <v>2012</v>
      </c>
      <c r="H1717" s="22" t="s">
        <v>7162</v>
      </c>
      <c r="I1717" s="21"/>
      <c r="J1717" s="22" t="s">
        <v>364</v>
      </c>
      <c r="K1717" s="22" t="s">
        <v>924</v>
      </c>
      <c r="L1717" s="21"/>
      <c r="M1717" s="22" t="s">
        <v>2014</v>
      </c>
      <c r="N1717" s="28" t="s">
        <v>2015</v>
      </c>
      <c r="O1717" s="28" t="s">
        <v>2016</v>
      </c>
      <c r="P1717" s="29">
        <v>6479</v>
      </c>
      <c r="Q1717" s="28" t="s">
        <v>2017</v>
      </c>
      <c r="R1717" s="40">
        <v>416507.14285714302</v>
      </c>
      <c r="S1717" s="29">
        <v>1</v>
      </c>
      <c r="T1717" s="32">
        <v>1.5555555555E-2</v>
      </c>
      <c r="U1717" s="32">
        <v>0</v>
      </c>
      <c r="V1717" s="40">
        <v>416507.14285714302</v>
      </c>
      <c r="W1717" s="30"/>
      <c r="X1717" s="30"/>
    </row>
    <row r="1718" spans="1:24" ht="15.75" thickBot="1" x14ac:dyDescent="0.3">
      <c r="A1718" t="str">
        <f t="shared" si="26"/>
        <v>MLD16E166ABPIA04</v>
      </c>
      <c r="B1718" s="22" t="s">
        <v>902</v>
      </c>
      <c r="C1718" s="22" t="s">
        <v>7163</v>
      </c>
      <c r="D1718" s="22" t="s">
        <v>7164</v>
      </c>
      <c r="E1718" s="21"/>
      <c r="F1718" s="22" t="s">
        <v>2278</v>
      </c>
      <c r="G1718" s="28" t="s">
        <v>2012</v>
      </c>
      <c r="H1718" s="22" t="s">
        <v>2013</v>
      </c>
      <c r="I1718" s="21"/>
      <c r="J1718" s="22" t="s">
        <v>364</v>
      </c>
      <c r="K1718" s="22" t="s">
        <v>262</v>
      </c>
      <c r="L1718" s="21"/>
      <c r="M1718" s="22" t="s">
        <v>2034</v>
      </c>
      <c r="N1718" s="28" t="s">
        <v>2015</v>
      </c>
      <c r="O1718" s="28" t="s">
        <v>2016</v>
      </c>
      <c r="P1718" s="29">
        <v>912</v>
      </c>
      <c r="Q1718" s="28" t="s">
        <v>2017</v>
      </c>
      <c r="R1718" s="41">
        <v>0.64846006535099998</v>
      </c>
      <c r="S1718" s="29">
        <v>90412</v>
      </c>
      <c r="T1718" s="32">
        <v>1406.40888888889</v>
      </c>
      <c r="U1718" s="32">
        <v>0</v>
      </c>
      <c r="V1718" s="41">
        <v>0.64846006535099998</v>
      </c>
      <c r="W1718" s="21"/>
      <c r="X1718" s="21"/>
    </row>
    <row r="1719" spans="1:24" ht="15.75" thickBot="1" x14ac:dyDescent="0.3">
      <c r="A1719" t="str">
        <f t="shared" si="26"/>
        <v>MLD16E166ABPIA08</v>
      </c>
      <c r="B1719" s="22" t="s">
        <v>908</v>
      </c>
      <c r="C1719" s="22" t="s">
        <v>7165</v>
      </c>
      <c r="D1719" s="22" t="s">
        <v>7166</v>
      </c>
      <c r="E1719" s="21"/>
      <c r="F1719" s="22" t="s">
        <v>2278</v>
      </c>
      <c r="G1719" s="28" t="s">
        <v>2012</v>
      </c>
      <c r="H1719" s="22" t="s">
        <v>2013</v>
      </c>
      <c r="I1719" s="21"/>
      <c r="J1719" s="22" t="s">
        <v>364</v>
      </c>
      <c r="K1719" s="22" t="s">
        <v>262</v>
      </c>
      <c r="L1719" s="21"/>
      <c r="M1719" s="22" t="s">
        <v>2034</v>
      </c>
      <c r="N1719" s="28" t="s">
        <v>2015</v>
      </c>
      <c r="O1719" s="28" t="s">
        <v>2016</v>
      </c>
      <c r="P1719" s="29">
        <v>618</v>
      </c>
      <c r="Q1719" s="28" t="s">
        <v>2017</v>
      </c>
      <c r="R1719" s="41">
        <v>0.87883403593700005</v>
      </c>
      <c r="S1719" s="29">
        <v>45206</v>
      </c>
      <c r="T1719" s="32">
        <v>703.20444444444399</v>
      </c>
      <c r="U1719" s="32">
        <v>0</v>
      </c>
      <c r="V1719" s="41">
        <v>0.87883403593700005</v>
      </c>
      <c r="W1719" s="21"/>
      <c r="X1719" s="21"/>
    </row>
    <row r="1720" spans="1:24" ht="15.75" thickBot="1" x14ac:dyDescent="0.3">
      <c r="A1720" t="str">
        <f t="shared" si="26"/>
        <v>MLD16E166ABPIA09</v>
      </c>
      <c r="B1720" s="22" t="s">
        <v>910</v>
      </c>
      <c r="C1720" s="22" t="s">
        <v>7167</v>
      </c>
      <c r="D1720" s="22" t="s">
        <v>7168</v>
      </c>
      <c r="E1720" s="21"/>
      <c r="F1720" s="22" t="s">
        <v>2278</v>
      </c>
      <c r="G1720" s="28" t="s">
        <v>2012</v>
      </c>
      <c r="H1720" s="22" t="s">
        <v>2013</v>
      </c>
      <c r="I1720" s="21"/>
      <c r="J1720" s="22" t="s">
        <v>364</v>
      </c>
      <c r="K1720" s="22" t="s">
        <v>262</v>
      </c>
      <c r="L1720" s="21"/>
      <c r="M1720" s="22" t="s">
        <v>2034</v>
      </c>
      <c r="N1720" s="28" t="s">
        <v>2015</v>
      </c>
      <c r="O1720" s="28" t="s">
        <v>2016</v>
      </c>
      <c r="P1720" s="29">
        <v>618</v>
      </c>
      <c r="Q1720" s="28" t="s">
        <v>2017</v>
      </c>
      <c r="R1720" s="41">
        <v>0.87883403593700005</v>
      </c>
      <c r="S1720" s="29">
        <v>45206</v>
      </c>
      <c r="T1720" s="32">
        <v>703.20444444444399</v>
      </c>
      <c r="U1720" s="32">
        <v>0</v>
      </c>
      <c r="V1720" s="41">
        <v>0.87883403593700005</v>
      </c>
      <c r="W1720" s="21"/>
      <c r="X1720" s="21"/>
    </row>
    <row r="1721" spans="1:24" ht="15.75" thickBot="1" x14ac:dyDescent="0.3">
      <c r="A1721" t="str">
        <f t="shared" si="26"/>
        <v>MLD16E166APIA11</v>
      </c>
      <c r="B1721" s="22" t="s">
        <v>571</v>
      </c>
      <c r="C1721" s="22" t="s">
        <v>7169</v>
      </c>
      <c r="D1721" s="22" t="s">
        <v>7170</v>
      </c>
      <c r="E1721" s="21"/>
      <c r="F1721" s="22" t="s">
        <v>3262</v>
      </c>
      <c r="G1721" s="28" t="s">
        <v>2012</v>
      </c>
      <c r="H1721" s="22" t="s">
        <v>2013</v>
      </c>
      <c r="I1721" s="21"/>
      <c r="J1721" s="22" t="s">
        <v>364</v>
      </c>
      <c r="K1721" s="22" t="s">
        <v>262</v>
      </c>
      <c r="L1721" s="21"/>
      <c r="M1721" s="22" t="s">
        <v>2034</v>
      </c>
      <c r="N1721" s="28" t="s">
        <v>2015</v>
      </c>
      <c r="O1721" s="28" t="s">
        <v>2016</v>
      </c>
      <c r="P1721" s="29">
        <v>196</v>
      </c>
      <c r="Q1721" s="28" t="s">
        <v>2017</v>
      </c>
      <c r="R1721" s="41">
        <v>0.27872406317699999</v>
      </c>
      <c r="S1721" s="29">
        <v>45206</v>
      </c>
      <c r="T1721" s="32">
        <v>703.20444444444399</v>
      </c>
      <c r="U1721" s="32">
        <v>0</v>
      </c>
      <c r="V1721" s="41">
        <v>0.27872406317699999</v>
      </c>
      <c r="W1721" s="21"/>
      <c r="X1721" s="21"/>
    </row>
    <row r="1722" spans="1:24" ht="15.75" thickBot="1" x14ac:dyDescent="0.3">
      <c r="A1722" t="str">
        <f t="shared" si="26"/>
        <v>MLD16E166APIA12</v>
      </c>
      <c r="B1722" s="22" t="s">
        <v>573</v>
      </c>
      <c r="C1722" s="22" t="s">
        <v>7171</v>
      </c>
      <c r="D1722" s="22" t="s">
        <v>7172</v>
      </c>
      <c r="E1722" s="21"/>
      <c r="F1722" s="22" t="s">
        <v>3262</v>
      </c>
      <c r="G1722" s="28" t="s">
        <v>2012</v>
      </c>
      <c r="H1722" s="22" t="s">
        <v>2013</v>
      </c>
      <c r="I1722" s="21"/>
      <c r="J1722" s="22" t="s">
        <v>364</v>
      </c>
      <c r="K1722" s="22" t="s">
        <v>262</v>
      </c>
      <c r="L1722" s="21"/>
      <c r="M1722" s="22" t="s">
        <v>2034</v>
      </c>
      <c r="N1722" s="28" t="s">
        <v>2015</v>
      </c>
      <c r="O1722" s="28" t="s">
        <v>2016</v>
      </c>
      <c r="P1722" s="29">
        <v>-418</v>
      </c>
      <c r="Q1722" s="28" t="s">
        <v>2017</v>
      </c>
      <c r="R1722" s="41">
        <v>-0.59442172657199999</v>
      </c>
      <c r="S1722" s="29">
        <v>45206</v>
      </c>
      <c r="T1722" s="32">
        <v>703.20444444444399</v>
      </c>
      <c r="U1722" s="32">
        <v>0</v>
      </c>
      <c r="V1722" s="41">
        <v>0</v>
      </c>
      <c r="W1722" s="21"/>
      <c r="X1722" s="21"/>
    </row>
    <row r="1723" spans="1:24" ht="15.75" thickBot="1" x14ac:dyDescent="0.3">
      <c r="A1723" t="str">
        <f t="shared" si="26"/>
        <v>MLD16E166ZPIA10</v>
      </c>
      <c r="B1723" s="22" t="s">
        <v>809</v>
      </c>
      <c r="C1723" s="22" t="s">
        <v>7173</v>
      </c>
      <c r="D1723" s="22" t="s">
        <v>7174</v>
      </c>
      <c r="E1723" s="21"/>
      <c r="F1723" s="22" t="s">
        <v>2030</v>
      </c>
      <c r="G1723" s="28" t="s">
        <v>2012</v>
      </c>
      <c r="H1723" s="22" t="s">
        <v>2013</v>
      </c>
      <c r="I1723" s="21"/>
      <c r="J1723" s="22" t="s">
        <v>364</v>
      </c>
      <c r="K1723" s="22" t="s">
        <v>262</v>
      </c>
      <c r="L1723" s="21"/>
      <c r="M1723" s="22" t="s">
        <v>2034</v>
      </c>
      <c r="N1723" s="28" t="s">
        <v>2015</v>
      </c>
      <c r="O1723" s="28" t="s">
        <v>2016</v>
      </c>
      <c r="P1723" s="29">
        <v>-10</v>
      </c>
      <c r="Q1723" s="28" t="s">
        <v>2017</v>
      </c>
      <c r="R1723" s="41">
        <v>-9.4537815126049995</v>
      </c>
      <c r="S1723" s="29">
        <v>68</v>
      </c>
      <c r="T1723" s="32">
        <v>1.0577777777770001</v>
      </c>
      <c r="U1723" s="32">
        <v>0</v>
      </c>
      <c r="V1723" s="41">
        <v>0</v>
      </c>
      <c r="W1723" s="21"/>
      <c r="X1723" s="21"/>
    </row>
    <row r="1724" spans="1:24" ht="15.75" thickBot="1" x14ac:dyDescent="0.3">
      <c r="A1724" t="str">
        <f t="shared" si="26"/>
        <v>MLD16L558AB</v>
      </c>
      <c r="B1724" s="22" t="s">
        <v>7175</v>
      </c>
      <c r="C1724" s="22" t="s">
        <v>7176</v>
      </c>
      <c r="D1724" s="22" t="s">
        <v>5465</v>
      </c>
      <c r="E1724" s="21"/>
      <c r="F1724" s="22" t="s">
        <v>7177</v>
      </c>
      <c r="G1724" s="28" t="s">
        <v>2012</v>
      </c>
      <c r="H1724" s="22" t="s">
        <v>2013</v>
      </c>
      <c r="I1724" s="21"/>
      <c r="J1724" s="22" t="s">
        <v>494</v>
      </c>
      <c r="K1724" s="22" t="s">
        <v>262</v>
      </c>
      <c r="L1724" s="21"/>
      <c r="M1724" s="22" t="s">
        <v>2034</v>
      </c>
      <c r="N1724" s="28" t="s">
        <v>2015</v>
      </c>
      <c r="O1724" s="28" t="s">
        <v>2016</v>
      </c>
      <c r="P1724" s="29">
        <v>0</v>
      </c>
      <c r="Q1724" s="28" t="s">
        <v>2017</v>
      </c>
      <c r="R1724" s="21"/>
      <c r="S1724" s="21"/>
      <c r="T1724" s="21"/>
      <c r="U1724" s="21"/>
      <c r="V1724" s="21"/>
      <c r="W1724" s="21"/>
      <c r="X1724" s="21"/>
    </row>
    <row r="1725" spans="1:24" ht="15.75" thickBot="1" x14ac:dyDescent="0.3">
      <c r="A1725" t="str">
        <f t="shared" si="26"/>
        <v>MLD16L558D</v>
      </c>
      <c r="B1725" s="22" t="s">
        <v>601</v>
      </c>
      <c r="C1725" s="22" t="s">
        <v>7178</v>
      </c>
      <c r="D1725" s="22" t="s">
        <v>7179</v>
      </c>
      <c r="E1725" s="22" t="s">
        <v>2290</v>
      </c>
      <c r="F1725" s="22" t="s">
        <v>2222</v>
      </c>
      <c r="G1725" s="28" t="s">
        <v>2012</v>
      </c>
      <c r="H1725" s="22" t="s">
        <v>2013</v>
      </c>
      <c r="I1725" s="21"/>
      <c r="J1725" s="22" t="s">
        <v>261</v>
      </c>
      <c r="K1725" s="22" t="s">
        <v>262</v>
      </c>
      <c r="L1725" s="21"/>
      <c r="M1725" s="22" t="s">
        <v>2034</v>
      </c>
      <c r="N1725" s="28" t="s">
        <v>2015</v>
      </c>
      <c r="O1725" s="28" t="s">
        <v>2016</v>
      </c>
      <c r="P1725" s="29">
        <v>63</v>
      </c>
      <c r="Q1725" s="28" t="s">
        <v>2017</v>
      </c>
      <c r="R1725" s="41">
        <v>0.27032438926699998</v>
      </c>
      <c r="S1725" s="29">
        <v>14982</v>
      </c>
      <c r="T1725" s="32">
        <v>233.053333333333</v>
      </c>
      <c r="U1725" s="32">
        <v>0</v>
      </c>
      <c r="V1725" s="41">
        <v>0.27032438926699998</v>
      </c>
      <c r="W1725" s="21"/>
      <c r="X1725" s="21"/>
    </row>
    <row r="1726" spans="1:24" ht="15.75" thickBot="1" x14ac:dyDescent="0.3">
      <c r="A1726" t="str">
        <f t="shared" si="26"/>
        <v>MLD16L559D</v>
      </c>
      <c r="B1726" s="22" t="s">
        <v>605</v>
      </c>
      <c r="C1726" s="22" t="s">
        <v>7180</v>
      </c>
      <c r="D1726" s="22" t="s">
        <v>7181</v>
      </c>
      <c r="E1726" s="22" t="s">
        <v>2290</v>
      </c>
      <c r="F1726" s="22" t="s">
        <v>2222</v>
      </c>
      <c r="G1726" s="28" t="s">
        <v>2012</v>
      </c>
      <c r="H1726" s="22" t="s">
        <v>2013</v>
      </c>
      <c r="I1726" s="21"/>
      <c r="J1726" s="22" t="s">
        <v>261</v>
      </c>
      <c r="K1726" s="22" t="s">
        <v>262</v>
      </c>
      <c r="L1726" s="21"/>
      <c r="M1726" s="22" t="s">
        <v>2034</v>
      </c>
      <c r="N1726" s="28" t="s">
        <v>2015</v>
      </c>
      <c r="O1726" s="28" t="s">
        <v>2016</v>
      </c>
      <c r="P1726" s="29">
        <v>82</v>
      </c>
      <c r="Q1726" s="28" t="s">
        <v>2017</v>
      </c>
      <c r="R1726" s="41">
        <v>0.34535040431199998</v>
      </c>
      <c r="S1726" s="29">
        <v>15264</v>
      </c>
      <c r="T1726" s="32">
        <v>237.44</v>
      </c>
      <c r="U1726" s="32">
        <v>0</v>
      </c>
      <c r="V1726" s="41">
        <v>0.34535040431199998</v>
      </c>
      <c r="W1726" s="21"/>
      <c r="X1726" s="21"/>
    </row>
    <row r="1727" spans="1:24" ht="15.75" thickBot="1" x14ac:dyDescent="0.3">
      <c r="A1727" t="str">
        <f t="shared" si="26"/>
        <v>MLD16L560AB</v>
      </c>
      <c r="B1727" s="22" t="s">
        <v>7182</v>
      </c>
      <c r="C1727" s="22" t="s">
        <v>7183</v>
      </c>
      <c r="D1727" s="22" t="s">
        <v>6610</v>
      </c>
      <c r="E1727" s="21"/>
      <c r="F1727" s="22" t="s">
        <v>7177</v>
      </c>
      <c r="G1727" s="28" t="s">
        <v>2012</v>
      </c>
      <c r="H1727" s="22" t="s">
        <v>2013</v>
      </c>
      <c r="I1727" s="21"/>
      <c r="J1727" s="22" t="s">
        <v>494</v>
      </c>
      <c r="K1727" s="22" t="s">
        <v>262</v>
      </c>
      <c r="L1727" s="21"/>
      <c r="M1727" s="22" t="s">
        <v>2034</v>
      </c>
      <c r="N1727" s="28" t="s">
        <v>2015</v>
      </c>
      <c r="O1727" s="28" t="s">
        <v>2016</v>
      </c>
      <c r="P1727" s="29">
        <v>42</v>
      </c>
      <c r="Q1727" s="28" t="s">
        <v>2017</v>
      </c>
      <c r="R1727" s="21"/>
      <c r="S1727" s="21"/>
      <c r="T1727" s="21"/>
      <c r="U1727" s="21"/>
      <c r="V1727" s="21"/>
      <c r="W1727" s="21"/>
      <c r="X1727" s="21"/>
    </row>
    <row r="1728" spans="1:24" ht="15.75" thickBot="1" x14ac:dyDescent="0.3">
      <c r="A1728" t="str">
        <f t="shared" si="26"/>
        <v>MLD16L560D</v>
      </c>
      <c r="B1728" s="22" t="s">
        <v>609</v>
      </c>
      <c r="C1728" s="22" t="s">
        <v>7184</v>
      </c>
      <c r="D1728" s="22" t="s">
        <v>610</v>
      </c>
      <c r="E1728" s="22" t="s">
        <v>2290</v>
      </c>
      <c r="F1728" s="22" t="s">
        <v>2222</v>
      </c>
      <c r="G1728" s="28" t="s">
        <v>2012</v>
      </c>
      <c r="H1728" s="22" t="s">
        <v>2013</v>
      </c>
      <c r="I1728" s="21"/>
      <c r="J1728" s="22" t="s">
        <v>261</v>
      </c>
      <c r="K1728" s="22" t="s">
        <v>262</v>
      </c>
      <c r="L1728" s="21"/>
      <c r="M1728" s="22" t="s">
        <v>2034</v>
      </c>
      <c r="N1728" s="28" t="s">
        <v>2015</v>
      </c>
      <c r="O1728" s="28" t="s">
        <v>2016</v>
      </c>
      <c r="P1728" s="29">
        <v>93</v>
      </c>
      <c r="Q1728" s="28" t="s">
        <v>2017</v>
      </c>
      <c r="R1728" s="41">
        <v>0.39923682327600002</v>
      </c>
      <c r="S1728" s="29">
        <v>14975</v>
      </c>
      <c r="T1728" s="32">
        <v>232.944444444444</v>
      </c>
      <c r="U1728" s="32">
        <v>0</v>
      </c>
      <c r="V1728" s="41">
        <v>0.39923682327600002</v>
      </c>
      <c r="W1728" s="21"/>
      <c r="X1728" s="21"/>
    </row>
    <row r="1729" spans="1:24" ht="15.75" thickBot="1" x14ac:dyDescent="0.3">
      <c r="A1729" t="str">
        <f t="shared" si="26"/>
        <v>MLD16L561AB</v>
      </c>
      <c r="B1729" s="22" t="s">
        <v>7185</v>
      </c>
      <c r="C1729" s="22" t="s">
        <v>7186</v>
      </c>
      <c r="D1729" s="22" t="s">
        <v>5448</v>
      </c>
      <c r="E1729" s="21"/>
      <c r="F1729" s="22" t="s">
        <v>7177</v>
      </c>
      <c r="G1729" s="28" t="s">
        <v>2012</v>
      </c>
      <c r="H1729" s="22" t="s">
        <v>2013</v>
      </c>
      <c r="I1729" s="21"/>
      <c r="J1729" s="22" t="s">
        <v>494</v>
      </c>
      <c r="K1729" s="22" t="s">
        <v>262</v>
      </c>
      <c r="L1729" s="21"/>
      <c r="M1729" s="22" t="s">
        <v>2034</v>
      </c>
      <c r="N1729" s="28" t="s">
        <v>2015</v>
      </c>
      <c r="O1729" s="28" t="s">
        <v>2016</v>
      </c>
      <c r="P1729" s="29">
        <v>100</v>
      </c>
      <c r="Q1729" s="28" t="s">
        <v>2017</v>
      </c>
      <c r="R1729" s="21"/>
      <c r="S1729" s="21"/>
      <c r="T1729" s="21"/>
      <c r="U1729" s="21"/>
      <c r="V1729" s="21"/>
      <c r="W1729" s="21"/>
      <c r="X1729" s="21"/>
    </row>
    <row r="1730" spans="1:24" ht="15.75" thickBot="1" x14ac:dyDescent="0.3">
      <c r="A1730" t="str">
        <f t="shared" si="26"/>
        <v>MLD16L561D</v>
      </c>
      <c r="B1730" s="22" t="s">
        <v>613</v>
      </c>
      <c r="C1730" s="22" t="s">
        <v>7187</v>
      </c>
      <c r="D1730" s="22" t="s">
        <v>614</v>
      </c>
      <c r="E1730" s="22" t="s">
        <v>2290</v>
      </c>
      <c r="F1730" s="22" t="s">
        <v>2222</v>
      </c>
      <c r="G1730" s="28" t="s">
        <v>2012</v>
      </c>
      <c r="H1730" s="22" t="s">
        <v>2013</v>
      </c>
      <c r="I1730" s="21"/>
      <c r="J1730" s="22" t="s">
        <v>261</v>
      </c>
      <c r="K1730" s="22" t="s">
        <v>262</v>
      </c>
      <c r="L1730" s="21"/>
      <c r="M1730" s="22" t="s">
        <v>2034</v>
      </c>
      <c r="N1730" s="28" t="s">
        <v>2015</v>
      </c>
      <c r="O1730" s="28" t="s">
        <v>2016</v>
      </c>
      <c r="P1730" s="29">
        <v>112</v>
      </c>
      <c r="Q1730" s="28" t="s">
        <v>2017</v>
      </c>
      <c r="R1730" s="41">
        <v>0.47114252061200002</v>
      </c>
      <c r="S1730" s="29">
        <v>15282</v>
      </c>
      <c r="T1730" s="32">
        <v>237.72</v>
      </c>
      <c r="U1730" s="32">
        <v>0</v>
      </c>
      <c r="V1730" s="41">
        <v>0.47114252061200002</v>
      </c>
      <c r="W1730" s="21"/>
      <c r="X1730" s="21"/>
    </row>
    <row r="1731" spans="1:24" ht="15.75" thickBot="1" x14ac:dyDescent="0.3">
      <c r="A1731" t="str">
        <f t="shared" si="26"/>
        <v>MLD17230600BA</v>
      </c>
      <c r="B1731" s="22" t="s">
        <v>7188</v>
      </c>
      <c r="C1731" s="22" t="s">
        <v>7189</v>
      </c>
      <c r="D1731" s="22" t="s">
        <v>7190</v>
      </c>
      <c r="E1731" s="22" t="s">
        <v>5101</v>
      </c>
      <c r="F1731" s="22" t="s">
        <v>5102</v>
      </c>
      <c r="G1731" s="28" t="s">
        <v>2012</v>
      </c>
      <c r="H1731" s="22" t="s">
        <v>7191</v>
      </c>
      <c r="I1731" s="21"/>
      <c r="J1731" s="22" t="s">
        <v>892</v>
      </c>
      <c r="K1731" s="22" t="s">
        <v>262</v>
      </c>
      <c r="L1731" s="21"/>
      <c r="M1731" s="22" t="s">
        <v>2014</v>
      </c>
      <c r="N1731" s="28" t="s">
        <v>2015</v>
      </c>
      <c r="O1731" s="28" t="s">
        <v>2016</v>
      </c>
      <c r="P1731" s="29">
        <v>3790</v>
      </c>
      <c r="Q1731" s="28" t="s">
        <v>2017</v>
      </c>
      <c r="R1731" s="21"/>
      <c r="S1731" s="21"/>
      <c r="T1731" s="21"/>
      <c r="U1731" s="21"/>
      <c r="V1731" s="21"/>
      <c r="W1731" s="21"/>
      <c r="X1731" s="21"/>
    </row>
    <row r="1732" spans="1:24" ht="15.75" thickBot="1" x14ac:dyDescent="0.3">
      <c r="A1732" t="str">
        <f t="shared" si="26"/>
        <v>MLD17230601BA</v>
      </c>
      <c r="B1732" s="22" t="s">
        <v>7192</v>
      </c>
      <c r="C1732" s="22" t="s">
        <v>7193</v>
      </c>
      <c r="D1732" s="22" t="s">
        <v>7194</v>
      </c>
      <c r="E1732" s="22" t="s">
        <v>7195</v>
      </c>
      <c r="F1732" s="22" t="s">
        <v>5102</v>
      </c>
      <c r="G1732" s="28" t="s">
        <v>2012</v>
      </c>
      <c r="H1732" s="22" t="s">
        <v>7191</v>
      </c>
      <c r="I1732" s="21"/>
      <c r="J1732" s="22" t="s">
        <v>892</v>
      </c>
      <c r="K1732" s="22" t="s">
        <v>262</v>
      </c>
      <c r="L1732" s="21"/>
      <c r="M1732" s="22" t="s">
        <v>2014</v>
      </c>
      <c r="N1732" s="28" t="s">
        <v>2015</v>
      </c>
      <c r="O1732" s="28" t="s">
        <v>2016</v>
      </c>
      <c r="P1732" s="29">
        <v>2557</v>
      </c>
      <c r="Q1732" s="28" t="s">
        <v>2017</v>
      </c>
      <c r="R1732" s="21"/>
      <c r="S1732" s="21"/>
      <c r="T1732" s="21"/>
      <c r="U1732" s="21"/>
      <c r="V1732" s="21"/>
      <c r="W1732" s="21"/>
      <c r="X1732" s="21"/>
    </row>
    <row r="1733" spans="1:24" ht="15.75" thickBot="1" x14ac:dyDescent="0.3">
      <c r="A1733" t="str">
        <f t="shared" ref="A1733:A1796" si="27">TRIM(B1733)</f>
        <v>MLD17A386AC</v>
      </c>
      <c r="B1733" s="22" t="s">
        <v>742</v>
      </c>
      <c r="C1733" s="22" t="s">
        <v>7196</v>
      </c>
      <c r="D1733" s="22" t="s">
        <v>6614</v>
      </c>
      <c r="E1733" s="21"/>
      <c r="F1733" s="22" t="s">
        <v>3255</v>
      </c>
      <c r="G1733" s="28" t="s">
        <v>2012</v>
      </c>
      <c r="H1733" s="22" t="s">
        <v>2013</v>
      </c>
      <c r="I1733" s="21"/>
      <c r="J1733" s="22" t="s">
        <v>494</v>
      </c>
      <c r="K1733" s="22" t="s">
        <v>262</v>
      </c>
      <c r="L1733" s="21"/>
      <c r="M1733" s="22" t="s">
        <v>2034</v>
      </c>
      <c r="N1733" s="28" t="s">
        <v>2015</v>
      </c>
      <c r="O1733" s="28" t="s">
        <v>2016</v>
      </c>
      <c r="P1733" s="29">
        <v>0</v>
      </c>
      <c r="Q1733" s="28" t="s">
        <v>2017</v>
      </c>
      <c r="R1733" s="41">
        <v>0</v>
      </c>
      <c r="S1733" s="29">
        <v>858</v>
      </c>
      <c r="T1733" s="32">
        <v>13.346666666666</v>
      </c>
      <c r="U1733" s="32">
        <v>0</v>
      </c>
      <c r="V1733" s="41">
        <v>0</v>
      </c>
      <c r="W1733" s="21"/>
      <c r="X1733" s="21"/>
    </row>
    <row r="1734" spans="1:24" ht="15.75" thickBot="1" x14ac:dyDescent="0.3">
      <c r="A1734" t="str">
        <f t="shared" si="27"/>
        <v>MLD17C790GPIA</v>
      </c>
      <c r="B1734" s="22" t="s">
        <v>711</v>
      </c>
      <c r="C1734" s="22" t="s">
        <v>7197</v>
      </c>
      <c r="D1734" s="22" t="s">
        <v>7198</v>
      </c>
      <c r="E1734" s="21"/>
      <c r="F1734" s="22" t="s">
        <v>2030</v>
      </c>
      <c r="G1734" s="28" t="s">
        <v>2012</v>
      </c>
      <c r="H1734" s="22" t="s">
        <v>2080</v>
      </c>
      <c r="I1734" s="21"/>
      <c r="J1734" s="22" t="s">
        <v>261</v>
      </c>
      <c r="K1734" s="22" t="s">
        <v>262</v>
      </c>
      <c r="L1734" s="21"/>
      <c r="M1734" s="22" t="s">
        <v>2034</v>
      </c>
      <c r="N1734" s="28" t="s">
        <v>2015</v>
      </c>
      <c r="O1734" s="28" t="s">
        <v>2016</v>
      </c>
      <c r="P1734" s="29">
        <v>-196</v>
      </c>
      <c r="Q1734" s="28" t="s">
        <v>2017</v>
      </c>
      <c r="R1734" s="41">
        <v>-4.659763313609</v>
      </c>
      <c r="S1734" s="29">
        <v>2704</v>
      </c>
      <c r="T1734" s="32">
        <v>42.062222222221997</v>
      </c>
      <c r="U1734" s="32">
        <v>0</v>
      </c>
      <c r="V1734" s="41">
        <v>0</v>
      </c>
      <c r="W1734" s="21"/>
      <c r="X1734" s="21"/>
    </row>
    <row r="1735" spans="1:24" ht="15.75" thickBot="1" x14ac:dyDescent="0.3">
      <c r="A1735" t="str">
        <f t="shared" si="27"/>
        <v>MLD17C791GPIA</v>
      </c>
      <c r="B1735" s="22" t="s">
        <v>713</v>
      </c>
      <c r="C1735" s="22" t="s">
        <v>7199</v>
      </c>
      <c r="D1735" s="22" t="s">
        <v>7200</v>
      </c>
      <c r="E1735" s="21"/>
      <c r="F1735" s="22" t="s">
        <v>2030</v>
      </c>
      <c r="G1735" s="28" t="s">
        <v>2012</v>
      </c>
      <c r="H1735" s="22" t="s">
        <v>2080</v>
      </c>
      <c r="I1735" s="21"/>
      <c r="J1735" s="22" t="s">
        <v>261</v>
      </c>
      <c r="K1735" s="22" t="s">
        <v>262</v>
      </c>
      <c r="L1735" s="21"/>
      <c r="M1735" s="22" t="s">
        <v>2034</v>
      </c>
      <c r="N1735" s="28" t="s">
        <v>2015</v>
      </c>
      <c r="O1735" s="28" t="s">
        <v>2016</v>
      </c>
      <c r="P1735" s="29">
        <v>0</v>
      </c>
      <c r="Q1735" s="28" t="s">
        <v>2017</v>
      </c>
      <c r="R1735" s="41">
        <v>0</v>
      </c>
      <c r="S1735" s="29">
        <v>2454</v>
      </c>
      <c r="T1735" s="32">
        <v>38.173333333332998</v>
      </c>
      <c r="U1735" s="32">
        <v>0</v>
      </c>
      <c r="V1735" s="41">
        <v>0</v>
      </c>
      <c r="W1735" s="21"/>
      <c r="X1735" s="21"/>
    </row>
    <row r="1736" spans="1:24" ht="15.75" thickBot="1" x14ac:dyDescent="0.3">
      <c r="A1736" t="str">
        <f t="shared" si="27"/>
        <v>MLD17D550C</v>
      </c>
      <c r="B1736" s="22" t="s">
        <v>744</v>
      </c>
      <c r="C1736" s="22" t="s">
        <v>7201</v>
      </c>
      <c r="D1736" s="22" t="s">
        <v>7202</v>
      </c>
      <c r="E1736" s="22" t="s">
        <v>2290</v>
      </c>
      <c r="F1736" s="22" t="s">
        <v>2388</v>
      </c>
      <c r="G1736" s="28" t="s">
        <v>2012</v>
      </c>
      <c r="H1736" s="22" t="s">
        <v>2013</v>
      </c>
      <c r="I1736" s="21"/>
      <c r="J1736" s="22" t="s">
        <v>261</v>
      </c>
      <c r="K1736" s="22" t="s">
        <v>262</v>
      </c>
      <c r="L1736" s="21"/>
      <c r="M1736" s="22" t="s">
        <v>2034</v>
      </c>
      <c r="N1736" s="28" t="s">
        <v>2015</v>
      </c>
      <c r="O1736" s="28" t="s">
        <v>2016</v>
      </c>
      <c r="P1736" s="29">
        <v>96</v>
      </c>
      <c r="Q1736" s="28" t="s">
        <v>2017</v>
      </c>
      <c r="R1736" s="41">
        <v>0.35241140768700002</v>
      </c>
      <c r="S1736" s="29">
        <v>17512</v>
      </c>
      <c r="T1736" s="32">
        <v>272.40888888888901</v>
      </c>
      <c r="U1736" s="32">
        <v>0</v>
      </c>
      <c r="V1736" s="41">
        <v>0.35241140768700002</v>
      </c>
      <c r="W1736" s="21"/>
      <c r="X1736" s="21"/>
    </row>
    <row r="1737" spans="1:24" ht="15.75" thickBot="1" x14ac:dyDescent="0.3">
      <c r="A1737" t="str">
        <f t="shared" si="27"/>
        <v>MLD17D568C</v>
      </c>
      <c r="B1737" s="22" t="s">
        <v>746</v>
      </c>
      <c r="C1737" s="22" t="s">
        <v>7203</v>
      </c>
      <c r="D1737" s="22" t="s">
        <v>7204</v>
      </c>
      <c r="E1737" s="22" t="s">
        <v>2290</v>
      </c>
      <c r="F1737" s="22" t="s">
        <v>2388</v>
      </c>
      <c r="G1737" s="28" t="s">
        <v>2012</v>
      </c>
      <c r="H1737" s="22" t="s">
        <v>2013</v>
      </c>
      <c r="I1737" s="21"/>
      <c r="J1737" s="22" t="s">
        <v>261</v>
      </c>
      <c r="K1737" s="22" t="s">
        <v>262</v>
      </c>
      <c r="L1737" s="21"/>
      <c r="M1737" s="22" t="s">
        <v>2034</v>
      </c>
      <c r="N1737" s="28" t="s">
        <v>2015</v>
      </c>
      <c r="O1737" s="28" t="s">
        <v>2016</v>
      </c>
      <c r="P1737" s="29">
        <v>96</v>
      </c>
      <c r="Q1737" s="28" t="s">
        <v>2017</v>
      </c>
      <c r="R1737" s="41">
        <v>0.35241140768700002</v>
      </c>
      <c r="S1737" s="29">
        <v>17512</v>
      </c>
      <c r="T1737" s="32">
        <v>272.40888888888901</v>
      </c>
      <c r="U1737" s="32">
        <v>0</v>
      </c>
      <c r="V1737" s="41">
        <v>0.35241140768700002</v>
      </c>
      <c r="W1737" s="21"/>
      <c r="X1737" s="21"/>
    </row>
    <row r="1738" spans="1:24" ht="15.75" thickBot="1" x14ac:dyDescent="0.3">
      <c r="A1738" t="str">
        <f t="shared" si="27"/>
        <v>MLD17D698A</v>
      </c>
      <c r="B1738" s="22" t="s">
        <v>715</v>
      </c>
      <c r="C1738" s="22" t="s">
        <v>7205</v>
      </c>
      <c r="D1738" s="22" t="s">
        <v>7206</v>
      </c>
      <c r="E1738" s="22" t="s">
        <v>2290</v>
      </c>
      <c r="F1738" s="22" t="s">
        <v>2390</v>
      </c>
      <c r="G1738" s="28" t="s">
        <v>2012</v>
      </c>
      <c r="H1738" s="22" t="s">
        <v>2013</v>
      </c>
      <c r="I1738" s="21"/>
      <c r="J1738" s="22" t="s">
        <v>261</v>
      </c>
      <c r="K1738" s="22" t="s">
        <v>262</v>
      </c>
      <c r="L1738" s="21"/>
      <c r="M1738" s="22" t="s">
        <v>2034</v>
      </c>
      <c r="N1738" s="28" t="s">
        <v>2015</v>
      </c>
      <c r="O1738" s="28" t="s">
        <v>2016</v>
      </c>
      <c r="P1738" s="29">
        <v>144</v>
      </c>
      <c r="Q1738" s="28" t="s">
        <v>2017</v>
      </c>
      <c r="R1738" s="41">
        <v>0.52910052910000005</v>
      </c>
      <c r="S1738" s="29">
        <v>17496</v>
      </c>
      <c r="T1738" s="32">
        <v>272.16000000000003</v>
      </c>
      <c r="U1738" s="32">
        <v>0</v>
      </c>
      <c r="V1738" s="41">
        <v>0.52910052910000005</v>
      </c>
      <c r="W1738" s="21"/>
      <c r="X1738" s="21"/>
    </row>
    <row r="1739" spans="1:24" ht="15.75" thickBot="1" x14ac:dyDescent="0.3">
      <c r="A1739" t="str">
        <f t="shared" si="27"/>
        <v>MLD17D699A</v>
      </c>
      <c r="B1739" s="22" t="s">
        <v>717</v>
      </c>
      <c r="C1739" s="22" t="s">
        <v>7207</v>
      </c>
      <c r="D1739" s="22" t="s">
        <v>7208</v>
      </c>
      <c r="E1739" s="22" t="s">
        <v>2290</v>
      </c>
      <c r="F1739" s="22" t="s">
        <v>2390</v>
      </c>
      <c r="G1739" s="28" t="s">
        <v>2012</v>
      </c>
      <c r="H1739" s="22" t="s">
        <v>2013</v>
      </c>
      <c r="I1739" s="21"/>
      <c r="J1739" s="22" t="s">
        <v>261</v>
      </c>
      <c r="K1739" s="22" t="s">
        <v>262</v>
      </c>
      <c r="L1739" s="21"/>
      <c r="M1739" s="22" t="s">
        <v>2034</v>
      </c>
      <c r="N1739" s="28" t="s">
        <v>2015</v>
      </c>
      <c r="O1739" s="28" t="s">
        <v>2016</v>
      </c>
      <c r="P1739" s="29">
        <v>0</v>
      </c>
      <c r="Q1739" s="28" t="s">
        <v>2017</v>
      </c>
      <c r="R1739" s="41">
        <v>0</v>
      </c>
      <c r="S1739" s="29">
        <v>16976</v>
      </c>
      <c r="T1739" s="32">
        <v>264.07111111111101</v>
      </c>
      <c r="U1739" s="32">
        <v>0</v>
      </c>
      <c r="V1739" s="41">
        <v>0</v>
      </c>
      <c r="W1739" s="21"/>
      <c r="X1739" s="21"/>
    </row>
    <row r="1740" spans="1:24" ht="15.75" thickBot="1" x14ac:dyDescent="0.3">
      <c r="A1740" t="str">
        <f t="shared" si="27"/>
        <v>MLD17E810BA</v>
      </c>
      <c r="B1740" s="22" t="s">
        <v>855</v>
      </c>
      <c r="C1740" s="22" t="s">
        <v>7209</v>
      </c>
      <c r="D1740" s="22" t="s">
        <v>7210</v>
      </c>
      <c r="E1740" s="22" t="s">
        <v>2297</v>
      </c>
      <c r="F1740" s="22" t="s">
        <v>7211</v>
      </c>
      <c r="G1740" s="28" t="s">
        <v>2012</v>
      </c>
      <c r="H1740" s="22" t="s">
        <v>2013</v>
      </c>
      <c r="I1740" s="21"/>
      <c r="J1740" s="22" t="s">
        <v>364</v>
      </c>
      <c r="K1740" s="22" t="s">
        <v>262</v>
      </c>
      <c r="L1740" s="21"/>
      <c r="M1740" s="22" t="s">
        <v>2034</v>
      </c>
      <c r="N1740" s="28" t="s">
        <v>2015</v>
      </c>
      <c r="O1740" s="28" t="s">
        <v>2016</v>
      </c>
      <c r="P1740" s="29">
        <v>-165</v>
      </c>
      <c r="Q1740" s="28" t="s">
        <v>2017</v>
      </c>
      <c r="R1740" s="41">
        <v>-0.849522894212</v>
      </c>
      <c r="S1740" s="29">
        <v>12486</v>
      </c>
      <c r="T1740" s="32">
        <v>194.226666666667</v>
      </c>
      <c r="U1740" s="32">
        <v>0</v>
      </c>
      <c r="V1740" s="41">
        <v>0</v>
      </c>
      <c r="W1740" s="21"/>
      <c r="X1740" s="21"/>
    </row>
    <row r="1741" spans="1:24" ht="15.75" thickBot="1" x14ac:dyDescent="0.3">
      <c r="A1741" t="str">
        <f t="shared" si="27"/>
        <v>MLD2102349AC</v>
      </c>
      <c r="B1741" s="22" t="s">
        <v>7212</v>
      </c>
      <c r="C1741" s="22" t="s">
        <v>7213</v>
      </c>
      <c r="D1741" s="22" t="s">
        <v>6648</v>
      </c>
      <c r="E1741" s="21"/>
      <c r="F1741" s="22" t="s">
        <v>6746</v>
      </c>
      <c r="G1741" s="28" t="s">
        <v>2012</v>
      </c>
      <c r="H1741" s="22" t="s">
        <v>2013</v>
      </c>
      <c r="I1741" s="21"/>
      <c r="J1741" s="22" t="s">
        <v>494</v>
      </c>
      <c r="K1741" s="22" t="s">
        <v>262</v>
      </c>
      <c r="L1741" s="21"/>
      <c r="M1741" s="22" t="s">
        <v>2034</v>
      </c>
      <c r="N1741" s="28" t="s">
        <v>2015</v>
      </c>
      <c r="O1741" s="28" t="s">
        <v>2016</v>
      </c>
      <c r="P1741" s="29">
        <v>0</v>
      </c>
      <c r="Q1741" s="28" t="s">
        <v>2017</v>
      </c>
      <c r="R1741" s="21"/>
      <c r="S1741" s="21"/>
      <c r="T1741" s="21"/>
      <c r="U1741" s="21"/>
      <c r="V1741" s="21"/>
      <c r="W1741" s="21"/>
      <c r="X1741" s="21"/>
    </row>
    <row r="1742" spans="1:24" ht="15.75" thickBot="1" x14ac:dyDescent="0.3">
      <c r="A1742" t="str">
        <f t="shared" si="27"/>
        <v>MLD2113200AC</v>
      </c>
      <c r="B1742" s="22" t="s">
        <v>7214</v>
      </c>
      <c r="C1742" s="22" t="s">
        <v>7215</v>
      </c>
      <c r="D1742" s="22" t="s">
        <v>6742</v>
      </c>
      <c r="E1742" s="21"/>
      <c r="F1742" s="22" t="s">
        <v>6746</v>
      </c>
      <c r="G1742" s="28" t="s">
        <v>2012</v>
      </c>
      <c r="H1742" s="22" t="s">
        <v>2013</v>
      </c>
      <c r="I1742" s="21"/>
      <c r="J1742" s="22" t="s">
        <v>494</v>
      </c>
      <c r="K1742" s="22" t="s">
        <v>262</v>
      </c>
      <c r="L1742" s="21"/>
      <c r="M1742" s="22" t="s">
        <v>2034</v>
      </c>
      <c r="N1742" s="28" t="s">
        <v>2015</v>
      </c>
      <c r="O1742" s="28" t="s">
        <v>2016</v>
      </c>
      <c r="P1742" s="29">
        <v>19</v>
      </c>
      <c r="Q1742" s="28" t="s">
        <v>2017</v>
      </c>
      <c r="R1742" s="21"/>
      <c r="S1742" s="21"/>
      <c r="T1742" s="21"/>
      <c r="U1742" s="21"/>
      <c r="V1742" s="21"/>
      <c r="W1742" s="21"/>
      <c r="X1742" s="21"/>
    </row>
    <row r="1743" spans="1:24" ht="15.75" thickBot="1" x14ac:dyDescent="0.3">
      <c r="A1743" t="str">
        <f t="shared" si="27"/>
        <v>MLD2113201AC</v>
      </c>
      <c r="B1743" s="22" t="s">
        <v>7216</v>
      </c>
      <c r="C1743" s="22" t="s">
        <v>7217</v>
      </c>
      <c r="D1743" s="22" t="s">
        <v>6745</v>
      </c>
      <c r="E1743" s="21"/>
      <c r="F1743" s="22" t="s">
        <v>6746</v>
      </c>
      <c r="G1743" s="28" t="s">
        <v>2012</v>
      </c>
      <c r="H1743" s="22" t="s">
        <v>2013</v>
      </c>
      <c r="I1743" s="21"/>
      <c r="J1743" s="22" t="s">
        <v>494</v>
      </c>
      <c r="K1743" s="22" t="s">
        <v>262</v>
      </c>
      <c r="L1743" s="21"/>
      <c r="M1743" s="22" t="s">
        <v>2034</v>
      </c>
      <c r="N1743" s="28" t="s">
        <v>2015</v>
      </c>
      <c r="O1743" s="28" t="s">
        <v>2016</v>
      </c>
      <c r="P1743" s="29">
        <v>8</v>
      </c>
      <c r="Q1743" s="28" t="s">
        <v>2017</v>
      </c>
      <c r="R1743" s="21"/>
      <c r="S1743" s="21"/>
      <c r="T1743" s="21"/>
      <c r="U1743" s="21"/>
      <c r="V1743" s="21"/>
      <c r="W1743" s="21"/>
      <c r="X1743" s="21"/>
    </row>
    <row r="1744" spans="1:24" ht="15.75" thickBot="1" x14ac:dyDescent="0.3">
      <c r="A1744" t="str">
        <f t="shared" si="27"/>
        <v>MLD2123942SUB00</v>
      </c>
      <c r="B1744" s="22" t="s">
        <v>7218</v>
      </c>
      <c r="C1744" s="22" t="s">
        <v>7219</v>
      </c>
      <c r="D1744" s="22" t="s">
        <v>7220</v>
      </c>
      <c r="E1744" s="21"/>
      <c r="F1744" s="22" t="s">
        <v>7221</v>
      </c>
      <c r="G1744" s="28" t="s">
        <v>2012</v>
      </c>
      <c r="H1744" s="22" t="s">
        <v>2013</v>
      </c>
      <c r="I1744" s="21"/>
      <c r="J1744" s="22" t="s">
        <v>494</v>
      </c>
      <c r="K1744" s="22" t="s">
        <v>262</v>
      </c>
      <c r="L1744" s="21"/>
      <c r="M1744" s="22" t="s">
        <v>2034</v>
      </c>
      <c r="N1744" s="28" t="s">
        <v>2015</v>
      </c>
      <c r="O1744" s="28" t="s">
        <v>2016</v>
      </c>
      <c r="P1744" s="29">
        <v>305</v>
      </c>
      <c r="Q1744" s="28" t="s">
        <v>2017</v>
      </c>
      <c r="R1744" s="40">
        <v>19607.142857142899</v>
      </c>
      <c r="S1744" s="29">
        <v>1</v>
      </c>
      <c r="T1744" s="32">
        <v>1.5555555555E-2</v>
      </c>
      <c r="U1744" s="32">
        <v>0</v>
      </c>
      <c r="V1744" s="40">
        <v>19607.142857142899</v>
      </c>
      <c r="W1744" s="30"/>
      <c r="X1744" s="30"/>
    </row>
    <row r="1745" spans="1:24" ht="15.75" thickBot="1" x14ac:dyDescent="0.3">
      <c r="A1745" t="str">
        <f t="shared" si="27"/>
        <v>MLD2127406INR00</v>
      </c>
      <c r="B1745" s="22" t="s">
        <v>7222</v>
      </c>
      <c r="C1745" s="22" t="s">
        <v>7223</v>
      </c>
      <c r="D1745" s="22" t="s">
        <v>7224</v>
      </c>
      <c r="E1745" s="21"/>
      <c r="F1745" s="22" t="s">
        <v>7225</v>
      </c>
      <c r="G1745" s="28" t="s">
        <v>2012</v>
      </c>
      <c r="H1745" s="22" t="s">
        <v>2013</v>
      </c>
      <c r="I1745" s="21"/>
      <c r="J1745" s="22" t="s">
        <v>494</v>
      </c>
      <c r="K1745" s="22" t="s">
        <v>262</v>
      </c>
      <c r="L1745" s="21"/>
      <c r="M1745" s="22" t="s">
        <v>2034</v>
      </c>
      <c r="N1745" s="28" t="s">
        <v>2015</v>
      </c>
      <c r="O1745" s="28" t="s">
        <v>2016</v>
      </c>
      <c r="P1745" s="29">
        <v>565</v>
      </c>
      <c r="Q1745" s="28" t="s">
        <v>2017</v>
      </c>
      <c r="R1745" s="21"/>
      <c r="S1745" s="21"/>
      <c r="T1745" s="21"/>
      <c r="U1745" s="21"/>
      <c r="V1745" s="21"/>
      <c r="W1745" s="21"/>
      <c r="X1745" s="21"/>
    </row>
    <row r="1746" spans="1:24" ht="15.75" thickBot="1" x14ac:dyDescent="0.3">
      <c r="A1746" t="str">
        <f t="shared" si="27"/>
        <v>MLD2127406PC00</v>
      </c>
      <c r="B1746" s="22" t="s">
        <v>7226</v>
      </c>
      <c r="C1746" s="22" t="s">
        <v>7223</v>
      </c>
      <c r="D1746" s="22" t="s">
        <v>7227</v>
      </c>
      <c r="E1746" s="21"/>
      <c r="F1746" s="22" t="s">
        <v>7228</v>
      </c>
      <c r="G1746" s="28" t="s">
        <v>2012</v>
      </c>
      <c r="H1746" s="22" t="s">
        <v>2013</v>
      </c>
      <c r="I1746" s="21"/>
      <c r="J1746" s="22" t="s">
        <v>494</v>
      </c>
      <c r="K1746" s="22" t="s">
        <v>262</v>
      </c>
      <c r="L1746" s="21"/>
      <c r="M1746" s="22" t="s">
        <v>2034</v>
      </c>
      <c r="N1746" s="28" t="s">
        <v>2015</v>
      </c>
      <c r="O1746" s="28" t="s">
        <v>2016</v>
      </c>
      <c r="P1746" s="29">
        <v>1272</v>
      </c>
      <c r="Q1746" s="28" t="s">
        <v>2017</v>
      </c>
      <c r="R1746" s="21"/>
      <c r="S1746" s="21"/>
      <c r="T1746" s="21"/>
      <c r="U1746" s="21"/>
      <c r="V1746" s="21"/>
      <c r="W1746" s="21"/>
      <c r="X1746" s="21"/>
    </row>
    <row r="1747" spans="1:24" ht="15.75" thickBot="1" x14ac:dyDescent="0.3">
      <c r="A1747" t="str">
        <f t="shared" si="27"/>
        <v>MLD2127406SUB00</v>
      </c>
      <c r="B1747" s="22" t="s">
        <v>7229</v>
      </c>
      <c r="C1747" s="22" t="s">
        <v>7230</v>
      </c>
      <c r="D1747" s="22" t="s">
        <v>7231</v>
      </c>
      <c r="E1747" s="21"/>
      <c r="F1747" s="22" t="s">
        <v>7232</v>
      </c>
      <c r="G1747" s="28" t="s">
        <v>2012</v>
      </c>
      <c r="H1747" s="22" t="s">
        <v>2013</v>
      </c>
      <c r="I1747" s="21"/>
      <c r="J1747" s="22" t="s">
        <v>494</v>
      </c>
      <c r="K1747" s="22" t="s">
        <v>262</v>
      </c>
      <c r="L1747" s="21"/>
      <c r="M1747" s="22" t="s">
        <v>2034</v>
      </c>
      <c r="N1747" s="28" t="s">
        <v>2015</v>
      </c>
      <c r="O1747" s="28" t="s">
        <v>2016</v>
      </c>
      <c r="P1747" s="29">
        <v>320</v>
      </c>
      <c r="Q1747" s="28" t="s">
        <v>2017</v>
      </c>
      <c r="R1747" s="21"/>
      <c r="S1747" s="21"/>
      <c r="T1747" s="21"/>
      <c r="U1747" s="21"/>
      <c r="V1747" s="21"/>
      <c r="W1747" s="21"/>
      <c r="X1747" s="21"/>
    </row>
    <row r="1748" spans="1:24" ht="15.75" thickBot="1" x14ac:dyDescent="0.3">
      <c r="A1748" t="str">
        <f t="shared" si="27"/>
        <v>MLD2127407INR00</v>
      </c>
      <c r="B1748" s="22" t="s">
        <v>7233</v>
      </c>
      <c r="C1748" s="22" t="s">
        <v>7234</v>
      </c>
      <c r="D1748" s="22" t="s">
        <v>7235</v>
      </c>
      <c r="E1748" s="21"/>
      <c r="F1748" s="22" t="s">
        <v>7236</v>
      </c>
      <c r="G1748" s="28" t="s">
        <v>2012</v>
      </c>
      <c r="H1748" s="22" t="s">
        <v>2013</v>
      </c>
      <c r="I1748" s="21"/>
      <c r="J1748" s="22" t="s">
        <v>494</v>
      </c>
      <c r="K1748" s="22" t="s">
        <v>262</v>
      </c>
      <c r="L1748" s="21"/>
      <c r="M1748" s="22" t="s">
        <v>2034</v>
      </c>
      <c r="N1748" s="28" t="s">
        <v>2015</v>
      </c>
      <c r="O1748" s="28" t="s">
        <v>2016</v>
      </c>
      <c r="P1748" s="29">
        <v>815</v>
      </c>
      <c r="Q1748" s="28" t="s">
        <v>2017</v>
      </c>
      <c r="R1748" s="21"/>
      <c r="S1748" s="21"/>
      <c r="T1748" s="21"/>
      <c r="U1748" s="21"/>
      <c r="V1748" s="21"/>
      <c r="W1748" s="21"/>
      <c r="X1748" s="21"/>
    </row>
    <row r="1749" spans="1:24" ht="15.75" thickBot="1" x14ac:dyDescent="0.3">
      <c r="A1749" t="str">
        <f t="shared" si="27"/>
        <v>MLD2127407PC00</v>
      </c>
      <c r="B1749" s="22" t="s">
        <v>7237</v>
      </c>
      <c r="C1749" s="22" t="s">
        <v>7234</v>
      </c>
      <c r="D1749" s="22" t="s">
        <v>7238</v>
      </c>
      <c r="E1749" s="21"/>
      <c r="F1749" s="22" t="s">
        <v>7239</v>
      </c>
      <c r="G1749" s="28" t="s">
        <v>2012</v>
      </c>
      <c r="H1749" s="22" t="s">
        <v>2013</v>
      </c>
      <c r="I1749" s="21"/>
      <c r="J1749" s="22" t="s">
        <v>494</v>
      </c>
      <c r="K1749" s="22" t="s">
        <v>262</v>
      </c>
      <c r="L1749" s="21"/>
      <c r="M1749" s="22" t="s">
        <v>2034</v>
      </c>
      <c r="N1749" s="28" t="s">
        <v>2015</v>
      </c>
      <c r="O1749" s="28" t="s">
        <v>2016</v>
      </c>
      <c r="P1749" s="29">
        <v>807</v>
      </c>
      <c r="Q1749" s="28" t="s">
        <v>2017</v>
      </c>
      <c r="R1749" s="21"/>
      <c r="S1749" s="21"/>
      <c r="T1749" s="21"/>
      <c r="U1749" s="21"/>
      <c r="V1749" s="21"/>
      <c r="W1749" s="21"/>
      <c r="X1749" s="21"/>
    </row>
    <row r="1750" spans="1:24" ht="15.75" thickBot="1" x14ac:dyDescent="0.3">
      <c r="A1750" t="str">
        <f t="shared" si="27"/>
        <v>MLD2127407SUB00</v>
      </c>
      <c r="B1750" s="22" t="s">
        <v>7240</v>
      </c>
      <c r="C1750" s="22" t="s">
        <v>7241</v>
      </c>
      <c r="D1750" s="22" t="s">
        <v>7242</v>
      </c>
      <c r="E1750" s="21"/>
      <c r="F1750" s="22" t="s">
        <v>7243</v>
      </c>
      <c r="G1750" s="28" t="s">
        <v>2012</v>
      </c>
      <c r="H1750" s="22" t="s">
        <v>2013</v>
      </c>
      <c r="I1750" s="21"/>
      <c r="J1750" s="22" t="s">
        <v>494</v>
      </c>
      <c r="K1750" s="22" t="s">
        <v>262</v>
      </c>
      <c r="L1750" s="21"/>
      <c r="M1750" s="22" t="s">
        <v>2034</v>
      </c>
      <c r="N1750" s="28" t="s">
        <v>2015</v>
      </c>
      <c r="O1750" s="28" t="s">
        <v>2016</v>
      </c>
      <c r="P1750" s="29">
        <v>166</v>
      </c>
      <c r="Q1750" s="28" t="s">
        <v>2017</v>
      </c>
      <c r="R1750" s="21"/>
      <c r="S1750" s="21"/>
      <c r="T1750" s="21"/>
      <c r="U1750" s="21"/>
      <c r="V1750" s="21"/>
      <c r="W1750" s="21"/>
      <c r="X1750" s="21"/>
    </row>
    <row r="1751" spans="1:24" ht="15.75" thickBot="1" x14ac:dyDescent="0.3">
      <c r="A1751" t="str">
        <f t="shared" si="27"/>
        <v>MLD2131003AB</v>
      </c>
      <c r="B1751" s="22" t="s">
        <v>7244</v>
      </c>
      <c r="C1751" s="22" t="s">
        <v>7245</v>
      </c>
      <c r="D1751" s="22" t="s">
        <v>6840</v>
      </c>
      <c r="E1751" s="21"/>
      <c r="F1751" s="22" t="s">
        <v>7246</v>
      </c>
      <c r="G1751" s="28" t="s">
        <v>2012</v>
      </c>
      <c r="H1751" s="22" t="s">
        <v>2013</v>
      </c>
      <c r="I1751" s="21"/>
      <c r="J1751" s="22" t="s">
        <v>494</v>
      </c>
      <c r="K1751" s="22" t="s">
        <v>262</v>
      </c>
      <c r="L1751" s="21"/>
      <c r="M1751" s="22" t="s">
        <v>2034</v>
      </c>
      <c r="N1751" s="28" t="s">
        <v>2015</v>
      </c>
      <c r="O1751" s="28" t="s">
        <v>2016</v>
      </c>
      <c r="P1751" s="29">
        <v>0</v>
      </c>
      <c r="Q1751" s="28" t="s">
        <v>2017</v>
      </c>
      <c r="R1751" s="21"/>
      <c r="S1751" s="21"/>
      <c r="T1751" s="21"/>
      <c r="U1751" s="21"/>
      <c r="V1751" s="21"/>
      <c r="W1751" s="21"/>
      <c r="X1751" s="21"/>
    </row>
    <row r="1752" spans="1:24" ht="15.75" thickBot="1" x14ac:dyDescent="0.3">
      <c r="A1752" t="str">
        <f t="shared" si="27"/>
        <v>MLD21519C39APIA02</v>
      </c>
      <c r="B1752" s="22" t="s">
        <v>7247</v>
      </c>
      <c r="C1752" s="22" t="s">
        <v>7248</v>
      </c>
      <c r="D1752" s="22" t="s">
        <v>7249</v>
      </c>
      <c r="E1752" s="22" t="s">
        <v>7250</v>
      </c>
      <c r="F1752" s="22" t="s">
        <v>7251</v>
      </c>
      <c r="G1752" s="28" t="s">
        <v>2012</v>
      </c>
      <c r="H1752" s="22" t="s">
        <v>2013</v>
      </c>
      <c r="I1752" s="21"/>
      <c r="J1752" s="22" t="s">
        <v>494</v>
      </c>
      <c r="K1752" s="22" t="s">
        <v>262</v>
      </c>
      <c r="L1752" s="21"/>
      <c r="M1752" s="22" t="s">
        <v>2034</v>
      </c>
      <c r="N1752" s="28" t="s">
        <v>2015</v>
      </c>
      <c r="O1752" s="28" t="s">
        <v>2016</v>
      </c>
      <c r="P1752" s="29">
        <v>3916</v>
      </c>
      <c r="Q1752" s="28" t="s">
        <v>2017</v>
      </c>
      <c r="R1752" s="21"/>
      <c r="S1752" s="21"/>
      <c r="T1752" s="21"/>
      <c r="U1752" s="21"/>
      <c r="V1752" s="21"/>
      <c r="W1752" s="21"/>
      <c r="X1752" s="21"/>
    </row>
    <row r="1753" spans="1:24" ht="15.75" thickBot="1" x14ac:dyDescent="0.3">
      <c r="A1753" t="str">
        <f t="shared" si="27"/>
        <v>MLD2613244AC</v>
      </c>
      <c r="B1753" s="22" t="s">
        <v>7252</v>
      </c>
      <c r="C1753" s="22" t="s">
        <v>7253</v>
      </c>
      <c r="D1753" s="22" t="s">
        <v>6749</v>
      </c>
      <c r="E1753" s="21"/>
      <c r="F1753" s="22" t="s">
        <v>6938</v>
      </c>
      <c r="G1753" s="28" t="s">
        <v>2012</v>
      </c>
      <c r="H1753" s="22" t="s">
        <v>2013</v>
      </c>
      <c r="I1753" s="21"/>
      <c r="J1753" s="22" t="s">
        <v>494</v>
      </c>
      <c r="K1753" s="22" t="s">
        <v>262</v>
      </c>
      <c r="L1753" s="21"/>
      <c r="M1753" s="22" t="s">
        <v>2034</v>
      </c>
      <c r="N1753" s="28" t="s">
        <v>2015</v>
      </c>
      <c r="O1753" s="28" t="s">
        <v>2016</v>
      </c>
      <c r="P1753" s="29">
        <v>36</v>
      </c>
      <c r="Q1753" s="28" t="s">
        <v>2017</v>
      </c>
      <c r="R1753" s="21"/>
      <c r="S1753" s="21"/>
      <c r="T1753" s="21"/>
      <c r="U1753" s="21"/>
      <c r="V1753" s="21"/>
      <c r="W1753" s="21"/>
      <c r="X1753" s="21"/>
    </row>
    <row r="1754" spans="1:24" ht="15.75" thickBot="1" x14ac:dyDescent="0.3">
      <c r="A1754" t="str">
        <f t="shared" si="27"/>
        <v>MLD2613245AC</v>
      </c>
      <c r="B1754" s="22" t="s">
        <v>7254</v>
      </c>
      <c r="C1754" s="22" t="s">
        <v>7255</v>
      </c>
      <c r="D1754" s="22" t="s">
        <v>6753</v>
      </c>
      <c r="E1754" s="21"/>
      <c r="F1754" s="22" t="s">
        <v>6938</v>
      </c>
      <c r="G1754" s="28" t="s">
        <v>2012</v>
      </c>
      <c r="H1754" s="22" t="s">
        <v>2013</v>
      </c>
      <c r="I1754" s="21"/>
      <c r="J1754" s="22" t="s">
        <v>494</v>
      </c>
      <c r="K1754" s="22" t="s">
        <v>262</v>
      </c>
      <c r="L1754" s="21"/>
      <c r="M1754" s="22" t="s">
        <v>2034</v>
      </c>
      <c r="N1754" s="28" t="s">
        <v>2015</v>
      </c>
      <c r="O1754" s="28" t="s">
        <v>2016</v>
      </c>
      <c r="P1754" s="29">
        <v>36</v>
      </c>
      <c r="Q1754" s="28" t="s">
        <v>2017</v>
      </c>
      <c r="R1754" s="21"/>
      <c r="S1754" s="21"/>
      <c r="T1754" s="21"/>
      <c r="U1754" s="21"/>
      <c r="V1754" s="21"/>
      <c r="W1754" s="21"/>
      <c r="X1754" s="21"/>
    </row>
    <row r="1755" spans="1:24" ht="15.75" thickBot="1" x14ac:dyDescent="0.3">
      <c r="A1755" t="str">
        <f t="shared" si="27"/>
        <v>MLD2616G040AD</v>
      </c>
      <c r="B1755" s="22" t="s">
        <v>816</v>
      </c>
      <c r="C1755" s="22" t="s">
        <v>7256</v>
      </c>
      <c r="D1755" s="22" t="s">
        <v>2209</v>
      </c>
      <c r="E1755" s="21"/>
      <c r="F1755" s="22" t="s">
        <v>2210</v>
      </c>
      <c r="G1755" s="28" t="s">
        <v>2012</v>
      </c>
      <c r="H1755" s="22" t="s">
        <v>2013</v>
      </c>
      <c r="I1755" s="21"/>
      <c r="J1755" s="22" t="s">
        <v>494</v>
      </c>
      <c r="K1755" s="22" t="s">
        <v>262</v>
      </c>
      <c r="L1755" s="21"/>
      <c r="M1755" s="22" t="s">
        <v>2034</v>
      </c>
      <c r="N1755" s="28" t="s">
        <v>2015</v>
      </c>
      <c r="O1755" s="28" t="s">
        <v>2016</v>
      </c>
      <c r="P1755" s="29">
        <v>0</v>
      </c>
      <c r="Q1755" s="28" t="s">
        <v>2017</v>
      </c>
      <c r="R1755" s="41">
        <v>0</v>
      </c>
      <c r="S1755" s="29">
        <v>17182</v>
      </c>
      <c r="T1755" s="32">
        <v>267.27555555555602</v>
      </c>
      <c r="U1755" s="32">
        <v>0</v>
      </c>
      <c r="V1755" s="41">
        <v>0</v>
      </c>
      <c r="W1755" s="21"/>
      <c r="X1755" s="21"/>
    </row>
    <row r="1756" spans="1:24" ht="15.75" thickBot="1" x14ac:dyDescent="0.3">
      <c r="A1756" t="str">
        <f t="shared" si="27"/>
        <v>MLD2616G041AC</v>
      </c>
      <c r="B1756" s="22" t="s">
        <v>817</v>
      </c>
      <c r="C1756" s="22" t="s">
        <v>7257</v>
      </c>
      <c r="D1756" s="22" t="s">
        <v>2212</v>
      </c>
      <c r="E1756" s="21"/>
      <c r="F1756" s="22" t="s">
        <v>2210</v>
      </c>
      <c r="G1756" s="28" t="s">
        <v>2012</v>
      </c>
      <c r="H1756" s="22" t="s">
        <v>2013</v>
      </c>
      <c r="I1756" s="21"/>
      <c r="J1756" s="22" t="s">
        <v>494</v>
      </c>
      <c r="K1756" s="22" t="s">
        <v>262</v>
      </c>
      <c r="L1756" s="21"/>
      <c r="M1756" s="22" t="s">
        <v>2034</v>
      </c>
      <c r="N1756" s="28" t="s">
        <v>2015</v>
      </c>
      <c r="O1756" s="28" t="s">
        <v>2016</v>
      </c>
      <c r="P1756" s="29">
        <v>0</v>
      </c>
      <c r="Q1756" s="28" t="s">
        <v>2017</v>
      </c>
      <c r="R1756" s="41">
        <v>0</v>
      </c>
      <c r="S1756" s="29">
        <v>17246</v>
      </c>
      <c r="T1756" s="32">
        <v>268.271111111111</v>
      </c>
      <c r="U1756" s="32">
        <v>0</v>
      </c>
      <c r="V1756" s="41">
        <v>0</v>
      </c>
      <c r="W1756" s="21"/>
      <c r="X1756" s="21"/>
    </row>
    <row r="1757" spans="1:24" ht="15.75" thickBot="1" x14ac:dyDescent="0.3">
      <c r="A1757" t="str">
        <f t="shared" si="27"/>
        <v>MLD2623942BOL00</v>
      </c>
      <c r="B1757" s="22" t="s">
        <v>7258</v>
      </c>
      <c r="C1757" s="22" t="s">
        <v>7259</v>
      </c>
      <c r="D1757" s="22" t="s">
        <v>7260</v>
      </c>
      <c r="E1757" s="21"/>
      <c r="F1757" s="22" t="s">
        <v>5512</v>
      </c>
      <c r="G1757" s="28" t="s">
        <v>2012</v>
      </c>
      <c r="H1757" s="22" t="s">
        <v>2013</v>
      </c>
      <c r="I1757" s="21"/>
      <c r="J1757" s="22" t="s">
        <v>494</v>
      </c>
      <c r="K1757" s="22" t="s">
        <v>262</v>
      </c>
      <c r="L1757" s="21"/>
      <c r="M1757" s="22" t="s">
        <v>2034</v>
      </c>
      <c r="N1757" s="28" t="s">
        <v>2015</v>
      </c>
      <c r="O1757" s="28" t="s">
        <v>2016</v>
      </c>
      <c r="P1757" s="29">
        <v>1393</v>
      </c>
      <c r="Q1757" s="28" t="s">
        <v>2017</v>
      </c>
      <c r="R1757" s="40">
        <v>12792.857142857099</v>
      </c>
      <c r="S1757" s="29">
        <v>7</v>
      </c>
      <c r="T1757" s="32">
        <v>0.108888888888</v>
      </c>
      <c r="U1757" s="32">
        <v>0</v>
      </c>
      <c r="V1757" s="40">
        <v>12792.857142857099</v>
      </c>
      <c r="W1757" s="30"/>
      <c r="X1757" s="30"/>
    </row>
    <row r="1758" spans="1:24" ht="15.75" thickBot="1" x14ac:dyDescent="0.3">
      <c r="A1758" t="str">
        <f t="shared" si="27"/>
        <v>MLD2623942GH00</v>
      </c>
      <c r="B1758" s="22" t="s">
        <v>7261</v>
      </c>
      <c r="C1758" s="22" t="s">
        <v>7259</v>
      </c>
      <c r="D1758" s="22" t="s">
        <v>7262</v>
      </c>
      <c r="E1758" s="21"/>
      <c r="F1758" s="22" t="s">
        <v>5130</v>
      </c>
      <c r="G1758" s="28" t="s">
        <v>2012</v>
      </c>
      <c r="H1758" s="22" t="s">
        <v>2013</v>
      </c>
      <c r="I1758" s="21"/>
      <c r="J1758" s="22" t="s">
        <v>494</v>
      </c>
      <c r="K1758" s="22" t="s">
        <v>262</v>
      </c>
      <c r="L1758" s="21"/>
      <c r="M1758" s="22" t="s">
        <v>2034</v>
      </c>
      <c r="N1758" s="28" t="s">
        <v>2015</v>
      </c>
      <c r="O1758" s="28" t="s">
        <v>2016</v>
      </c>
      <c r="P1758" s="29">
        <v>877</v>
      </c>
      <c r="Q1758" s="28" t="s">
        <v>2017</v>
      </c>
      <c r="R1758" s="40">
        <v>8054.0816326530603</v>
      </c>
      <c r="S1758" s="29">
        <v>7</v>
      </c>
      <c r="T1758" s="32">
        <v>0.108888888888</v>
      </c>
      <c r="U1758" s="32">
        <v>0</v>
      </c>
      <c r="V1758" s="40">
        <v>8054.0816326530603</v>
      </c>
      <c r="W1758" s="30"/>
      <c r="X1758" s="30"/>
    </row>
    <row r="1759" spans="1:24" ht="15.75" thickBot="1" x14ac:dyDescent="0.3">
      <c r="A1759" t="str">
        <f t="shared" si="27"/>
        <v>MLD2623942MAP00</v>
      </c>
      <c r="B1759" s="22" t="s">
        <v>7263</v>
      </c>
      <c r="C1759" s="22" t="s">
        <v>7259</v>
      </c>
      <c r="D1759" s="22" t="s">
        <v>7264</v>
      </c>
      <c r="E1759" s="21"/>
      <c r="F1759" s="22" t="s">
        <v>5502</v>
      </c>
      <c r="G1759" s="28" t="s">
        <v>2012</v>
      </c>
      <c r="H1759" s="22" t="s">
        <v>2013</v>
      </c>
      <c r="I1759" s="21"/>
      <c r="J1759" s="22" t="s">
        <v>494</v>
      </c>
      <c r="K1759" s="22" t="s">
        <v>262</v>
      </c>
      <c r="L1759" s="21"/>
      <c r="M1759" s="22" t="s">
        <v>2130</v>
      </c>
      <c r="N1759" s="28" t="s">
        <v>2015</v>
      </c>
      <c r="O1759" s="28" t="s">
        <v>2016</v>
      </c>
      <c r="P1759" s="29">
        <v>1858</v>
      </c>
      <c r="Q1759" s="28" t="s">
        <v>2017</v>
      </c>
      <c r="R1759" s="40">
        <v>17063.265306122401</v>
      </c>
      <c r="S1759" s="29">
        <v>7</v>
      </c>
      <c r="T1759" s="32">
        <v>0.108888888888</v>
      </c>
      <c r="U1759" s="32">
        <v>0</v>
      </c>
      <c r="V1759" s="40">
        <v>17063.265306122401</v>
      </c>
      <c r="W1759" s="30"/>
      <c r="X1759" s="30"/>
    </row>
    <row r="1760" spans="1:24" ht="15.75" thickBot="1" x14ac:dyDescent="0.3">
      <c r="A1760" t="str">
        <f t="shared" si="27"/>
        <v>MLD2623942SUB00</v>
      </c>
      <c r="B1760" s="22" t="s">
        <v>7265</v>
      </c>
      <c r="C1760" s="22" t="s">
        <v>7266</v>
      </c>
      <c r="D1760" s="22" t="s">
        <v>7267</v>
      </c>
      <c r="E1760" s="21"/>
      <c r="F1760" s="22" t="s">
        <v>6957</v>
      </c>
      <c r="G1760" s="28" t="s">
        <v>2012</v>
      </c>
      <c r="H1760" s="22" t="s">
        <v>2013</v>
      </c>
      <c r="I1760" s="21"/>
      <c r="J1760" s="22" t="s">
        <v>494</v>
      </c>
      <c r="K1760" s="22" t="s">
        <v>262</v>
      </c>
      <c r="L1760" s="21"/>
      <c r="M1760" s="22" t="s">
        <v>2034</v>
      </c>
      <c r="N1760" s="28" t="s">
        <v>2015</v>
      </c>
      <c r="O1760" s="28" t="s">
        <v>2016</v>
      </c>
      <c r="P1760" s="29">
        <v>179</v>
      </c>
      <c r="Q1760" s="28" t="s">
        <v>2017</v>
      </c>
      <c r="R1760" s="40">
        <v>1917.8571428571399</v>
      </c>
      <c r="S1760" s="29">
        <v>6</v>
      </c>
      <c r="T1760" s="32">
        <v>9.3333333332999993E-2</v>
      </c>
      <c r="U1760" s="32">
        <v>0</v>
      </c>
      <c r="V1760" s="40">
        <v>1917.8571428571399</v>
      </c>
      <c r="W1760" s="30"/>
      <c r="X1760" s="30"/>
    </row>
    <row r="1761" spans="1:24" ht="15.75" thickBot="1" x14ac:dyDescent="0.3">
      <c r="A1761" t="str">
        <f t="shared" si="27"/>
        <v>MLD2624396APIA02</v>
      </c>
      <c r="B1761" s="22" t="s">
        <v>7268</v>
      </c>
      <c r="C1761" s="22" t="s">
        <v>7269</v>
      </c>
      <c r="D1761" s="22" t="s">
        <v>7270</v>
      </c>
      <c r="E1761" s="21"/>
      <c r="F1761" s="22" t="s">
        <v>7271</v>
      </c>
      <c r="G1761" s="28" t="s">
        <v>2012</v>
      </c>
      <c r="H1761" s="22" t="s">
        <v>2013</v>
      </c>
      <c r="I1761" s="21"/>
      <c r="J1761" s="22" t="s">
        <v>494</v>
      </c>
      <c r="K1761" s="22" t="s">
        <v>262</v>
      </c>
      <c r="L1761" s="21"/>
      <c r="M1761" s="22" t="s">
        <v>2034</v>
      </c>
      <c r="N1761" s="28" t="s">
        <v>2015</v>
      </c>
      <c r="O1761" s="28" t="s">
        <v>2016</v>
      </c>
      <c r="P1761" s="29">
        <v>3222</v>
      </c>
      <c r="Q1761" s="28" t="s">
        <v>2017</v>
      </c>
      <c r="R1761" s="21"/>
      <c r="S1761" s="21"/>
      <c r="T1761" s="21"/>
      <c r="U1761" s="21"/>
      <c r="V1761" s="21"/>
      <c r="W1761" s="21"/>
      <c r="X1761" s="21"/>
    </row>
    <row r="1762" spans="1:24" ht="15.75" thickBot="1" x14ac:dyDescent="0.3">
      <c r="A1762" t="str">
        <f t="shared" si="27"/>
        <v>MLD2624397APIA02</v>
      </c>
      <c r="B1762" s="22" t="s">
        <v>7272</v>
      </c>
      <c r="C1762" s="22" t="s">
        <v>7273</v>
      </c>
      <c r="D1762" s="22" t="s">
        <v>7274</v>
      </c>
      <c r="E1762" s="21"/>
      <c r="F1762" s="22" t="s">
        <v>7275</v>
      </c>
      <c r="G1762" s="28" t="s">
        <v>2012</v>
      </c>
      <c r="H1762" s="22" t="s">
        <v>2013</v>
      </c>
      <c r="I1762" s="21"/>
      <c r="J1762" s="22" t="s">
        <v>494</v>
      </c>
      <c r="K1762" s="22" t="s">
        <v>262</v>
      </c>
      <c r="L1762" s="21"/>
      <c r="M1762" s="22" t="s">
        <v>2034</v>
      </c>
      <c r="N1762" s="28" t="s">
        <v>2015</v>
      </c>
      <c r="O1762" s="28" t="s">
        <v>2016</v>
      </c>
      <c r="P1762" s="29">
        <v>3426</v>
      </c>
      <c r="Q1762" s="28" t="s">
        <v>2017</v>
      </c>
      <c r="R1762" s="21"/>
      <c r="S1762" s="21"/>
      <c r="T1762" s="21"/>
      <c r="U1762" s="21"/>
      <c r="V1762" s="21"/>
      <c r="W1762" s="21"/>
      <c r="X1762" s="21"/>
    </row>
    <row r="1763" spans="1:24" ht="15.75" thickBot="1" x14ac:dyDescent="0.3">
      <c r="A1763" t="str">
        <f t="shared" si="27"/>
        <v>MLD2627406GH00</v>
      </c>
      <c r="B1763" s="22" t="s">
        <v>7276</v>
      </c>
      <c r="C1763" s="22" t="s">
        <v>7277</v>
      </c>
      <c r="D1763" s="22" t="s">
        <v>7278</v>
      </c>
      <c r="E1763" s="21"/>
      <c r="F1763" s="22" t="s">
        <v>7279</v>
      </c>
      <c r="G1763" s="28" t="s">
        <v>2012</v>
      </c>
      <c r="H1763" s="22" t="s">
        <v>2013</v>
      </c>
      <c r="I1763" s="21"/>
      <c r="J1763" s="22" t="s">
        <v>494</v>
      </c>
      <c r="K1763" s="22" t="s">
        <v>262</v>
      </c>
      <c r="L1763" s="21"/>
      <c r="M1763" s="22" t="s">
        <v>2034</v>
      </c>
      <c r="N1763" s="28" t="s">
        <v>2015</v>
      </c>
      <c r="O1763" s="28" t="s">
        <v>2016</v>
      </c>
      <c r="P1763" s="29">
        <v>1307</v>
      </c>
      <c r="Q1763" s="28" t="s">
        <v>2017</v>
      </c>
      <c r="R1763" s="40">
        <v>28007.142857142899</v>
      </c>
      <c r="S1763" s="29">
        <v>3</v>
      </c>
      <c r="T1763" s="32">
        <v>4.6666666666000001E-2</v>
      </c>
      <c r="U1763" s="32">
        <v>0</v>
      </c>
      <c r="V1763" s="40">
        <v>28007.142857142899</v>
      </c>
      <c r="W1763" s="30"/>
      <c r="X1763" s="30"/>
    </row>
    <row r="1764" spans="1:24" ht="15.75" thickBot="1" x14ac:dyDescent="0.3">
      <c r="A1764" t="str">
        <f t="shared" si="27"/>
        <v>MLD2627406MAP00</v>
      </c>
      <c r="B1764" s="22" t="s">
        <v>7280</v>
      </c>
      <c r="C1764" s="22" t="s">
        <v>7277</v>
      </c>
      <c r="D1764" s="22" t="s">
        <v>7281</v>
      </c>
      <c r="E1764" s="21"/>
      <c r="F1764" s="22" t="s">
        <v>7282</v>
      </c>
      <c r="G1764" s="28" t="s">
        <v>2012</v>
      </c>
      <c r="H1764" s="22" t="s">
        <v>2013</v>
      </c>
      <c r="I1764" s="21"/>
      <c r="J1764" s="22" t="s">
        <v>494</v>
      </c>
      <c r="K1764" s="22" t="s">
        <v>262</v>
      </c>
      <c r="L1764" s="21"/>
      <c r="M1764" s="22" t="s">
        <v>2034</v>
      </c>
      <c r="N1764" s="28" t="s">
        <v>2015</v>
      </c>
      <c r="O1764" s="28" t="s">
        <v>2016</v>
      </c>
      <c r="P1764" s="29">
        <v>1070</v>
      </c>
      <c r="Q1764" s="28" t="s">
        <v>2017</v>
      </c>
      <c r="R1764" s="40">
        <v>22928.571428571398</v>
      </c>
      <c r="S1764" s="29">
        <v>3</v>
      </c>
      <c r="T1764" s="32">
        <v>4.6666666666000001E-2</v>
      </c>
      <c r="U1764" s="32">
        <v>0</v>
      </c>
      <c r="V1764" s="40">
        <v>22928.571428571398</v>
      </c>
      <c r="W1764" s="30"/>
      <c r="X1764" s="30"/>
    </row>
    <row r="1765" spans="1:24" ht="15.75" thickBot="1" x14ac:dyDescent="0.3">
      <c r="A1765" t="str">
        <f t="shared" si="27"/>
        <v>MLD2627406SUB00</v>
      </c>
      <c r="B1765" s="22" t="s">
        <v>7283</v>
      </c>
      <c r="C1765" s="22" t="s">
        <v>7277</v>
      </c>
      <c r="D1765" s="22" t="s">
        <v>7284</v>
      </c>
      <c r="E1765" s="21"/>
      <c r="F1765" s="22" t="s">
        <v>7285</v>
      </c>
      <c r="G1765" s="28" t="s">
        <v>2012</v>
      </c>
      <c r="H1765" s="22" t="s">
        <v>2013</v>
      </c>
      <c r="I1765" s="21"/>
      <c r="J1765" s="22" t="s">
        <v>494</v>
      </c>
      <c r="K1765" s="22" t="s">
        <v>262</v>
      </c>
      <c r="L1765" s="21"/>
      <c r="M1765" s="22" t="s">
        <v>2034</v>
      </c>
      <c r="N1765" s="28" t="s">
        <v>2015</v>
      </c>
      <c r="O1765" s="28" t="s">
        <v>2016</v>
      </c>
      <c r="P1765" s="29">
        <v>113</v>
      </c>
      <c r="Q1765" s="28" t="s">
        <v>2017</v>
      </c>
      <c r="R1765" s="40">
        <v>2421.4285714285702</v>
      </c>
      <c r="S1765" s="29">
        <v>3</v>
      </c>
      <c r="T1765" s="32">
        <v>4.6666666666000001E-2</v>
      </c>
      <c r="U1765" s="32">
        <v>0</v>
      </c>
      <c r="V1765" s="40">
        <v>2421.4285714285702</v>
      </c>
      <c r="W1765" s="30"/>
      <c r="X1765" s="30"/>
    </row>
    <row r="1766" spans="1:24" ht="15.75" thickBot="1" x14ac:dyDescent="0.3">
      <c r="A1766" t="str">
        <f t="shared" si="27"/>
        <v>MLD2627407GH00</v>
      </c>
      <c r="B1766" s="22" t="s">
        <v>7286</v>
      </c>
      <c r="C1766" s="22" t="s">
        <v>7287</v>
      </c>
      <c r="D1766" s="22" t="s">
        <v>7288</v>
      </c>
      <c r="E1766" s="21"/>
      <c r="F1766" s="22" t="s">
        <v>7279</v>
      </c>
      <c r="G1766" s="28" t="s">
        <v>2012</v>
      </c>
      <c r="H1766" s="22" t="s">
        <v>2013</v>
      </c>
      <c r="I1766" s="21"/>
      <c r="J1766" s="22" t="s">
        <v>494</v>
      </c>
      <c r="K1766" s="22" t="s">
        <v>262</v>
      </c>
      <c r="L1766" s="21"/>
      <c r="M1766" s="22" t="s">
        <v>2034</v>
      </c>
      <c r="N1766" s="28" t="s">
        <v>2015</v>
      </c>
      <c r="O1766" s="28" t="s">
        <v>2016</v>
      </c>
      <c r="P1766" s="29">
        <v>1439</v>
      </c>
      <c r="Q1766" s="28" t="s">
        <v>2017</v>
      </c>
      <c r="R1766" s="40">
        <v>11563.392857142901</v>
      </c>
      <c r="S1766" s="29">
        <v>8</v>
      </c>
      <c r="T1766" s="32">
        <v>0.124444444444</v>
      </c>
      <c r="U1766" s="32">
        <v>0</v>
      </c>
      <c r="V1766" s="40">
        <v>11563.392857142901</v>
      </c>
      <c r="W1766" s="30"/>
      <c r="X1766" s="30"/>
    </row>
    <row r="1767" spans="1:24" ht="15.75" thickBot="1" x14ac:dyDescent="0.3">
      <c r="A1767" t="str">
        <f t="shared" si="27"/>
        <v>MLD2627407MAP00</v>
      </c>
      <c r="B1767" s="22" t="s">
        <v>7289</v>
      </c>
      <c r="C1767" s="22" t="s">
        <v>7287</v>
      </c>
      <c r="D1767" s="22" t="s">
        <v>7290</v>
      </c>
      <c r="E1767" s="21"/>
      <c r="F1767" s="22" t="s">
        <v>7291</v>
      </c>
      <c r="G1767" s="28" t="s">
        <v>2012</v>
      </c>
      <c r="H1767" s="22" t="s">
        <v>2013</v>
      </c>
      <c r="I1767" s="21"/>
      <c r="J1767" s="22" t="s">
        <v>494</v>
      </c>
      <c r="K1767" s="22" t="s">
        <v>262</v>
      </c>
      <c r="L1767" s="21"/>
      <c r="M1767" s="22" t="s">
        <v>2034</v>
      </c>
      <c r="N1767" s="28" t="s">
        <v>2015</v>
      </c>
      <c r="O1767" s="28" t="s">
        <v>2016</v>
      </c>
      <c r="P1767" s="29">
        <v>1198</v>
      </c>
      <c r="Q1767" s="28" t="s">
        <v>2017</v>
      </c>
      <c r="R1767" s="40">
        <v>9626.7857142857192</v>
      </c>
      <c r="S1767" s="29">
        <v>8</v>
      </c>
      <c r="T1767" s="32">
        <v>0.124444444444</v>
      </c>
      <c r="U1767" s="32">
        <v>0</v>
      </c>
      <c r="V1767" s="40">
        <v>9626.7857142857192</v>
      </c>
      <c r="W1767" s="30"/>
      <c r="X1767" s="30"/>
    </row>
    <row r="1768" spans="1:24" ht="15.75" thickBot="1" x14ac:dyDescent="0.3">
      <c r="A1768" t="str">
        <f t="shared" si="27"/>
        <v>MLD2627407SUB00</v>
      </c>
      <c r="B1768" s="22" t="s">
        <v>7292</v>
      </c>
      <c r="C1768" s="22" t="s">
        <v>7287</v>
      </c>
      <c r="D1768" s="22" t="s">
        <v>7293</v>
      </c>
      <c r="E1768" s="21"/>
      <c r="F1768" s="22" t="s">
        <v>7019</v>
      </c>
      <c r="G1768" s="28" t="s">
        <v>2012</v>
      </c>
      <c r="H1768" s="22" t="s">
        <v>2013</v>
      </c>
      <c r="I1768" s="21"/>
      <c r="J1768" s="22" t="s">
        <v>494</v>
      </c>
      <c r="K1768" s="22" t="s">
        <v>262</v>
      </c>
      <c r="L1768" s="21"/>
      <c r="M1768" s="22" t="s">
        <v>2034</v>
      </c>
      <c r="N1768" s="28" t="s">
        <v>2015</v>
      </c>
      <c r="O1768" s="28" t="s">
        <v>2016</v>
      </c>
      <c r="P1768" s="29">
        <v>395</v>
      </c>
      <c r="Q1768" s="28" t="s">
        <v>2017</v>
      </c>
      <c r="R1768" s="40">
        <v>3174.1071428571399</v>
      </c>
      <c r="S1768" s="29">
        <v>8</v>
      </c>
      <c r="T1768" s="32">
        <v>0.124444444444</v>
      </c>
      <c r="U1768" s="32">
        <v>0</v>
      </c>
      <c r="V1768" s="40">
        <v>3174.1071428571399</v>
      </c>
      <c r="W1768" s="30"/>
      <c r="X1768" s="30"/>
    </row>
    <row r="1769" spans="1:24" ht="15.75" thickBot="1" x14ac:dyDescent="0.3">
      <c r="A1769" t="str">
        <f t="shared" si="27"/>
        <v>MLD2631002AB</v>
      </c>
      <c r="B1769" s="22" t="s">
        <v>7294</v>
      </c>
      <c r="C1769" s="22" t="s">
        <v>7295</v>
      </c>
      <c r="D1769" s="22" t="s">
        <v>6834</v>
      </c>
      <c r="E1769" s="21"/>
      <c r="F1769" s="22" t="s">
        <v>7040</v>
      </c>
      <c r="G1769" s="28" t="s">
        <v>2012</v>
      </c>
      <c r="H1769" s="22" t="s">
        <v>2013</v>
      </c>
      <c r="I1769" s="21"/>
      <c r="J1769" s="22" t="s">
        <v>494</v>
      </c>
      <c r="K1769" s="22" t="s">
        <v>262</v>
      </c>
      <c r="L1769" s="21"/>
      <c r="M1769" s="22" t="s">
        <v>2034</v>
      </c>
      <c r="N1769" s="28" t="s">
        <v>2015</v>
      </c>
      <c r="O1769" s="28" t="s">
        <v>2016</v>
      </c>
      <c r="P1769" s="29">
        <v>0</v>
      </c>
      <c r="Q1769" s="28" t="s">
        <v>2017</v>
      </c>
      <c r="R1769" s="21"/>
      <c r="S1769" s="21"/>
      <c r="T1769" s="21"/>
      <c r="U1769" s="21"/>
      <c r="V1769" s="21"/>
      <c r="W1769" s="21"/>
      <c r="X1769" s="21"/>
    </row>
    <row r="1770" spans="1:24" ht="15.75" thickBot="1" x14ac:dyDescent="0.3">
      <c r="A1770" t="str">
        <f t="shared" si="27"/>
        <v>MLD2631003AB</v>
      </c>
      <c r="B1770" s="22" t="s">
        <v>7296</v>
      </c>
      <c r="C1770" s="22" t="s">
        <v>7297</v>
      </c>
      <c r="D1770" s="22" t="s">
        <v>6840</v>
      </c>
      <c r="E1770" s="21"/>
      <c r="F1770" s="22" t="s">
        <v>7040</v>
      </c>
      <c r="G1770" s="28" t="s">
        <v>2012</v>
      </c>
      <c r="H1770" s="22" t="s">
        <v>2013</v>
      </c>
      <c r="I1770" s="21"/>
      <c r="J1770" s="22" t="s">
        <v>494</v>
      </c>
      <c r="K1770" s="22" t="s">
        <v>262</v>
      </c>
      <c r="L1770" s="21"/>
      <c r="M1770" s="22" t="s">
        <v>2034</v>
      </c>
      <c r="N1770" s="28" t="s">
        <v>2015</v>
      </c>
      <c r="O1770" s="28" t="s">
        <v>2016</v>
      </c>
      <c r="P1770" s="29">
        <v>12</v>
      </c>
      <c r="Q1770" s="28" t="s">
        <v>2017</v>
      </c>
      <c r="R1770" s="21"/>
      <c r="S1770" s="21"/>
      <c r="T1770" s="21"/>
      <c r="U1770" s="21"/>
      <c r="V1770" s="21"/>
      <c r="W1770" s="21"/>
      <c r="X1770" s="21"/>
    </row>
    <row r="1771" spans="1:24" ht="15.75" thickBot="1" x14ac:dyDescent="0.3">
      <c r="A1771" t="str">
        <f t="shared" si="27"/>
        <v>MLD2631006AD</v>
      </c>
      <c r="B1771" s="22" t="s">
        <v>7298</v>
      </c>
      <c r="C1771" s="22" t="s">
        <v>7299</v>
      </c>
      <c r="D1771" s="22" t="s">
        <v>6845</v>
      </c>
      <c r="E1771" s="21"/>
      <c r="F1771" s="22" t="s">
        <v>6938</v>
      </c>
      <c r="G1771" s="28" t="s">
        <v>2012</v>
      </c>
      <c r="H1771" s="22" t="s">
        <v>2013</v>
      </c>
      <c r="I1771" s="21"/>
      <c r="J1771" s="22" t="s">
        <v>494</v>
      </c>
      <c r="K1771" s="22" t="s">
        <v>262</v>
      </c>
      <c r="L1771" s="21"/>
      <c r="M1771" s="22" t="s">
        <v>2034</v>
      </c>
      <c r="N1771" s="28" t="s">
        <v>2015</v>
      </c>
      <c r="O1771" s="28" t="s">
        <v>2016</v>
      </c>
      <c r="P1771" s="29">
        <v>36</v>
      </c>
      <c r="Q1771" s="28" t="s">
        <v>2017</v>
      </c>
      <c r="R1771" s="21"/>
      <c r="S1771" s="21"/>
      <c r="T1771" s="21"/>
      <c r="U1771" s="21"/>
      <c r="V1771" s="21"/>
      <c r="W1771" s="21"/>
      <c r="X1771" s="21"/>
    </row>
    <row r="1772" spans="1:24" ht="15.75" thickBot="1" x14ac:dyDescent="0.3">
      <c r="A1772" t="str">
        <f t="shared" si="27"/>
        <v>MLD2631007AD</v>
      </c>
      <c r="B1772" s="22" t="s">
        <v>7300</v>
      </c>
      <c r="C1772" s="22" t="s">
        <v>7301</v>
      </c>
      <c r="D1772" s="22" t="s">
        <v>6851</v>
      </c>
      <c r="E1772" s="21"/>
      <c r="F1772" s="22" t="s">
        <v>6938</v>
      </c>
      <c r="G1772" s="28" t="s">
        <v>2012</v>
      </c>
      <c r="H1772" s="22" t="s">
        <v>2013</v>
      </c>
      <c r="I1772" s="21"/>
      <c r="J1772" s="22" t="s">
        <v>494</v>
      </c>
      <c r="K1772" s="22" t="s">
        <v>262</v>
      </c>
      <c r="L1772" s="21"/>
      <c r="M1772" s="22" t="s">
        <v>2034</v>
      </c>
      <c r="N1772" s="28" t="s">
        <v>2015</v>
      </c>
      <c r="O1772" s="28" t="s">
        <v>2016</v>
      </c>
      <c r="P1772" s="29">
        <v>36</v>
      </c>
      <c r="Q1772" s="28" t="s">
        <v>2017</v>
      </c>
      <c r="R1772" s="21"/>
      <c r="S1772" s="21"/>
      <c r="T1772" s="21"/>
      <c r="U1772" s="21"/>
      <c r="V1772" s="21"/>
      <c r="W1772" s="21"/>
      <c r="X1772" s="21"/>
    </row>
    <row r="1773" spans="1:24" ht="15.75" thickBot="1" x14ac:dyDescent="0.3">
      <c r="A1773" t="str">
        <f t="shared" si="27"/>
        <v>MLD56030001AB</v>
      </c>
      <c r="B1773" s="22" t="s">
        <v>399</v>
      </c>
      <c r="C1773" s="22" t="s">
        <v>7302</v>
      </c>
      <c r="D1773" s="22" t="s">
        <v>7303</v>
      </c>
      <c r="E1773" s="22" t="s">
        <v>2009</v>
      </c>
      <c r="F1773" s="22" t="s">
        <v>2011</v>
      </c>
      <c r="G1773" s="28" t="s">
        <v>2012</v>
      </c>
      <c r="H1773" s="22" t="s">
        <v>7304</v>
      </c>
      <c r="I1773" s="21"/>
      <c r="J1773" s="22" t="s">
        <v>394</v>
      </c>
      <c r="K1773" s="22" t="s">
        <v>262</v>
      </c>
      <c r="L1773" s="21"/>
      <c r="M1773" s="22" t="s">
        <v>2014</v>
      </c>
      <c r="N1773" s="28" t="s">
        <v>2015</v>
      </c>
      <c r="O1773" s="28" t="s">
        <v>2016</v>
      </c>
      <c r="P1773" s="29">
        <v>14</v>
      </c>
      <c r="Q1773" s="28" t="s">
        <v>2017</v>
      </c>
      <c r="R1773" s="41">
        <v>0.34246575342399999</v>
      </c>
      <c r="S1773" s="29">
        <v>2628</v>
      </c>
      <c r="T1773" s="32">
        <v>40.880000000000003</v>
      </c>
      <c r="U1773" s="32">
        <v>0</v>
      </c>
      <c r="V1773" s="41">
        <v>0.34246575342399999</v>
      </c>
      <c r="W1773" s="21"/>
      <c r="X1773" s="21"/>
    </row>
    <row r="1774" spans="1:24" ht="15.75" thickBot="1" x14ac:dyDescent="0.3">
      <c r="A1774" t="str">
        <f t="shared" si="27"/>
        <v>MLD68443493AA</v>
      </c>
      <c r="B1774" s="22" t="s">
        <v>7305</v>
      </c>
      <c r="C1774" s="22" t="s">
        <v>7306</v>
      </c>
      <c r="D1774" s="22" t="s">
        <v>7307</v>
      </c>
      <c r="E1774" s="21"/>
      <c r="F1774" s="22" t="s">
        <v>5255</v>
      </c>
      <c r="G1774" s="28" t="s">
        <v>2012</v>
      </c>
      <c r="H1774" s="22" t="s">
        <v>2013</v>
      </c>
      <c r="I1774" s="21"/>
      <c r="J1774" s="22" t="s">
        <v>394</v>
      </c>
      <c r="K1774" s="22" t="s">
        <v>262</v>
      </c>
      <c r="L1774" s="21"/>
      <c r="M1774" s="22" t="s">
        <v>2034</v>
      </c>
      <c r="N1774" s="28" t="s">
        <v>2015</v>
      </c>
      <c r="O1774" s="28" t="s">
        <v>2016</v>
      </c>
      <c r="P1774" s="29">
        <v>0</v>
      </c>
      <c r="Q1774" s="28" t="s">
        <v>2017</v>
      </c>
      <c r="R1774" s="21"/>
      <c r="S1774" s="21"/>
      <c r="T1774" s="21"/>
      <c r="U1774" s="21"/>
      <c r="V1774" s="21"/>
      <c r="W1774" s="21"/>
      <c r="X1774" s="21"/>
    </row>
    <row r="1775" spans="1:24" ht="15.75" thickBot="1" x14ac:dyDescent="0.3">
      <c r="A1775" t="str">
        <f t="shared" si="27"/>
        <v>MLD68451018AA</v>
      </c>
      <c r="B1775" s="22" t="s">
        <v>914</v>
      </c>
      <c r="C1775" s="22" t="s">
        <v>7308</v>
      </c>
      <c r="D1775" s="22" t="s">
        <v>7309</v>
      </c>
      <c r="E1775" s="21"/>
      <c r="F1775" s="22" t="s">
        <v>7310</v>
      </c>
      <c r="G1775" s="28" t="s">
        <v>2012</v>
      </c>
      <c r="H1775" s="22" t="s">
        <v>2013</v>
      </c>
      <c r="I1775" s="21"/>
      <c r="J1775" s="22" t="s">
        <v>394</v>
      </c>
      <c r="K1775" s="22" t="s">
        <v>262</v>
      </c>
      <c r="L1775" s="21"/>
      <c r="M1775" s="22" t="s">
        <v>2034</v>
      </c>
      <c r="N1775" s="28" t="s">
        <v>2015</v>
      </c>
      <c r="O1775" s="28" t="s">
        <v>2016</v>
      </c>
      <c r="P1775" s="29">
        <v>0</v>
      </c>
      <c r="Q1775" s="28" t="s">
        <v>2017</v>
      </c>
      <c r="R1775" s="41">
        <v>0</v>
      </c>
      <c r="S1775" s="29">
        <v>4680</v>
      </c>
      <c r="T1775" s="32">
        <v>72.8</v>
      </c>
      <c r="U1775" s="32">
        <v>0</v>
      </c>
      <c r="V1775" s="41">
        <v>0</v>
      </c>
      <c r="W1775" s="21"/>
      <c r="X1775" s="21"/>
    </row>
    <row r="1776" spans="1:24" ht="15.75" thickBot="1" x14ac:dyDescent="0.3">
      <c r="A1776" t="str">
        <f t="shared" si="27"/>
        <v>MLD68566341AA</v>
      </c>
      <c r="B1776" s="22" t="s">
        <v>916</v>
      </c>
      <c r="C1776" s="22" t="s">
        <v>7311</v>
      </c>
      <c r="D1776" s="22" t="s">
        <v>7312</v>
      </c>
      <c r="E1776" s="21"/>
      <c r="F1776" s="22" t="s">
        <v>2011</v>
      </c>
      <c r="G1776" s="28" t="s">
        <v>2012</v>
      </c>
      <c r="H1776" s="22" t="s">
        <v>2013</v>
      </c>
      <c r="I1776" s="21"/>
      <c r="J1776" s="22" t="s">
        <v>394</v>
      </c>
      <c r="K1776" s="22" t="s">
        <v>262</v>
      </c>
      <c r="L1776" s="21"/>
      <c r="M1776" s="22" t="s">
        <v>2034</v>
      </c>
      <c r="N1776" s="28" t="s">
        <v>2015</v>
      </c>
      <c r="O1776" s="28" t="s">
        <v>2016</v>
      </c>
      <c r="P1776" s="29">
        <v>0</v>
      </c>
      <c r="Q1776" s="28" t="s">
        <v>2017</v>
      </c>
      <c r="R1776" s="41">
        <v>0</v>
      </c>
      <c r="S1776" s="29">
        <v>95928</v>
      </c>
      <c r="T1776" s="32">
        <v>1492.21333333333</v>
      </c>
      <c r="U1776" s="32">
        <v>0</v>
      </c>
      <c r="V1776" s="41">
        <v>0</v>
      </c>
      <c r="W1776" s="21"/>
      <c r="X1776" s="21"/>
    </row>
    <row r="1777" spans="1:24" ht="15.75" thickBot="1" x14ac:dyDescent="0.3">
      <c r="A1777" t="str">
        <f t="shared" si="27"/>
        <v>MLD85154942</v>
      </c>
      <c r="B1777" s="22" t="s">
        <v>7313</v>
      </c>
      <c r="C1777" s="22" t="s">
        <v>7314</v>
      </c>
      <c r="D1777" s="22" t="s">
        <v>7315</v>
      </c>
      <c r="E1777" s="21"/>
      <c r="F1777" s="22" t="s">
        <v>7316</v>
      </c>
      <c r="G1777" s="28" t="s">
        <v>2012</v>
      </c>
      <c r="H1777" s="22" t="s">
        <v>2013</v>
      </c>
      <c r="I1777" s="21"/>
      <c r="J1777" s="22" t="s">
        <v>404</v>
      </c>
      <c r="K1777" s="22" t="s">
        <v>262</v>
      </c>
      <c r="L1777" s="21"/>
      <c r="M1777" s="22" t="s">
        <v>2034</v>
      </c>
      <c r="N1777" s="28" t="s">
        <v>2015</v>
      </c>
      <c r="O1777" s="28" t="s">
        <v>2016</v>
      </c>
      <c r="P1777" s="29">
        <v>0</v>
      </c>
      <c r="Q1777" s="28" t="s">
        <v>2017</v>
      </c>
      <c r="R1777" s="21"/>
      <c r="S1777" s="21"/>
      <c r="T1777" s="21"/>
      <c r="U1777" s="21"/>
      <c r="V1777" s="21"/>
      <c r="W1777" s="21"/>
      <c r="X1777" s="21"/>
    </row>
    <row r="1778" spans="1:24" ht="15.75" thickBot="1" x14ac:dyDescent="0.3">
      <c r="A1778" t="str">
        <f t="shared" si="27"/>
        <v>MLD85154943</v>
      </c>
      <c r="B1778" s="22" t="s">
        <v>7317</v>
      </c>
      <c r="C1778" s="22" t="s">
        <v>7318</v>
      </c>
      <c r="D1778" s="22" t="s">
        <v>7319</v>
      </c>
      <c r="E1778" s="21"/>
      <c r="F1778" s="22" t="s">
        <v>7316</v>
      </c>
      <c r="G1778" s="28" t="s">
        <v>2012</v>
      </c>
      <c r="H1778" s="22" t="s">
        <v>2013</v>
      </c>
      <c r="I1778" s="21"/>
      <c r="J1778" s="22" t="s">
        <v>404</v>
      </c>
      <c r="K1778" s="22" t="s">
        <v>262</v>
      </c>
      <c r="L1778" s="21"/>
      <c r="M1778" s="22" t="s">
        <v>2034</v>
      </c>
      <c r="N1778" s="28" t="s">
        <v>2015</v>
      </c>
      <c r="O1778" s="28" t="s">
        <v>2016</v>
      </c>
      <c r="P1778" s="29">
        <v>0</v>
      </c>
      <c r="Q1778" s="28" t="s">
        <v>2017</v>
      </c>
      <c r="R1778" s="21"/>
      <c r="S1778" s="21"/>
      <c r="T1778" s="21"/>
      <c r="U1778" s="21"/>
      <c r="V1778" s="21"/>
      <c r="W1778" s="21"/>
      <c r="X1778" s="21"/>
    </row>
    <row r="1779" spans="1:24" ht="15.75" thickBot="1" x14ac:dyDescent="0.3">
      <c r="A1779" t="str">
        <f t="shared" si="27"/>
        <v>MLD8C291C</v>
      </c>
      <c r="B1779" s="22" t="s">
        <v>554</v>
      </c>
      <c r="C1779" s="22" t="s">
        <v>7320</v>
      </c>
      <c r="D1779" s="22" t="s">
        <v>7321</v>
      </c>
      <c r="E1779" s="22" t="s">
        <v>2290</v>
      </c>
      <c r="F1779" s="22" t="s">
        <v>7322</v>
      </c>
      <c r="G1779" s="28" t="s">
        <v>2012</v>
      </c>
      <c r="H1779" s="22" t="s">
        <v>2013</v>
      </c>
      <c r="I1779" s="21"/>
      <c r="J1779" s="22" t="s">
        <v>261</v>
      </c>
      <c r="K1779" s="22" t="s">
        <v>262</v>
      </c>
      <c r="L1779" s="21"/>
      <c r="M1779" s="22" t="s">
        <v>2034</v>
      </c>
      <c r="N1779" s="28" t="s">
        <v>2015</v>
      </c>
      <c r="O1779" s="28" t="s">
        <v>2016</v>
      </c>
      <c r="P1779" s="29">
        <v>83</v>
      </c>
      <c r="Q1779" s="28" t="s">
        <v>2017</v>
      </c>
      <c r="R1779" s="41">
        <v>0.30649171610699999</v>
      </c>
      <c r="S1779" s="29">
        <v>17409</v>
      </c>
      <c r="T1779" s="32">
        <v>270.80666666666701</v>
      </c>
      <c r="U1779" s="32">
        <v>0</v>
      </c>
      <c r="V1779" s="41">
        <v>0.30649171610699999</v>
      </c>
      <c r="W1779" s="21"/>
      <c r="X1779" s="21"/>
    </row>
    <row r="1780" spans="1:24" ht="15.75" thickBot="1" x14ac:dyDescent="0.3">
      <c r="A1780" t="str">
        <f t="shared" si="27"/>
        <v>MLDBEE00330</v>
      </c>
      <c r="B1780" s="22" t="s">
        <v>793</v>
      </c>
      <c r="C1780" s="22" t="s">
        <v>7323</v>
      </c>
      <c r="D1780" s="22" t="s">
        <v>7324</v>
      </c>
      <c r="E1780" s="21"/>
      <c r="F1780" s="22" t="s">
        <v>7325</v>
      </c>
      <c r="G1780" s="28" t="s">
        <v>2012</v>
      </c>
      <c r="H1780" s="22" t="s">
        <v>2013</v>
      </c>
      <c r="I1780" s="21"/>
      <c r="J1780" s="22" t="s">
        <v>404</v>
      </c>
      <c r="K1780" s="22" t="s">
        <v>262</v>
      </c>
      <c r="L1780" s="21"/>
      <c r="M1780" s="22" t="s">
        <v>2034</v>
      </c>
      <c r="N1780" s="28" t="s">
        <v>2015</v>
      </c>
      <c r="O1780" s="28" t="s">
        <v>2016</v>
      </c>
      <c r="P1780" s="29">
        <v>0</v>
      </c>
      <c r="Q1780" s="28" t="s">
        <v>2017</v>
      </c>
      <c r="R1780" s="41">
        <v>0</v>
      </c>
      <c r="S1780" s="29">
        <v>591</v>
      </c>
      <c r="T1780" s="32">
        <v>9.1933333333329994</v>
      </c>
      <c r="U1780" s="32">
        <v>0</v>
      </c>
      <c r="V1780" s="41">
        <v>0</v>
      </c>
      <c r="W1780" s="21"/>
      <c r="X1780" s="21"/>
    </row>
    <row r="1781" spans="1:24" ht="15.75" thickBot="1" x14ac:dyDescent="0.3">
      <c r="A1781" t="str">
        <f t="shared" si="27"/>
        <v>MLDBEE17808</v>
      </c>
      <c r="B1781" s="22" t="s">
        <v>651</v>
      </c>
      <c r="C1781" s="22" t="s">
        <v>7326</v>
      </c>
      <c r="D1781" s="22" t="s">
        <v>7327</v>
      </c>
      <c r="E1781" s="22" t="s">
        <v>2301</v>
      </c>
      <c r="F1781" s="22" t="s">
        <v>2305</v>
      </c>
      <c r="G1781" s="28" t="s">
        <v>2012</v>
      </c>
      <c r="H1781" s="22" t="s">
        <v>2013</v>
      </c>
      <c r="I1781" s="21"/>
      <c r="J1781" s="22" t="s">
        <v>404</v>
      </c>
      <c r="K1781" s="22" t="s">
        <v>262</v>
      </c>
      <c r="L1781" s="21"/>
      <c r="M1781" s="22" t="s">
        <v>2034</v>
      </c>
      <c r="N1781" s="28" t="s">
        <v>2015</v>
      </c>
      <c r="O1781" s="28" t="s">
        <v>2016</v>
      </c>
      <c r="P1781" s="29">
        <v>10</v>
      </c>
      <c r="Q1781" s="28" t="s">
        <v>2017</v>
      </c>
      <c r="R1781" s="41">
        <v>0.54525627044699998</v>
      </c>
      <c r="S1781" s="29">
        <v>1179</v>
      </c>
      <c r="T1781" s="32">
        <v>18.34</v>
      </c>
      <c r="U1781" s="32">
        <v>0</v>
      </c>
      <c r="V1781" s="41">
        <v>0.54525627044699998</v>
      </c>
      <c r="W1781" s="21"/>
      <c r="X1781" s="21"/>
    </row>
    <row r="1782" spans="1:24" ht="15.75" thickBot="1" x14ac:dyDescent="0.3">
      <c r="A1782" t="str">
        <f t="shared" si="27"/>
        <v>MLDBEE18154</v>
      </c>
      <c r="B1782" s="22" t="s">
        <v>800</v>
      </c>
      <c r="C1782" s="22" t="s">
        <v>7328</v>
      </c>
      <c r="D1782" s="22" t="s">
        <v>7329</v>
      </c>
      <c r="E1782" s="21"/>
      <c r="F1782" s="22" t="s">
        <v>7330</v>
      </c>
      <c r="G1782" s="28" t="s">
        <v>2012</v>
      </c>
      <c r="H1782" s="22" t="s">
        <v>2013</v>
      </c>
      <c r="I1782" s="21"/>
      <c r="J1782" s="22" t="s">
        <v>404</v>
      </c>
      <c r="K1782" s="22" t="s">
        <v>262</v>
      </c>
      <c r="L1782" s="21"/>
      <c r="M1782" s="22" t="s">
        <v>2034</v>
      </c>
      <c r="N1782" s="28" t="s">
        <v>2015</v>
      </c>
      <c r="O1782" s="28" t="s">
        <v>2016</v>
      </c>
      <c r="P1782" s="29">
        <v>0</v>
      </c>
      <c r="Q1782" s="28" t="s">
        <v>2017</v>
      </c>
      <c r="R1782" s="21"/>
      <c r="S1782" s="21"/>
      <c r="T1782" s="21"/>
      <c r="U1782" s="21"/>
      <c r="V1782" s="21"/>
      <c r="W1782" s="21"/>
      <c r="X1782" s="21"/>
    </row>
    <row r="1783" spans="1:24" ht="15.75" thickBot="1" x14ac:dyDescent="0.3">
      <c r="A1783" t="str">
        <f t="shared" si="27"/>
        <v>MLDBEE18158</v>
      </c>
      <c r="B1783" s="22" t="s">
        <v>802</v>
      </c>
      <c r="C1783" s="22" t="s">
        <v>7331</v>
      </c>
      <c r="D1783" s="22" t="s">
        <v>7332</v>
      </c>
      <c r="E1783" s="22" t="s">
        <v>7333</v>
      </c>
      <c r="F1783" s="22" t="s">
        <v>7330</v>
      </c>
      <c r="G1783" s="28" t="s">
        <v>2012</v>
      </c>
      <c r="H1783" s="22" t="s">
        <v>2013</v>
      </c>
      <c r="I1783" s="21"/>
      <c r="J1783" s="22" t="s">
        <v>404</v>
      </c>
      <c r="K1783" s="22" t="s">
        <v>262</v>
      </c>
      <c r="L1783" s="21"/>
      <c r="M1783" s="22" t="s">
        <v>2034</v>
      </c>
      <c r="N1783" s="28" t="s">
        <v>2015</v>
      </c>
      <c r="O1783" s="28" t="s">
        <v>2016</v>
      </c>
      <c r="P1783" s="29">
        <v>0</v>
      </c>
      <c r="Q1783" s="28" t="s">
        <v>2017</v>
      </c>
      <c r="R1783" s="21"/>
      <c r="S1783" s="21"/>
      <c r="T1783" s="21"/>
      <c r="U1783" s="21"/>
      <c r="V1783" s="21"/>
      <c r="W1783" s="21"/>
      <c r="X1783" s="21"/>
    </row>
    <row r="1784" spans="1:24" ht="15.75" thickBot="1" x14ac:dyDescent="0.3">
      <c r="A1784" t="str">
        <f t="shared" si="27"/>
        <v>MLDBEE32782</v>
      </c>
      <c r="B1784" s="22" t="s">
        <v>867</v>
      </c>
      <c r="C1784" s="22" t="s">
        <v>7334</v>
      </c>
      <c r="D1784" s="22" t="s">
        <v>7335</v>
      </c>
      <c r="E1784" s="21"/>
      <c r="F1784" s="22" t="s">
        <v>7336</v>
      </c>
      <c r="G1784" s="28" t="s">
        <v>2012</v>
      </c>
      <c r="H1784" s="22" t="s">
        <v>2013</v>
      </c>
      <c r="I1784" s="21"/>
      <c r="J1784" s="22" t="s">
        <v>404</v>
      </c>
      <c r="K1784" s="22" t="s">
        <v>262</v>
      </c>
      <c r="L1784" s="21"/>
      <c r="M1784" s="22" t="s">
        <v>2034</v>
      </c>
      <c r="N1784" s="28" t="s">
        <v>2015</v>
      </c>
      <c r="O1784" s="28" t="s">
        <v>2016</v>
      </c>
      <c r="P1784" s="29">
        <v>8</v>
      </c>
      <c r="Q1784" s="28" t="s">
        <v>2017</v>
      </c>
      <c r="R1784" s="41">
        <v>0.30305581277799998</v>
      </c>
      <c r="S1784" s="29">
        <v>1697</v>
      </c>
      <c r="T1784" s="32">
        <v>26.397777777777002</v>
      </c>
      <c r="U1784" s="32">
        <v>0</v>
      </c>
      <c r="V1784" s="41">
        <v>0.30305581277799998</v>
      </c>
      <c r="W1784" s="21"/>
      <c r="X1784" s="21"/>
    </row>
    <row r="1785" spans="1:24" ht="15.75" thickBot="1" x14ac:dyDescent="0.3">
      <c r="A1785" t="str">
        <f t="shared" si="27"/>
        <v>MLDBEE32784</v>
      </c>
      <c r="B1785" s="22" t="s">
        <v>869</v>
      </c>
      <c r="C1785" s="22" t="s">
        <v>7334</v>
      </c>
      <c r="D1785" s="22" t="s">
        <v>7337</v>
      </c>
      <c r="E1785" s="22" t="s">
        <v>2301</v>
      </c>
      <c r="F1785" s="22" t="s">
        <v>7336</v>
      </c>
      <c r="G1785" s="28" t="s">
        <v>2012</v>
      </c>
      <c r="H1785" s="22" t="s">
        <v>2013</v>
      </c>
      <c r="I1785" s="21"/>
      <c r="J1785" s="22" t="s">
        <v>404</v>
      </c>
      <c r="K1785" s="22" t="s">
        <v>262</v>
      </c>
      <c r="L1785" s="21"/>
      <c r="M1785" s="22" t="s">
        <v>2034</v>
      </c>
      <c r="N1785" s="28" t="s">
        <v>2015</v>
      </c>
      <c r="O1785" s="28" t="s">
        <v>2016</v>
      </c>
      <c r="P1785" s="29">
        <v>17</v>
      </c>
      <c r="Q1785" s="28" t="s">
        <v>2017</v>
      </c>
      <c r="R1785" s="41">
        <v>0.58130699088100002</v>
      </c>
      <c r="S1785" s="29">
        <v>1880</v>
      </c>
      <c r="T1785" s="32">
        <v>29.244444444443999</v>
      </c>
      <c r="U1785" s="32">
        <v>0</v>
      </c>
      <c r="V1785" s="41">
        <v>0.58130699088100002</v>
      </c>
      <c r="W1785" s="21"/>
      <c r="X1785" s="21"/>
    </row>
    <row r="1786" spans="1:24" ht="15.75" thickBot="1" x14ac:dyDescent="0.3">
      <c r="A1786" t="str">
        <f t="shared" si="27"/>
        <v>MLDBEE85201</v>
      </c>
      <c r="B1786" s="22" t="s">
        <v>795</v>
      </c>
      <c r="C1786" s="22" t="s">
        <v>7338</v>
      </c>
      <c r="D1786" s="22" t="s">
        <v>7339</v>
      </c>
      <c r="E1786" s="21"/>
      <c r="F1786" s="22" t="s">
        <v>7325</v>
      </c>
      <c r="G1786" s="28" t="s">
        <v>2012</v>
      </c>
      <c r="H1786" s="22" t="s">
        <v>2013</v>
      </c>
      <c r="I1786" s="21"/>
      <c r="J1786" s="22" t="s">
        <v>404</v>
      </c>
      <c r="K1786" s="22" t="s">
        <v>262</v>
      </c>
      <c r="L1786" s="21"/>
      <c r="M1786" s="22" t="s">
        <v>2034</v>
      </c>
      <c r="N1786" s="28" t="s">
        <v>2015</v>
      </c>
      <c r="O1786" s="28" t="s">
        <v>2016</v>
      </c>
      <c r="P1786" s="29">
        <v>0</v>
      </c>
      <c r="Q1786" s="28" t="s">
        <v>2017</v>
      </c>
      <c r="R1786" s="41">
        <v>0</v>
      </c>
      <c r="S1786" s="29">
        <v>522</v>
      </c>
      <c r="T1786" s="32">
        <v>8.1199999999999992</v>
      </c>
      <c r="U1786" s="32">
        <v>0</v>
      </c>
      <c r="V1786" s="41">
        <v>0</v>
      </c>
      <c r="W1786" s="21"/>
      <c r="X1786" s="21"/>
    </row>
    <row r="1787" spans="1:24" ht="15.75" thickBot="1" x14ac:dyDescent="0.3">
      <c r="A1787" t="str">
        <f t="shared" si="27"/>
        <v>MLDBEE86204</v>
      </c>
      <c r="B1787" s="22" t="s">
        <v>770</v>
      </c>
      <c r="C1787" s="22" t="s">
        <v>7340</v>
      </c>
      <c r="D1787" s="22" t="s">
        <v>7341</v>
      </c>
      <c r="E1787" s="21"/>
      <c r="F1787" s="22" t="s">
        <v>2318</v>
      </c>
      <c r="G1787" s="28" t="s">
        <v>2012</v>
      </c>
      <c r="H1787" s="22" t="s">
        <v>2013</v>
      </c>
      <c r="I1787" s="21"/>
      <c r="J1787" s="22" t="s">
        <v>404</v>
      </c>
      <c r="K1787" s="22" t="s">
        <v>262</v>
      </c>
      <c r="L1787" s="21"/>
      <c r="M1787" s="22" t="s">
        <v>2034</v>
      </c>
      <c r="N1787" s="28" t="s">
        <v>2015</v>
      </c>
      <c r="O1787" s="28" t="s">
        <v>2016</v>
      </c>
      <c r="P1787" s="29">
        <v>3</v>
      </c>
      <c r="Q1787" s="28" t="s">
        <v>2017</v>
      </c>
      <c r="R1787" s="41">
        <v>0.47855370436</v>
      </c>
      <c r="S1787" s="29">
        <v>403</v>
      </c>
      <c r="T1787" s="32">
        <v>6.2688888888880001</v>
      </c>
      <c r="U1787" s="32">
        <v>0</v>
      </c>
      <c r="V1787" s="41">
        <v>0.47855370436</v>
      </c>
      <c r="W1787" s="21"/>
      <c r="X1787" s="21"/>
    </row>
    <row r="1788" spans="1:24" ht="15.75" thickBot="1" x14ac:dyDescent="0.3">
      <c r="A1788" t="str">
        <f t="shared" si="27"/>
        <v>MLDBEE90860</v>
      </c>
      <c r="B1788" s="22" t="s">
        <v>659</v>
      </c>
      <c r="C1788" s="22" t="s">
        <v>7342</v>
      </c>
      <c r="D1788" s="22" t="s">
        <v>7343</v>
      </c>
      <c r="E1788" s="22" t="s">
        <v>7344</v>
      </c>
      <c r="F1788" s="22" t="s">
        <v>7345</v>
      </c>
      <c r="G1788" s="28" t="s">
        <v>2012</v>
      </c>
      <c r="H1788" s="22" t="s">
        <v>2013</v>
      </c>
      <c r="I1788" s="21"/>
      <c r="J1788" s="22" t="s">
        <v>404</v>
      </c>
      <c r="K1788" s="22" t="s">
        <v>262</v>
      </c>
      <c r="L1788" s="21"/>
      <c r="M1788" s="22" t="s">
        <v>2034</v>
      </c>
      <c r="N1788" s="28" t="s">
        <v>2015</v>
      </c>
      <c r="O1788" s="28" t="s">
        <v>2016</v>
      </c>
      <c r="P1788" s="29">
        <v>0</v>
      </c>
      <c r="Q1788" s="28" t="s">
        <v>2017</v>
      </c>
      <c r="R1788" s="41">
        <v>0</v>
      </c>
      <c r="S1788" s="29">
        <v>959</v>
      </c>
      <c r="T1788" s="32">
        <v>14.917777777776999</v>
      </c>
      <c r="U1788" s="32">
        <v>0</v>
      </c>
      <c r="V1788" s="41">
        <v>0</v>
      </c>
      <c r="W1788" s="21"/>
      <c r="X1788" s="21"/>
    </row>
    <row r="1789" spans="1:24" ht="15.75" thickBot="1" x14ac:dyDescent="0.3">
      <c r="A1789" t="str">
        <f t="shared" si="27"/>
        <v>MLDBEH03511</v>
      </c>
      <c r="B1789" s="22" t="s">
        <v>871</v>
      </c>
      <c r="C1789" s="22" t="s">
        <v>7331</v>
      </c>
      <c r="D1789" s="22" t="s">
        <v>4474</v>
      </c>
      <c r="E1789" s="21"/>
      <c r="F1789" s="22" t="s">
        <v>7346</v>
      </c>
      <c r="G1789" s="28" t="s">
        <v>2012</v>
      </c>
      <c r="H1789" s="22" t="s">
        <v>2013</v>
      </c>
      <c r="I1789" s="21"/>
      <c r="J1789" s="22" t="s">
        <v>404</v>
      </c>
      <c r="K1789" s="22" t="s">
        <v>262</v>
      </c>
      <c r="L1789" s="21"/>
      <c r="M1789" s="22" t="s">
        <v>2034</v>
      </c>
      <c r="N1789" s="28" t="s">
        <v>2015</v>
      </c>
      <c r="O1789" s="28" t="s">
        <v>2016</v>
      </c>
      <c r="P1789" s="29">
        <v>-770</v>
      </c>
      <c r="Q1789" s="28" t="s">
        <v>2017</v>
      </c>
      <c r="R1789" s="41">
        <v>-83.898305084745004</v>
      </c>
      <c r="S1789" s="29">
        <v>590</v>
      </c>
      <c r="T1789" s="32">
        <v>9.1777777777770009</v>
      </c>
      <c r="U1789" s="32">
        <v>0</v>
      </c>
      <c r="V1789" s="41">
        <v>0</v>
      </c>
      <c r="W1789" s="21"/>
      <c r="X1789" s="21"/>
    </row>
    <row r="1790" spans="1:24" ht="15.75" thickBot="1" x14ac:dyDescent="0.3">
      <c r="A1790" t="str">
        <f t="shared" si="27"/>
        <v>MLDBEH03514</v>
      </c>
      <c r="B1790" s="22" t="s">
        <v>872</v>
      </c>
      <c r="C1790" s="22" t="s">
        <v>7331</v>
      </c>
      <c r="D1790" s="22" t="s">
        <v>4258</v>
      </c>
      <c r="E1790" s="21"/>
      <c r="F1790" s="22" t="s">
        <v>7346</v>
      </c>
      <c r="G1790" s="28" t="s">
        <v>2012</v>
      </c>
      <c r="H1790" s="22" t="s">
        <v>2013</v>
      </c>
      <c r="I1790" s="21"/>
      <c r="J1790" s="22" t="s">
        <v>404</v>
      </c>
      <c r="K1790" s="22" t="s">
        <v>262</v>
      </c>
      <c r="L1790" s="21"/>
      <c r="M1790" s="22" t="s">
        <v>2034</v>
      </c>
      <c r="N1790" s="28" t="s">
        <v>2015</v>
      </c>
      <c r="O1790" s="28" t="s">
        <v>2016</v>
      </c>
      <c r="P1790" s="29">
        <v>-764</v>
      </c>
      <c r="Q1790" s="28" t="s">
        <v>2017</v>
      </c>
      <c r="R1790" s="41">
        <v>-68.309159546988994</v>
      </c>
      <c r="S1790" s="29">
        <v>719</v>
      </c>
      <c r="T1790" s="32">
        <v>11.184444444444001</v>
      </c>
      <c r="U1790" s="32">
        <v>0</v>
      </c>
      <c r="V1790" s="41">
        <v>0</v>
      </c>
      <c r="W1790" s="21"/>
      <c r="X1790" s="21"/>
    </row>
    <row r="1791" spans="1:24" ht="15.75" thickBot="1" x14ac:dyDescent="0.3">
      <c r="A1791" t="str">
        <f t="shared" si="27"/>
        <v>MLDBEI35635</v>
      </c>
      <c r="B1791" s="22" t="s">
        <v>7347</v>
      </c>
      <c r="C1791" s="22" t="s">
        <v>7334</v>
      </c>
      <c r="D1791" s="22" t="s">
        <v>7348</v>
      </c>
      <c r="E1791" s="21"/>
      <c r="F1791" s="22" t="s">
        <v>7349</v>
      </c>
      <c r="G1791" s="28" t="s">
        <v>2012</v>
      </c>
      <c r="H1791" s="22" t="s">
        <v>2013</v>
      </c>
      <c r="I1791" s="21"/>
      <c r="J1791" s="22" t="s">
        <v>404</v>
      </c>
      <c r="K1791" s="22" t="s">
        <v>262</v>
      </c>
      <c r="L1791" s="21"/>
      <c r="M1791" s="22" t="s">
        <v>2034</v>
      </c>
      <c r="N1791" s="28" t="s">
        <v>2015</v>
      </c>
      <c r="O1791" s="28" t="s">
        <v>2016</v>
      </c>
      <c r="P1791" s="29">
        <v>70</v>
      </c>
      <c r="Q1791" s="28" t="s">
        <v>2017</v>
      </c>
      <c r="R1791" s="21"/>
      <c r="S1791" s="21"/>
      <c r="T1791" s="21"/>
      <c r="U1791" s="21"/>
      <c r="V1791" s="21"/>
      <c r="W1791" s="21"/>
      <c r="X1791" s="21"/>
    </row>
    <row r="1792" spans="1:24" ht="15.75" thickBot="1" x14ac:dyDescent="0.3">
      <c r="A1792" t="str">
        <f t="shared" si="27"/>
        <v>MLDBEI35638</v>
      </c>
      <c r="B1792" s="22" t="s">
        <v>7350</v>
      </c>
      <c r="C1792" s="22" t="s">
        <v>7351</v>
      </c>
      <c r="D1792" s="22" t="s">
        <v>7352</v>
      </c>
      <c r="E1792" s="21"/>
      <c r="F1792" s="22" t="s">
        <v>7349</v>
      </c>
      <c r="G1792" s="28" t="s">
        <v>2012</v>
      </c>
      <c r="H1792" s="22" t="s">
        <v>2013</v>
      </c>
      <c r="I1792" s="21"/>
      <c r="J1792" s="22" t="s">
        <v>404</v>
      </c>
      <c r="K1792" s="22" t="s">
        <v>262</v>
      </c>
      <c r="L1792" s="21"/>
      <c r="M1792" s="22" t="s">
        <v>2034</v>
      </c>
      <c r="N1792" s="28" t="s">
        <v>2015</v>
      </c>
      <c r="O1792" s="28" t="s">
        <v>2016</v>
      </c>
      <c r="P1792" s="29">
        <v>60</v>
      </c>
      <c r="Q1792" s="28" t="s">
        <v>2017</v>
      </c>
      <c r="R1792" s="21"/>
      <c r="S1792" s="21"/>
      <c r="T1792" s="21"/>
      <c r="U1792" s="21"/>
      <c r="V1792" s="21"/>
      <c r="W1792" s="21"/>
      <c r="X1792" s="21"/>
    </row>
    <row r="1793" spans="1:24" ht="15.75" thickBot="1" x14ac:dyDescent="0.3">
      <c r="A1793" t="str">
        <f t="shared" si="27"/>
        <v>MLDBEI41127</v>
      </c>
      <c r="B1793" s="22" t="s">
        <v>820</v>
      </c>
      <c r="C1793" s="21"/>
      <c r="D1793" s="22" t="s">
        <v>7353</v>
      </c>
      <c r="E1793" s="21"/>
      <c r="F1793" s="22" t="s">
        <v>3417</v>
      </c>
      <c r="G1793" s="28" t="s">
        <v>2012</v>
      </c>
      <c r="H1793" s="22" t="s">
        <v>2013</v>
      </c>
      <c r="I1793" s="21"/>
      <c r="J1793" s="22" t="s">
        <v>404</v>
      </c>
      <c r="K1793" s="22" t="s">
        <v>262</v>
      </c>
      <c r="L1793" s="21"/>
      <c r="M1793" s="22" t="s">
        <v>2034</v>
      </c>
      <c r="N1793" s="28" t="s">
        <v>2015</v>
      </c>
      <c r="O1793" s="28" t="s">
        <v>2016</v>
      </c>
      <c r="P1793" s="29">
        <v>0</v>
      </c>
      <c r="Q1793" s="28" t="s">
        <v>2017</v>
      </c>
      <c r="R1793" s="41">
        <v>0</v>
      </c>
      <c r="S1793" s="29">
        <v>968</v>
      </c>
      <c r="T1793" s="32">
        <v>15.057777777777</v>
      </c>
      <c r="U1793" s="32">
        <v>0</v>
      </c>
      <c r="V1793" s="41">
        <v>0</v>
      </c>
      <c r="W1793" s="21"/>
      <c r="X1793" s="21"/>
    </row>
    <row r="1794" spans="1:24" ht="15.75" thickBot="1" x14ac:dyDescent="0.3">
      <c r="A1794" t="str">
        <f t="shared" si="27"/>
        <v>MLDBEI41215</v>
      </c>
      <c r="B1794" s="22" t="s">
        <v>7354</v>
      </c>
      <c r="C1794" s="21"/>
      <c r="D1794" s="22" t="s">
        <v>7353</v>
      </c>
      <c r="E1794" s="22" t="s">
        <v>7355</v>
      </c>
      <c r="F1794" s="22" t="s">
        <v>7356</v>
      </c>
      <c r="G1794" s="28" t="s">
        <v>2012</v>
      </c>
      <c r="H1794" s="22" t="s">
        <v>2013</v>
      </c>
      <c r="I1794" s="21"/>
      <c r="J1794" s="22" t="s">
        <v>404</v>
      </c>
      <c r="K1794" s="22" t="s">
        <v>262</v>
      </c>
      <c r="L1794" s="21"/>
      <c r="M1794" s="22" t="s">
        <v>2034</v>
      </c>
      <c r="N1794" s="28" t="s">
        <v>2015</v>
      </c>
      <c r="O1794" s="28" t="s">
        <v>2016</v>
      </c>
      <c r="P1794" s="29">
        <v>0</v>
      </c>
      <c r="Q1794" s="28" t="s">
        <v>2017</v>
      </c>
      <c r="R1794" s="21"/>
      <c r="S1794" s="21"/>
      <c r="T1794" s="21"/>
      <c r="U1794" s="21"/>
      <c r="V1794" s="21"/>
      <c r="W1794" s="21"/>
      <c r="X1794" s="21"/>
    </row>
    <row r="1795" spans="1:24" ht="15.75" thickBot="1" x14ac:dyDescent="0.3">
      <c r="A1795" t="str">
        <f t="shared" si="27"/>
        <v>MLDBEI78141</v>
      </c>
      <c r="B1795" s="22" t="s">
        <v>675</v>
      </c>
      <c r="C1795" s="22" t="s">
        <v>7357</v>
      </c>
      <c r="D1795" s="22" t="s">
        <v>7358</v>
      </c>
      <c r="E1795" s="22" t="s">
        <v>7359</v>
      </c>
      <c r="F1795" s="22" t="s">
        <v>7360</v>
      </c>
      <c r="G1795" s="28" t="s">
        <v>2012</v>
      </c>
      <c r="H1795" s="22" t="s">
        <v>2013</v>
      </c>
      <c r="I1795" s="21"/>
      <c r="J1795" s="22" t="s">
        <v>404</v>
      </c>
      <c r="K1795" s="22" t="s">
        <v>262</v>
      </c>
      <c r="L1795" s="21"/>
      <c r="M1795" s="22" t="s">
        <v>2034</v>
      </c>
      <c r="N1795" s="28" t="s">
        <v>2015</v>
      </c>
      <c r="O1795" s="28" t="s">
        <v>2016</v>
      </c>
      <c r="P1795" s="29">
        <v>0</v>
      </c>
      <c r="Q1795" s="28" t="s">
        <v>2017</v>
      </c>
      <c r="R1795" s="41">
        <v>0</v>
      </c>
      <c r="S1795" s="29">
        <v>478</v>
      </c>
      <c r="T1795" s="32">
        <v>7.4355555555550001</v>
      </c>
      <c r="U1795" s="32">
        <v>0</v>
      </c>
      <c r="V1795" s="41">
        <v>0</v>
      </c>
      <c r="W1795" s="21"/>
      <c r="X1795" s="21"/>
    </row>
    <row r="1796" spans="1:24" ht="15.75" thickBot="1" x14ac:dyDescent="0.3">
      <c r="A1796" t="str">
        <f t="shared" si="27"/>
        <v>MLDBEI79107</v>
      </c>
      <c r="B1796" s="22" t="s">
        <v>7361</v>
      </c>
      <c r="C1796" s="22" t="s">
        <v>7362</v>
      </c>
      <c r="D1796" s="22" t="s">
        <v>7363</v>
      </c>
      <c r="E1796" s="21"/>
      <c r="F1796" s="22" t="s">
        <v>7364</v>
      </c>
      <c r="G1796" s="28" t="s">
        <v>2012</v>
      </c>
      <c r="H1796" s="22" t="s">
        <v>2013</v>
      </c>
      <c r="I1796" s="21"/>
      <c r="J1796" s="22" t="s">
        <v>404</v>
      </c>
      <c r="K1796" s="22" t="s">
        <v>262</v>
      </c>
      <c r="L1796" s="21"/>
      <c r="M1796" s="22" t="s">
        <v>2034</v>
      </c>
      <c r="N1796" s="28" t="s">
        <v>2015</v>
      </c>
      <c r="O1796" s="28" t="s">
        <v>2016</v>
      </c>
      <c r="P1796" s="29">
        <v>0</v>
      </c>
      <c r="Q1796" s="28" t="s">
        <v>2017</v>
      </c>
      <c r="R1796" s="21"/>
      <c r="S1796" s="21"/>
      <c r="T1796" s="21"/>
      <c r="U1796" s="21"/>
      <c r="V1796" s="21"/>
      <c r="W1796" s="21"/>
      <c r="X1796" s="21"/>
    </row>
    <row r="1797" spans="1:24" ht="15.75" thickBot="1" x14ac:dyDescent="0.3">
      <c r="A1797" t="str">
        <f t="shared" ref="A1797:A1860" si="28">TRIM(B1797)</f>
        <v>MLDBEJ06896</v>
      </c>
      <c r="B1797" s="22" t="s">
        <v>7365</v>
      </c>
      <c r="C1797" s="21"/>
      <c r="D1797" s="22" t="s">
        <v>7366</v>
      </c>
      <c r="E1797" s="22" t="s">
        <v>7355</v>
      </c>
      <c r="F1797" s="22" t="s">
        <v>7356</v>
      </c>
      <c r="G1797" s="28" t="s">
        <v>2012</v>
      </c>
      <c r="H1797" s="22" t="s">
        <v>2013</v>
      </c>
      <c r="I1797" s="21"/>
      <c r="J1797" s="22" t="s">
        <v>404</v>
      </c>
      <c r="K1797" s="22" t="s">
        <v>262</v>
      </c>
      <c r="L1797" s="21"/>
      <c r="M1797" s="22" t="s">
        <v>2034</v>
      </c>
      <c r="N1797" s="28" t="s">
        <v>2015</v>
      </c>
      <c r="O1797" s="28" t="s">
        <v>2016</v>
      </c>
      <c r="P1797" s="29">
        <v>0</v>
      </c>
      <c r="Q1797" s="28" t="s">
        <v>2017</v>
      </c>
      <c r="R1797" s="21"/>
      <c r="S1797" s="21"/>
      <c r="T1797" s="21"/>
      <c r="U1797" s="21"/>
      <c r="V1797" s="21"/>
      <c r="W1797" s="21"/>
      <c r="X1797" s="21"/>
    </row>
    <row r="1798" spans="1:24" ht="15.75" thickBot="1" x14ac:dyDescent="0.3">
      <c r="A1798" t="str">
        <f t="shared" si="28"/>
        <v>MLDBEJ56724</v>
      </c>
      <c r="B1798" s="22" t="s">
        <v>825</v>
      </c>
      <c r="C1798" s="21"/>
      <c r="D1798" s="22" t="s">
        <v>7366</v>
      </c>
      <c r="E1798" s="21"/>
      <c r="F1798" s="22" t="s">
        <v>3417</v>
      </c>
      <c r="G1798" s="28" t="s">
        <v>2012</v>
      </c>
      <c r="H1798" s="22" t="s">
        <v>2013</v>
      </c>
      <c r="I1798" s="21"/>
      <c r="J1798" s="22" t="s">
        <v>404</v>
      </c>
      <c r="K1798" s="22" t="s">
        <v>262</v>
      </c>
      <c r="L1798" s="21"/>
      <c r="M1798" s="22" t="s">
        <v>2034</v>
      </c>
      <c r="N1798" s="28" t="s">
        <v>2015</v>
      </c>
      <c r="O1798" s="28" t="s">
        <v>2016</v>
      </c>
      <c r="P1798" s="29">
        <v>0</v>
      </c>
      <c r="Q1798" s="28" t="s">
        <v>2017</v>
      </c>
      <c r="R1798" s="41">
        <v>0</v>
      </c>
      <c r="S1798" s="29">
        <v>968</v>
      </c>
      <c r="T1798" s="32">
        <v>15.057777777777</v>
      </c>
      <c r="U1798" s="32">
        <v>0</v>
      </c>
      <c r="V1798" s="41">
        <v>0</v>
      </c>
      <c r="W1798" s="21"/>
      <c r="X1798" s="21"/>
    </row>
    <row r="1799" spans="1:24" ht="15.75" thickBot="1" x14ac:dyDescent="0.3">
      <c r="A1799" t="str">
        <f t="shared" si="28"/>
        <v>MLDBEU60475</v>
      </c>
      <c r="B1799" s="22" t="s">
        <v>538</v>
      </c>
      <c r="C1799" s="22" t="s">
        <v>3767</v>
      </c>
      <c r="D1799" s="22" t="s">
        <v>7367</v>
      </c>
      <c r="E1799" s="22" t="s">
        <v>7368</v>
      </c>
      <c r="F1799" s="22" t="s">
        <v>7369</v>
      </c>
      <c r="G1799" s="28" t="s">
        <v>2012</v>
      </c>
      <c r="H1799" s="22" t="s">
        <v>2013</v>
      </c>
      <c r="I1799" s="21"/>
      <c r="J1799" s="22" t="s">
        <v>404</v>
      </c>
      <c r="K1799" s="22" t="s">
        <v>262</v>
      </c>
      <c r="L1799" s="21"/>
      <c r="M1799" s="22" t="s">
        <v>2034</v>
      </c>
      <c r="N1799" s="28" t="s">
        <v>2015</v>
      </c>
      <c r="O1799" s="28" t="s">
        <v>2016</v>
      </c>
      <c r="P1799" s="29">
        <v>-1</v>
      </c>
      <c r="Q1799" s="28" t="s">
        <v>2017</v>
      </c>
      <c r="R1799" s="41">
        <v>-7.2557239600000004E-2</v>
      </c>
      <c r="S1799" s="29">
        <v>886</v>
      </c>
      <c r="T1799" s="32">
        <v>13.782222222222</v>
      </c>
      <c r="U1799" s="32">
        <v>0</v>
      </c>
      <c r="V1799" s="41">
        <v>0</v>
      </c>
      <c r="W1799" s="21"/>
      <c r="X1799" s="21"/>
    </row>
    <row r="1800" spans="1:24" ht="15.75" thickBot="1" x14ac:dyDescent="0.3">
      <c r="A1800" t="str">
        <f t="shared" si="28"/>
        <v>MLDBEU62037</v>
      </c>
      <c r="B1800" s="22" t="s">
        <v>540</v>
      </c>
      <c r="C1800" s="22" t="s">
        <v>4009</v>
      </c>
      <c r="D1800" s="22" t="s">
        <v>7370</v>
      </c>
      <c r="E1800" s="22" t="s">
        <v>7368</v>
      </c>
      <c r="F1800" s="22" t="s">
        <v>7369</v>
      </c>
      <c r="G1800" s="28" t="s">
        <v>2012</v>
      </c>
      <c r="H1800" s="22" t="s">
        <v>2013</v>
      </c>
      <c r="I1800" s="21"/>
      <c r="J1800" s="22" t="s">
        <v>404</v>
      </c>
      <c r="K1800" s="22" t="s">
        <v>262</v>
      </c>
      <c r="L1800" s="21"/>
      <c r="M1800" s="22" t="s">
        <v>2034</v>
      </c>
      <c r="N1800" s="28" t="s">
        <v>2015</v>
      </c>
      <c r="O1800" s="28" t="s">
        <v>2016</v>
      </c>
      <c r="P1800" s="29">
        <v>-2</v>
      </c>
      <c r="Q1800" s="28" t="s">
        <v>2017</v>
      </c>
      <c r="R1800" s="41">
        <v>-0.15287922541099999</v>
      </c>
      <c r="S1800" s="29">
        <v>841</v>
      </c>
      <c r="T1800" s="32">
        <v>13.082222222222001</v>
      </c>
      <c r="U1800" s="32">
        <v>0</v>
      </c>
      <c r="V1800" s="41">
        <v>0</v>
      </c>
      <c r="W1800" s="21"/>
      <c r="X1800" s="21"/>
    </row>
    <row r="1801" spans="1:24" ht="15.75" thickBot="1" x14ac:dyDescent="0.3">
      <c r="A1801" t="str">
        <f t="shared" si="28"/>
        <v>MLDE025B84A1NB</v>
      </c>
      <c r="B1801" s="22" t="s">
        <v>575</v>
      </c>
      <c r="C1801" s="22" t="s">
        <v>7371</v>
      </c>
      <c r="D1801" s="22" t="s">
        <v>576</v>
      </c>
      <c r="E1801" s="22" t="s">
        <v>2337</v>
      </c>
      <c r="F1801" s="22" t="s">
        <v>2338</v>
      </c>
      <c r="G1801" s="28" t="s">
        <v>2012</v>
      </c>
      <c r="H1801" s="22" t="s">
        <v>2037</v>
      </c>
      <c r="I1801" s="21"/>
      <c r="J1801" s="22" t="s">
        <v>261</v>
      </c>
      <c r="K1801" s="22" t="s">
        <v>262</v>
      </c>
      <c r="L1801" s="21"/>
      <c r="M1801" s="22" t="s">
        <v>2034</v>
      </c>
      <c r="N1801" s="28" t="s">
        <v>2015</v>
      </c>
      <c r="O1801" s="28" t="s">
        <v>2016</v>
      </c>
      <c r="P1801" s="29">
        <v>140</v>
      </c>
      <c r="Q1801" s="28" t="s">
        <v>2017</v>
      </c>
      <c r="R1801" s="41">
        <v>0.78404042163900001</v>
      </c>
      <c r="S1801" s="29">
        <v>11479</v>
      </c>
      <c r="T1801" s="32">
        <v>178.562222222222</v>
      </c>
      <c r="U1801" s="32">
        <v>0</v>
      </c>
      <c r="V1801" s="41">
        <v>0.78404042163900001</v>
      </c>
      <c r="W1801" s="21"/>
      <c r="X1801" s="21"/>
    </row>
    <row r="1802" spans="1:24" ht="15.75" thickBot="1" x14ac:dyDescent="0.3">
      <c r="A1802" t="str">
        <f t="shared" si="28"/>
        <v>MLDE03512DGREY</v>
      </c>
      <c r="B1802" s="22" t="s">
        <v>556</v>
      </c>
      <c r="C1802" s="22" t="s">
        <v>7372</v>
      </c>
      <c r="D1802" s="22" t="s">
        <v>7373</v>
      </c>
      <c r="E1802" s="22" t="s">
        <v>2290</v>
      </c>
      <c r="F1802" s="22" t="s">
        <v>2398</v>
      </c>
      <c r="G1802" s="28" t="s">
        <v>2012</v>
      </c>
      <c r="H1802" s="22" t="s">
        <v>2013</v>
      </c>
      <c r="I1802" s="21"/>
      <c r="J1802" s="22" t="s">
        <v>261</v>
      </c>
      <c r="K1802" s="22" t="s">
        <v>262</v>
      </c>
      <c r="L1802" s="21"/>
      <c r="M1802" s="22" t="s">
        <v>2034</v>
      </c>
      <c r="N1802" s="28" t="s">
        <v>2015</v>
      </c>
      <c r="O1802" s="28" t="s">
        <v>2016</v>
      </c>
      <c r="P1802" s="29">
        <v>-4</v>
      </c>
      <c r="Q1802" s="28" t="s">
        <v>2017</v>
      </c>
      <c r="R1802" s="41">
        <v>-1.8392307928E-2</v>
      </c>
      <c r="S1802" s="29">
        <v>13981</v>
      </c>
      <c r="T1802" s="32">
        <v>217.48222222222199</v>
      </c>
      <c r="U1802" s="32">
        <v>0</v>
      </c>
      <c r="V1802" s="41">
        <v>0</v>
      </c>
      <c r="W1802" s="21"/>
      <c r="X1802" s="21"/>
    </row>
    <row r="1803" spans="1:24" ht="15.75" thickBot="1" x14ac:dyDescent="0.3">
      <c r="A1803" t="str">
        <f t="shared" si="28"/>
        <v>MLDE03512DPIA01</v>
      </c>
      <c r="B1803" s="22" t="s">
        <v>558</v>
      </c>
      <c r="C1803" s="22" t="s">
        <v>7374</v>
      </c>
      <c r="D1803" s="22" t="s">
        <v>7375</v>
      </c>
      <c r="E1803" s="22" t="s">
        <v>2290</v>
      </c>
      <c r="F1803" s="22" t="s">
        <v>2398</v>
      </c>
      <c r="G1803" s="28" t="s">
        <v>2012</v>
      </c>
      <c r="H1803" s="22" t="s">
        <v>2013</v>
      </c>
      <c r="I1803" s="21"/>
      <c r="J1803" s="22" t="s">
        <v>261</v>
      </c>
      <c r="K1803" s="22" t="s">
        <v>262</v>
      </c>
      <c r="L1803" s="21"/>
      <c r="M1803" s="22" t="s">
        <v>2034</v>
      </c>
      <c r="N1803" s="28" t="s">
        <v>2015</v>
      </c>
      <c r="O1803" s="28" t="s">
        <v>2016</v>
      </c>
      <c r="P1803" s="29">
        <v>-2</v>
      </c>
      <c r="Q1803" s="28" t="s">
        <v>2017</v>
      </c>
      <c r="R1803" s="41">
        <v>-6.2171870682000002E-2</v>
      </c>
      <c r="S1803" s="29">
        <v>2068</v>
      </c>
      <c r="T1803" s="32">
        <v>32.168888888887999</v>
      </c>
      <c r="U1803" s="32">
        <v>0</v>
      </c>
      <c r="V1803" s="41">
        <v>0</v>
      </c>
      <c r="W1803" s="21"/>
      <c r="X1803" s="21"/>
    </row>
    <row r="1804" spans="1:24" ht="15.75" thickBot="1" x14ac:dyDescent="0.3">
      <c r="A1804" t="str">
        <f t="shared" si="28"/>
        <v>MLDE03513DGREY</v>
      </c>
      <c r="B1804" s="22" t="s">
        <v>560</v>
      </c>
      <c r="C1804" s="22" t="s">
        <v>7372</v>
      </c>
      <c r="D1804" s="22" t="s">
        <v>7376</v>
      </c>
      <c r="E1804" s="22" t="s">
        <v>2290</v>
      </c>
      <c r="F1804" s="22" t="s">
        <v>2398</v>
      </c>
      <c r="G1804" s="28" t="s">
        <v>2012</v>
      </c>
      <c r="H1804" s="22" t="s">
        <v>2013</v>
      </c>
      <c r="I1804" s="21"/>
      <c r="J1804" s="22" t="s">
        <v>261</v>
      </c>
      <c r="K1804" s="22" t="s">
        <v>262</v>
      </c>
      <c r="L1804" s="21"/>
      <c r="M1804" s="22" t="s">
        <v>2034</v>
      </c>
      <c r="N1804" s="28" t="s">
        <v>2015</v>
      </c>
      <c r="O1804" s="28" t="s">
        <v>2016</v>
      </c>
      <c r="P1804" s="29">
        <v>3</v>
      </c>
      <c r="Q1804" s="28" t="s">
        <v>2017</v>
      </c>
      <c r="R1804" s="41">
        <v>6.8306702150000001E-3</v>
      </c>
      <c r="S1804" s="29">
        <v>28234</v>
      </c>
      <c r="T1804" s="32">
        <v>439.19555555555598</v>
      </c>
      <c r="U1804" s="32">
        <v>0</v>
      </c>
      <c r="V1804" s="41">
        <v>6.8306702150000001E-3</v>
      </c>
      <c r="W1804" s="21"/>
      <c r="X1804" s="21"/>
    </row>
    <row r="1805" spans="1:24" ht="15.75" thickBot="1" x14ac:dyDescent="0.3">
      <c r="A1805" t="str">
        <f t="shared" si="28"/>
        <v>MLDE03513DPIA01</v>
      </c>
      <c r="B1805" s="22" t="s">
        <v>562</v>
      </c>
      <c r="C1805" s="22" t="s">
        <v>7372</v>
      </c>
      <c r="D1805" s="22" t="s">
        <v>7377</v>
      </c>
      <c r="E1805" s="22" t="s">
        <v>2290</v>
      </c>
      <c r="F1805" s="22" t="s">
        <v>2398</v>
      </c>
      <c r="G1805" s="28" t="s">
        <v>2012</v>
      </c>
      <c r="H1805" s="22" t="s">
        <v>2013</v>
      </c>
      <c r="I1805" s="21"/>
      <c r="J1805" s="22" t="s">
        <v>261</v>
      </c>
      <c r="K1805" s="22" t="s">
        <v>262</v>
      </c>
      <c r="L1805" s="21"/>
      <c r="M1805" s="22" t="s">
        <v>2034</v>
      </c>
      <c r="N1805" s="28" t="s">
        <v>2015</v>
      </c>
      <c r="O1805" s="28" t="s">
        <v>2016</v>
      </c>
      <c r="P1805" s="29">
        <v>-21</v>
      </c>
      <c r="Q1805" s="28" t="s">
        <v>2017</v>
      </c>
      <c r="R1805" s="41">
        <v>-0.31337047353699998</v>
      </c>
      <c r="S1805" s="29">
        <v>4308</v>
      </c>
      <c r="T1805" s="32">
        <v>67.013333333332994</v>
      </c>
      <c r="U1805" s="32">
        <v>0</v>
      </c>
      <c r="V1805" s="41">
        <v>0</v>
      </c>
      <c r="W1805" s="21"/>
      <c r="X1805" s="21"/>
    </row>
    <row r="1806" spans="1:24" ht="15.75" thickBot="1" x14ac:dyDescent="0.3">
      <c r="A1806" t="str">
        <f t="shared" si="28"/>
        <v>MLDE23942APIA30MIC</v>
      </c>
      <c r="B1806" s="22" t="s">
        <v>7378</v>
      </c>
      <c r="C1806" s="22" t="s">
        <v>2925</v>
      </c>
      <c r="D1806" s="22" t="s">
        <v>2926</v>
      </c>
      <c r="E1806" s="22" t="s">
        <v>7379</v>
      </c>
      <c r="F1806" s="22" t="s">
        <v>7380</v>
      </c>
      <c r="G1806" s="28" t="s">
        <v>2012</v>
      </c>
      <c r="H1806" s="22" t="s">
        <v>2013</v>
      </c>
      <c r="I1806" s="21"/>
      <c r="J1806" s="22" t="s">
        <v>261</v>
      </c>
      <c r="K1806" s="22" t="s">
        <v>262</v>
      </c>
      <c r="L1806" s="21"/>
      <c r="M1806" s="22" t="s">
        <v>2034</v>
      </c>
      <c r="N1806" s="28" t="s">
        <v>2015</v>
      </c>
      <c r="O1806" s="28" t="s">
        <v>2016</v>
      </c>
      <c r="P1806" s="29">
        <v>240</v>
      </c>
      <c r="Q1806" s="28" t="s">
        <v>2017</v>
      </c>
      <c r="R1806" s="21"/>
      <c r="S1806" s="21"/>
      <c r="T1806" s="21"/>
      <c r="U1806" s="21"/>
      <c r="V1806" s="21"/>
      <c r="W1806" s="21"/>
      <c r="X1806" s="21"/>
    </row>
    <row r="1807" spans="1:24" ht="15.75" thickBot="1" x14ac:dyDescent="0.3">
      <c r="A1807" t="str">
        <f t="shared" si="28"/>
        <v>MLDE23942APIA32</v>
      </c>
      <c r="B1807" s="22" t="s">
        <v>733</v>
      </c>
      <c r="C1807" s="22" t="s">
        <v>7381</v>
      </c>
      <c r="D1807" s="22" t="s">
        <v>2926</v>
      </c>
      <c r="E1807" s="22" t="s">
        <v>7379</v>
      </c>
      <c r="F1807" s="22" t="s">
        <v>7380</v>
      </c>
      <c r="G1807" s="28" t="s">
        <v>2012</v>
      </c>
      <c r="H1807" s="22" t="s">
        <v>2013</v>
      </c>
      <c r="I1807" s="21"/>
      <c r="J1807" s="22" t="s">
        <v>261</v>
      </c>
      <c r="K1807" s="22" t="s">
        <v>262</v>
      </c>
      <c r="L1807" s="21"/>
      <c r="M1807" s="22" t="s">
        <v>2034</v>
      </c>
      <c r="N1807" s="28" t="s">
        <v>2015</v>
      </c>
      <c r="O1807" s="28" t="s">
        <v>2016</v>
      </c>
      <c r="P1807" s="29">
        <v>-8</v>
      </c>
      <c r="Q1807" s="28" t="s">
        <v>2017</v>
      </c>
      <c r="R1807" s="41">
        <v>-46.753246753246003</v>
      </c>
      <c r="S1807" s="29">
        <v>11</v>
      </c>
      <c r="T1807" s="32">
        <v>0.171111111111</v>
      </c>
      <c r="U1807" s="32">
        <v>0</v>
      </c>
      <c r="V1807" s="41">
        <v>0</v>
      </c>
      <c r="W1807" s="21"/>
      <c r="X1807" s="21"/>
    </row>
    <row r="1808" spans="1:24" ht="15.75" thickBot="1" x14ac:dyDescent="0.3">
      <c r="A1808" t="str">
        <f t="shared" si="28"/>
        <v>MLDE23943-F</v>
      </c>
      <c r="B1808" s="22" t="s">
        <v>7382</v>
      </c>
      <c r="C1808" s="22" t="s">
        <v>7383</v>
      </c>
      <c r="D1808" s="22" t="s">
        <v>7384</v>
      </c>
      <c r="E1808" s="21"/>
      <c r="F1808" s="22" t="s">
        <v>7385</v>
      </c>
      <c r="G1808" s="28" t="s">
        <v>5499</v>
      </c>
      <c r="H1808" s="22" t="s">
        <v>2013</v>
      </c>
      <c r="I1808" s="21"/>
      <c r="J1808" s="22" t="s">
        <v>261</v>
      </c>
      <c r="K1808" s="22" t="s">
        <v>262</v>
      </c>
      <c r="L1808" s="21"/>
      <c r="M1808" s="22" t="s">
        <v>2034</v>
      </c>
      <c r="N1808" s="28" t="s">
        <v>2015</v>
      </c>
      <c r="O1808" s="28" t="s">
        <v>2016</v>
      </c>
      <c r="P1808" s="29">
        <v>0</v>
      </c>
      <c r="Q1808" s="28" t="s">
        <v>2017</v>
      </c>
      <c r="R1808" s="21"/>
      <c r="S1808" s="21"/>
      <c r="T1808" s="21"/>
      <c r="U1808" s="21"/>
      <c r="V1808" s="21"/>
      <c r="W1808" s="21"/>
      <c r="X1808" s="21"/>
    </row>
    <row r="1809" spans="1:24" ht="15.75" thickBot="1" x14ac:dyDescent="0.3">
      <c r="A1809" t="str">
        <f t="shared" si="28"/>
        <v>MLDE23943APIA48</v>
      </c>
      <c r="B1809" s="22" t="s">
        <v>7386</v>
      </c>
      <c r="C1809" s="22" t="s">
        <v>7387</v>
      </c>
      <c r="D1809" s="22" t="s">
        <v>736</v>
      </c>
      <c r="E1809" s="22" t="s">
        <v>7379</v>
      </c>
      <c r="F1809" s="22" t="s">
        <v>7380</v>
      </c>
      <c r="G1809" s="28" t="s">
        <v>2012</v>
      </c>
      <c r="H1809" s="22" t="s">
        <v>2013</v>
      </c>
      <c r="I1809" s="21"/>
      <c r="J1809" s="22" t="s">
        <v>261</v>
      </c>
      <c r="K1809" s="22" t="s">
        <v>262</v>
      </c>
      <c r="L1809" s="21"/>
      <c r="M1809" s="22" t="s">
        <v>2034</v>
      </c>
      <c r="N1809" s="28" t="s">
        <v>2015</v>
      </c>
      <c r="O1809" s="28" t="s">
        <v>2016</v>
      </c>
      <c r="P1809" s="29">
        <v>240</v>
      </c>
      <c r="Q1809" s="28" t="s">
        <v>2017</v>
      </c>
      <c r="R1809" s="21"/>
      <c r="S1809" s="21"/>
      <c r="T1809" s="21"/>
      <c r="U1809" s="21"/>
      <c r="V1809" s="21"/>
      <c r="W1809" s="21"/>
      <c r="X1809" s="21"/>
    </row>
    <row r="1810" spans="1:24" ht="15.75" thickBot="1" x14ac:dyDescent="0.3">
      <c r="A1810" t="str">
        <f t="shared" si="28"/>
        <v>MLDE23943APIA50</v>
      </c>
      <c r="B1810" s="22" t="s">
        <v>735</v>
      </c>
      <c r="C1810" s="22" t="s">
        <v>7388</v>
      </c>
      <c r="D1810" s="22" t="s">
        <v>736</v>
      </c>
      <c r="E1810" s="22" t="s">
        <v>7379</v>
      </c>
      <c r="F1810" s="22" t="s">
        <v>7380</v>
      </c>
      <c r="G1810" s="28" t="s">
        <v>2012</v>
      </c>
      <c r="H1810" s="22" t="s">
        <v>2013</v>
      </c>
      <c r="I1810" s="21"/>
      <c r="J1810" s="22" t="s">
        <v>261</v>
      </c>
      <c r="K1810" s="22" t="s">
        <v>262</v>
      </c>
      <c r="L1810" s="21"/>
      <c r="M1810" s="22" t="s">
        <v>2034</v>
      </c>
      <c r="N1810" s="28" t="s">
        <v>2015</v>
      </c>
      <c r="O1810" s="28" t="s">
        <v>2016</v>
      </c>
      <c r="P1810" s="29">
        <v>-6</v>
      </c>
      <c r="Q1810" s="28" t="s">
        <v>2017</v>
      </c>
      <c r="R1810" s="41">
        <v>-16.770186335403</v>
      </c>
      <c r="S1810" s="29">
        <v>23</v>
      </c>
      <c r="T1810" s="32">
        <v>0.35777777777699998</v>
      </c>
      <c r="U1810" s="32">
        <v>0</v>
      </c>
      <c r="V1810" s="41">
        <v>0</v>
      </c>
      <c r="W1810" s="21"/>
      <c r="X1810" s="21"/>
    </row>
    <row r="1811" spans="1:24" ht="15.75" thickBot="1" x14ac:dyDescent="0.3">
      <c r="A1811" t="str">
        <f t="shared" si="28"/>
        <v>MLDE24396C</v>
      </c>
      <c r="B1811" s="22" t="s">
        <v>877</v>
      </c>
      <c r="C1811" s="22" t="s">
        <v>7389</v>
      </c>
      <c r="D1811" s="22" t="s">
        <v>7390</v>
      </c>
      <c r="E1811" s="22" t="s">
        <v>2290</v>
      </c>
      <c r="F1811" s="22" t="s">
        <v>2426</v>
      </c>
      <c r="G1811" s="28" t="s">
        <v>2012</v>
      </c>
      <c r="H1811" s="22" t="s">
        <v>2013</v>
      </c>
      <c r="I1811" s="21"/>
      <c r="J1811" s="22" t="s">
        <v>261</v>
      </c>
      <c r="K1811" s="22" t="s">
        <v>262</v>
      </c>
      <c r="L1811" s="21"/>
      <c r="M1811" s="22" t="s">
        <v>2034</v>
      </c>
      <c r="N1811" s="28" t="s">
        <v>2015</v>
      </c>
      <c r="O1811" s="28" t="s">
        <v>2016</v>
      </c>
      <c r="P1811" s="29">
        <v>6</v>
      </c>
      <c r="Q1811" s="28" t="s">
        <v>2017</v>
      </c>
      <c r="R1811" s="41">
        <v>0.198514815087</v>
      </c>
      <c r="S1811" s="29">
        <v>1943</v>
      </c>
      <c r="T1811" s="32">
        <v>30.224444444444</v>
      </c>
      <c r="U1811" s="32">
        <v>0</v>
      </c>
      <c r="V1811" s="41">
        <v>0.198514815087</v>
      </c>
      <c r="W1811" s="21"/>
      <c r="X1811" s="21"/>
    </row>
    <row r="1812" spans="1:24" ht="15.75" thickBot="1" x14ac:dyDescent="0.3">
      <c r="A1812" t="str">
        <f t="shared" si="28"/>
        <v>MLDE24396CGREY</v>
      </c>
      <c r="B1812" s="22" t="s">
        <v>879</v>
      </c>
      <c r="C1812" s="22" t="s">
        <v>7391</v>
      </c>
      <c r="D1812" s="22" t="s">
        <v>7392</v>
      </c>
      <c r="E1812" s="22" t="s">
        <v>2290</v>
      </c>
      <c r="F1812" s="22" t="s">
        <v>2426</v>
      </c>
      <c r="G1812" s="28" t="s">
        <v>2012</v>
      </c>
      <c r="H1812" s="22" t="s">
        <v>2013</v>
      </c>
      <c r="I1812" s="21"/>
      <c r="J1812" s="22" t="s">
        <v>261</v>
      </c>
      <c r="K1812" s="22" t="s">
        <v>262</v>
      </c>
      <c r="L1812" s="21"/>
      <c r="M1812" s="22" t="s">
        <v>2034</v>
      </c>
      <c r="N1812" s="28" t="s">
        <v>2015</v>
      </c>
      <c r="O1812" s="28" t="s">
        <v>2016</v>
      </c>
      <c r="P1812" s="29">
        <v>34</v>
      </c>
      <c r="Q1812" s="28" t="s">
        <v>2017</v>
      </c>
      <c r="R1812" s="41">
        <v>0.154042870231</v>
      </c>
      <c r="S1812" s="29">
        <v>14189</v>
      </c>
      <c r="T1812" s="32">
        <v>220.717777777778</v>
      </c>
      <c r="U1812" s="32">
        <v>0</v>
      </c>
      <c r="V1812" s="41">
        <v>0.154042870231</v>
      </c>
      <c r="W1812" s="21"/>
      <c r="X1812" s="21"/>
    </row>
    <row r="1813" spans="1:24" ht="15.75" thickBot="1" x14ac:dyDescent="0.3">
      <c r="A1813" t="str">
        <f t="shared" si="28"/>
        <v>MLDE24397C</v>
      </c>
      <c r="B1813" s="22" t="s">
        <v>881</v>
      </c>
      <c r="C1813" s="22" t="s">
        <v>7393</v>
      </c>
      <c r="D1813" s="22" t="s">
        <v>7394</v>
      </c>
      <c r="E1813" s="22" t="s">
        <v>2290</v>
      </c>
      <c r="F1813" s="22" t="s">
        <v>2426</v>
      </c>
      <c r="G1813" s="28" t="s">
        <v>2012</v>
      </c>
      <c r="H1813" s="22" t="s">
        <v>2013</v>
      </c>
      <c r="I1813" s="21"/>
      <c r="J1813" s="22" t="s">
        <v>261</v>
      </c>
      <c r="K1813" s="22" t="s">
        <v>262</v>
      </c>
      <c r="L1813" s="21"/>
      <c r="M1813" s="22" t="s">
        <v>2034</v>
      </c>
      <c r="N1813" s="28" t="s">
        <v>2015</v>
      </c>
      <c r="O1813" s="28" t="s">
        <v>2016</v>
      </c>
      <c r="P1813" s="29">
        <v>7</v>
      </c>
      <c r="Q1813" s="28" t="s">
        <v>2017</v>
      </c>
      <c r="R1813" s="41">
        <v>0.20594965674999999</v>
      </c>
      <c r="S1813" s="29">
        <v>2185</v>
      </c>
      <c r="T1813" s="32">
        <v>33.988888888887999</v>
      </c>
      <c r="U1813" s="32">
        <v>0</v>
      </c>
      <c r="V1813" s="41">
        <v>0.20594965674999999</v>
      </c>
      <c r="W1813" s="21"/>
      <c r="X1813" s="21"/>
    </row>
    <row r="1814" spans="1:24" ht="15.75" thickBot="1" x14ac:dyDescent="0.3">
      <c r="A1814" t="str">
        <f t="shared" si="28"/>
        <v>MLDE24397CGREY</v>
      </c>
      <c r="B1814" s="22" t="s">
        <v>883</v>
      </c>
      <c r="C1814" s="22" t="s">
        <v>7395</v>
      </c>
      <c r="D1814" s="22" t="s">
        <v>7396</v>
      </c>
      <c r="E1814" s="22" t="s">
        <v>2290</v>
      </c>
      <c r="F1814" s="22" t="s">
        <v>2426</v>
      </c>
      <c r="G1814" s="28" t="s">
        <v>2012</v>
      </c>
      <c r="H1814" s="22" t="s">
        <v>2013</v>
      </c>
      <c r="I1814" s="21"/>
      <c r="J1814" s="22" t="s">
        <v>261</v>
      </c>
      <c r="K1814" s="22" t="s">
        <v>262</v>
      </c>
      <c r="L1814" s="21"/>
      <c r="M1814" s="22" t="s">
        <v>2034</v>
      </c>
      <c r="N1814" s="28" t="s">
        <v>2015</v>
      </c>
      <c r="O1814" s="28" t="s">
        <v>2016</v>
      </c>
      <c r="P1814" s="29">
        <v>34</v>
      </c>
      <c r="Q1814" s="28" t="s">
        <v>2017</v>
      </c>
      <c r="R1814" s="41">
        <v>0.14953234492100001</v>
      </c>
      <c r="S1814" s="29">
        <v>14617</v>
      </c>
      <c r="T1814" s="32">
        <v>227.37555555555599</v>
      </c>
      <c r="U1814" s="32">
        <v>0</v>
      </c>
      <c r="V1814" s="41">
        <v>0.14953234492100001</v>
      </c>
      <c r="W1814" s="21"/>
      <c r="X1814" s="21"/>
    </row>
    <row r="1815" spans="1:24" ht="15.75" thickBot="1" x14ac:dyDescent="0.3">
      <c r="A1815" t="str">
        <f t="shared" si="28"/>
        <v>MLDE243A52E</v>
      </c>
      <c r="B1815" s="22" t="s">
        <v>636</v>
      </c>
      <c r="C1815" s="22" t="s">
        <v>7397</v>
      </c>
      <c r="D1815" s="22" t="s">
        <v>7398</v>
      </c>
      <c r="E1815" s="22" t="s">
        <v>2290</v>
      </c>
      <c r="F1815" s="22" t="s">
        <v>2429</v>
      </c>
      <c r="G1815" s="28" t="s">
        <v>2012</v>
      </c>
      <c r="H1815" s="22" t="s">
        <v>2013</v>
      </c>
      <c r="I1815" s="21"/>
      <c r="J1815" s="22" t="s">
        <v>261</v>
      </c>
      <c r="K1815" s="22" t="s">
        <v>262</v>
      </c>
      <c r="L1815" s="21"/>
      <c r="M1815" s="22" t="s">
        <v>2034</v>
      </c>
      <c r="N1815" s="28" t="s">
        <v>2015</v>
      </c>
      <c r="O1815" s="28" t="s">
        <v>2016</v>
      </c>
      <c r="P1815" s="29">
        <v>34</v>
      </c>
      <c r="Q1815" s="28" t="s">
        <v>2017</v>
      </c>
      <c r="R1815" s="41">
        <v>0.124926513815</v>
      </c>
      <c r="S1815" s="29">
        <v>17496</v>
      </c>
      <c r="T1815" s="32">
        <v>272.16000000000003</v>
      </c>
      <c r="U1815" s="32">
        <v>0</v>
      </c>
      <c r="V1815" s="41">
        <v>0.124926513815</v>
      </c>
      <c r="W1815" s="21"/>
      <c r="X1815" s="21"/>
    </row>
    <row r="1816" spans="1:24" ht="15.75" thickBot="1" x14ac:dyDescent="0.3">
      <c r="A1816" t="str">
        <f t="shared" si="28"/>
        <v>MLDE243A53E</v>
      </c>
      <c r="B1816" s="22" t="s">
        <v>638</v>
      </c>
      <c r="C1816" s="22" t="s">
        <v>7399</v>
      </c>
      <c r="D1816" s="22" t="s">
        <v>7400</v>
      </c>
      <c r="E1816" s="22" t="s">
        <v>2290</v>
      </c>
      <c r="F1816" s="22" t="s">
        <v>2429</v>
      </c>
      <c r="G1816" s="28" t="s">
        <v>2012</v>
      </c>
      <c r="H1816" s="22" t="s">
        <v>2013</v>
      </c>
      <c r="I1816" s="21"/>
      <c r="J1816" s="22" t="s">
        <v>261</v>
      </c>
      <c r="K1816" s="22" t="s">
        <v>262</v>
      </c>
      <c r="L1816" s="21"/>
      <c r="M1816" s="22" t="s">
        <v>2034</v>
      </c>
      <c r="N1816" s="28" t="s">
        <v>2015</v>
      </c>
      <c r="O1816" s="28" t="s">
        <v>2016</v>
      </c>
      <c r="P1816" s="29">
        <v>-154</v>
      </c>
      <c r="Q1816" s="28" t="s">
        <v>2017</v>
      </c>
      <c r="R1816" s="41">
        <v>-0.57080258302499998</v>
      </c>
      <c r="S1816" s="29">
        <v>17344</v>
      </c>
      <c r="T1816" s="32">
        <v>269.79555555555601</v>
      </c>
      <c r="U1816" s="32">
        <v>0</v>
      </c>
      <c r="V1816" s="41">
        <v>0</v>
      </c>
      <c r="W1816" s="21"/>
      <c r="X1816" s="21"/>
    </row>
    <row r="1817" spans="1:24" ht="15.75" thickBot="1" x14ac:dyDescent="0.3">
      <c r="A1817" t="str">
        <f t="shared" si="28"/>
        <v>MLDE24592C</v>
      </c>
      <c r="B1817" s="22" t="s">
        <v>837</v>
      </c>
      <c r="C1817" s="22" t="s">
        <v>7401</v>
      </c>
      <c r="D1817" s="22" t="s">
        <v>2433</v>
      </c>
      <c r="E1817" s="22" t="s">
        <v>2290</v>
      </c>
      <c r="F1817" s="22" t="s">
        <v>2434</v>
      </c>
      <c r="G1817" s="28" t="s">
        <v>2012</v>
      </c>
      <c r="H1817" s="22" t="s">
        <v>2013</v>
      </c>
      <c r="I1817" s="21"/>
      <c r="J1817" s="22" t="s">
        <v>261</v>
      </c>
      <c r="K1817" s="22" t="s">
        <v>262</v>
      </c>
      <c r="L1817" s="21"/>
      <c r="M1817" s="22" t="s">
        <v>2034</v>
      </c>
      <c r="N1817" s="28" t="s">
        <v>2015</v>
      </c>
      <c r="O1817" s="28" t="s">
        <v>2016</v>
      </c>
      <c r="P1817" s="29">
        <v>70</v>
      </c>
      <c r="Q1817" s="28" t="s">
        <v>2017</v>
      </c>
      <c r="R1817" s="41">
        <v>0.26715744478699999</v>
      </c>
      <c r="S1817" s="29">
        <v>16844</v>
      </c>
      <c r="T1817" s="32">
        <v>262.01777777777801</v>
      </c>
      <c r="U1817" s="32">
        <v>0</v>
      </c>
      <c r="V1817" s="41">
        <v>0.26715744478699999</v>
      </c>
      <c r="W1817" s="21"/>
      <c r="X1817" s="21"/>
    </row>
    <row r="1818" spans="1:24" ht="15.75" thickBot="1" x14ac:dyDescent="0.3">
      <c r="A1818" t="str">
        <f t="shared" si="28"/>
        <v>MLDE27406BPIA11</v>
      </c>
      <c r="B1818" s="22" t="s">
        <v>785</v>
      </c>
      <c r="C1818" s="22" t="s">
        <v>7402</v>
      </c>
      <c r="D1818" s="22" t="s">
        <v>7403</v>
      </c>
      <c r="E1818" s="22" t="s">
        <v>2378</v>
      </c>
      <c r="F1818" s="22" t="s">
        <v>2379</v>
      </c>
      <c r="G1818" s="28" t="s">
        <v>2012</v>
      </c>
      <c r="H1818" s="22" t="s">
        <v>2037</v>
      </c>
      <c r="I1818" s="21"/>
      <c r="J1818" s="22" t="s">
        <v>261</v>
      </c>
      <c r="K1818" s="22" t="s">
        <v>262</v>
      </c>
      <c r="L1818" s="21"/>
      <c r="M1818" s="22" t="s">
        <v>2034</v>
      </c>
      <c r="N1818" s="28" t="s">
        <v>2015</v>
      </c>
      <c r="O1818" s="28" t="s">
        <v>2016</v>
      </c>
      <c r="P1818" s="29">
        <v>-11</v>
      </c>
      <c r="Q1818" s="28" t="s">
        <v>2017</v>
      </c>
      <c r="R1818" s="41">
        <v>-3.5351840081000001E-2</v>
      </c>
      <c r="S1818" s="29">
        <v>20003</v>
      </c>
      <c r="T1818" s="32">
        <v>311.15777777777799</v>
      </c>
      <c r="U1818" s="32">
        <v>0</v>
      </c>
      <c r="V1818" s="41">
        <v>0</v>
      </c>
      <c r="W1818" s="21"/>
      <c r="X1818" s="21"/>
    </row>
    <row r="1819" spans="1:24" ht="15.75" thickBot="1" x14ac:dyDescent="0.3">
      <c r="A1819" t="str">
        <f t="shared" si="28"/>
        <v>MLDE27407BPIA02</v>
      </c>
      <c r="B1819" s="22" t="s">
        <v>762</v>
      </c>
      <c r="C1819" s="22" t="s">
        <v>7404</v>
      </c>
      <c r="D1819" s="22" t="s">
        <v>7405</v>
      </c>
      <c r="E1819" s="21"/>
      <c r="F1819" s="22" t="s">
        <v>2372</v>
      </c>
      <c r="G1819" s="28" t="s">
        <v>2012</v>
      </c>
      <c r="H1819" s="22" t="s">
        <v>2013</v>
      </c>
      <c r="I1819" s="21"/>
      <c r="J1819" s="22" t="s">
        <v>261</v>
      </c>
      <c r="K1819" s="22" t="s">
        <v>262</v>
      </c>
      <c r="L1819" s="21"/>
      <c r="M1819" s="22" t="s">
        <v>2034</v>
      </c>
      <c r="N1819" s="28" t="s">
        <v>2015</v>
      </c>
      <c r="O1819" s="28" t="s">
        <v>2016</v>
      </c>
      <c r="P1819" s="29">
        <v>157</v>
      </c>
      <c r="Q1819" s="28" t="s">
        <v>2017</v>
      </c>
      <c r="R1819" s="41">
        <v>0.56454061655900001</v>
      </c>
      <c r="S1819" s="29">
        <v>17878</v>
      </c>
      <c r="T1819" s="32">
        <v>278.102222222222</v>
      </c>
      <c r="U1819" s="32">
        <v>0</v>
      </c>
      <c r="V1819" s="41">
        <v>0.56454061655900001</v>
      </c>
      <c r="W1819" s="21"/>
      <c r="X1819" s="21"/>
    </row>
    <row r="1820" spans="1:24" ht="15.75" thickBot="1" x14ac:dyDescent="0.3">
      <c r="A1820" t="str">
        <f t="shared" si="28"/>
        <v>MLDE291A18PIA01</v>
      </c>
      <c r="B1820" s="22" t="s">
        <v>668</v>
      </c>
      <c r="C1820" s="22" t="s">
        <v>7406</v>
      </c>
      <c r="D1820" s="22" t="s">
        <v>7407</v>
      </c>
      <c r="E1820" s="22" t="s">
        <v>2290</v>
      </c>
      <c r="F1820" s="22" t="s">
        <v>4603</v>
      </c>
      <c r="G1820" s="28" t="s">
        <v>2012</v>
      </c>
      <c r="H1820" s="22" t="s">
        <v>2013</v>
      </c>
      <c r="I1820" s="21"/>
      <c r="J1820" s="22" t="s">
        <v>261</v>
      </c>
      <c r="K1820" s="22" t="s">
        <v>262</v>
      </c>
      <c r="L1820" s="21"/>
      <c r="M1820" s="22" t="s">
        <v>2034</v>
      </c>
      <c r="N1820" s="28" t="s">
        <v>2015</v>
      </c>
      <c r="O1820" s="28" t="s">
        <v>2016</v>
      </c>
      <c r="P1820" s="29">
        <v>0</v>
      </c>
      <c r="Q1820" s="28" t="s">
        <v>2017</v>
      </c>
      <c r="R1820" s="41">
        <v>0</v>
      </c>
      <c r="S1820" s="29">
        <v>189</v>
      </c>
      <c r="T1820" s="32">
        <v>2.94</v>
      </c>
      <c r="U1820" s="32">
        <v>0</v>
      </c>
      <c r="V1820" s="41">
        <v>0</v>
      </c>
      <c r="W1820" s="21"/>
      <c r="X1820" s="21"/>
    </row>
    <row r="1821" spans="1:24" ht="15.75" thickBot="1" x14ac:dyDescent="0.3">
      <c r="A1821" t="str">
        <f t="shared" si="28"/>
        <v>MLDE291A34A</v>
      </c>
      <c r="B1821" s="22" t="s">
        <v>617</v>
      </c>
      <c r="C1821" s="22" t="s">
        <v>7408</v>
      </c>
      <c r="D1821" s="22" t="s">
        <v>7409</v>
      </c>
      <c r="E1821" s="22" t="s">
        <v>2290</v>
      </c>
      <c r="F1821" s="22" t="s">
        <v>5324</v>
      </c>
      <c r="G1821" s="28" t="s">
        <v>2012</v>
      </c>
      <c r="H1821" s="22" t="s">
        <v>2013</v>
      </c>
      <c r="I1821" s="21"/>
      <c r="J1821" s="22" t="s">
        <v>261</v>
      </c>
      <c r="K1821" s="22" t="s">
        <v>262</v>
      </c>
      <c r="L1821" s="21"/>
      <c r="M1821" s="22" t="s">
        <v>2034</v>
      </c>
      <c r="N1821" s="28" t="s">
        <v>2015</v>
      </c>
      <c r="O1821" s="28" t="s">
        <v>2016</v>
      </c>
      <c r="P1821" s="29">
        <v>0</v>
      </c>
      <c r="Q1821" s="28" t="s">
        <v>2017</v>
      </c>
      <c r="R1821" s="21"/>
      <c r="S1821" s="21"/>
      <c r="T1821" s="21"/>
      <c r="U1821" s="21"/>
      <c r="V1821" s="21"/>
      <c r="W1821" s="21"/>
      <c r="X1821" s="21"/>
    </row>
    <row r="1822" spans="1:24" ht="15.75" thickBot="1" x14ac:dyDescent="0.3">
      <c r="A1822" t="str">
        <f t="shared" si="28"/>
        <v>MLDE291A34MAPIA01</v>
      </c>
      <c r="B1822" s="22" t="s">
        <v>619</v>
      </c>
      <c r="C1822" s="22" t="s">
        <v>7410</v>
      </c>
      <c r="D1822" s="22" t="s">
        <v>620</v>
      </c>
      <c r="E1822" s="22" t="s">
        <v>2290</v>
      </c>
      <c r="F1822" s="22" t="s">
        <v>2504</v>
      </c>
      <c r="G1822" s="28" t="s">
        <v>2012</v>
      </c>
      <c r="H1822" s="22" t="s">
        <v>2013</v>
      </c>
      <c r="I1822" s="21"/>
      <c r="J1822" s="22" t="s">
        <v>261</v>
      </c>
      <c r="K1822" s="22" t="s">
        <v>262</v>
      </c>
      <c r="L1822" s="21"/>
      <c r="M1822" s="22" t="s">
        <v>2034</v>
      </c>
      <c r="N1822" s="28" t="s">
        <v>2015</v>
      </c>
      <c r="O1822" s="28" t="s">
        <v>2016</v>
      </c>
      <c r="P1822" s="29">
        <v>188</v>
      </c>
      <c r="Q1822" s="28" t="s">
        <v>2017</v>
      </c>
      <c r="R1822" s="41">
        <v>0.67337387373000002</v>
      </c>
      <c r="S1822" s="29">
        <v>17948</v>
      </c>
      <c r="T1822" s="32">
        <v>279.19111111111101</v>
      </c>
      <c r="U1822" s="32">
        <v>0</v>
      </c>
      <c r="V1822" s="41">
        <v>0.67337387373000002</v>
      </c>
      <c r="W1822" s="21"/>
      <c r="X1822" s="21"/>
    </row>
    <row r="1823" spans="1:24" ht="15.75" thickBot="1" x14ac:dyDescent="0.3">
      <c r="A1823" t="str">
        <f t="shared" si="28"/>
        <v>MLDE291A35A</v>
      </c>
      <c r="B1823" s="22" t="s">
        <v>621</v>
      </c>
      <c r="C1823" s="22" t="s">
        <v>7411</v>
      </c>
      <c r="D1823" s="22" t="s">
        <v>7412</v>
      </c>
      <c r="E1823" s="22" t="s">
        <v>2290</v>
      </c>
      <c r="F1823" s="22" t="s">
        <v>5324</v>
      </c>
      <c r="G1823" s="28" t="s">
        <v>2012</v>
      </c>
      <c r="H1823" s="22" t="s">
        <v>2013</v>
      </c>
      <c r="I1823" s="21"/>
      <c r="J1823" s="22" t="s">
        <v>261</v>
      </c>
      <c r="K1823" s="22" t="s">
        <v>262</v>
      </c>
      <c r="L1823" s="21"/>
      <c r="M1823" s="22" t="s">
        <v>2034</v>
      </c>
      <c r="N1823" s="28" t="s">
        <v>2015</v>
      </c>
      <c r="O1823" s="28" t="s">
        <v>2016</v>
      </c>
      <c r="P1823" s="29">
        <v>0</v>
      </c>
      <c r="Q1823" s="28" t="s">
        <v>2017</v>
      </c>
      <c r="R1823" s="41">
        <v>0</v>
      </c>
      <c r="S1823" s="29">
        <v>249</v>
      </c>
      <c r="T1823" s="32">
        <v>3.873333333333</v>
      </c>
      <c r="U1823" s="32">
        <v>0</v>
      </c>
      <c r="V1823" s="41">
        <v>0</v>
      </c>
      <c r="W1823" s="21"/>
      <c r="X1823" s="21"/>
    </row>
    <row r="1824" spans="1:24" ht="15.75" thickBot="1" x14ac:dyDescent="0.3">
      <c r="A1824" t="str">
        <f t="shared" si="28"/>
        <v>MLDE291A35MAPIA01</v>
      </c>
      <c r="B1824" s="22" t="s">
        <v>623</v>
      </c>
      <c r="C1824" s="22" t="s">
        <v>7413</v>
      </c>
      <c r="D1824" s="22" t="s">
        <v>624</v>
      </c>
      <c r="E1824" s="22" t="s">
        <v>2290</v>
      </c>
      <c r="F1824" s="22" t="s">
        <v>2504</v>
      </c>
      <c r="G1824" s="28" t="s">
        <v>2012</v>
      </c>
      <c r="H1824" s="22" t="s">
        <v>2013</v>
      </c>
      <c r="I1824" s="21"/>
      <c r="J1824" s="22" t="s">
        <v>261</v>
      </c>
      <c r="K1824" s="22" t="s">
        <v>262</v>
      </c>
      <c r="L1824" s="21"/>
      <c r="M1824" s="22" t="s">
        <v>2034</v>
      </c>
      <c r="N1824" s="28" t="s">
        <v>2015</v>
      </c>
      <c r="O1824" s="28" t="s">
        <v>2016</v>
      </c>
      <c r="P1824" s="29">
        <v>58</v>
      </c>
      <c r="Q1824" s="28" t="s">
        <v>2017</v>
      </c>
      <c r="R1824" s="41">
        <v>0.219276136707</v>
      </c>
      <c r="S1824" s="29">
        <v>17004</v>
      </c>
      <c r="T1824" s="32">
        <v>264.506666666667</v>
      </c>
      <c r="U1824" s="32">
        <v>0</v>
      </c>
      <c r="V1824" s="41">
        <v>0.219276136707</v>
      </c>
      <c r="W1824" s="21"/>
      <c r="X1824" s="21"/>
    </row>
    <row r="1825" spans="1:24" ht="15.75" thickBot="1" x14ac:dyDescent="0.3">
      <c r="A1825" t="str">
        <f t="shared" si="28"/>
        <v>MLDE31002CPIA</v>
      </c>
      <c r="B1825" s="22" t="s">
        <v>542</v>
      </c>
      <c r="C1825" s="22" t="s">
        <v>7414</v>
      </c>
      <c r="D1825" s="22" t="s">
        <v>7415</v>
      </c>
      <c r="E1825" s="22" t="s">
        <v>2290</v>
      </c>
      <c r="F1825" s="22" t="s">
        <v>2691</v>
      </c>
      <c r="G1825" s="28" t="s">
        <v>2012</v>
      </c>
      <c r="H1825" s="22" t="s">
        <v>2013</v>
      </c>
      <c r="I1825" s="21"/>
      <c r="J1825" s="22" t="s">
        <v>261</v>
      </c>
      <c r="K1825" s="22" t="s">
        <v>262</v>
      </c>
      <c r="L1825" s="21"/>
      <c r="M1825" s="22" t="s">
        <v>2034</v>
      </c>
      <c r="N1825" s="28" t="s">
        <v>2015</v>
      </c>
      <c r="O1825" s="28" t="s">
        <v>2016</v>
      </c>
      <c r="P1825" s="29">
        <v>-1</v>
      </c>
      <c r="Q1825" s="28" t="s">
        <v>2017</v>
      </c>
      <c r="R1825" s="41">
        <v>-3.934495029E-3</v>
      </c>
      <c r="S1825" s="29">
        <v>16339</v>
      </c>
      <c r="T1825" s="32">
        <v>254.162222222222</v>
      </c>
      <c r="U1825" s="32">
        <v>0</v>
      </c>
      <c r="V1825" s="41">
        <v>0</v>
      </c>
      <c r="W1825" s="21"/>
      <c r="X1825" s="21"/>
    </row>
    <row r="1826" spans="1:24" ht="15.75" thickBot="1" x14ac:dyDescent="0.3">
      <c r="A1826" t="str">
        <f t="shared" si="28"/>
        <v>MLDE31003CPIA</v>
      </c>
      <c r="B1826" s="22" t="s">
        <v>544</v>
      </c>
      <c r="C1826" s="22" t="s">
        <v>7416</v>
      </c>
      <c r="D1826" s="22" t="s">
        <v>7417</v>
      </c>
      <c r="E1826" s="22" t="s">
        <v>2290</v>
      </c>
      <c r="F1826" s="22" t="s">
        <v>2691</v>
      </c>
      <c r="G1826" s="28" t="s">
        <v>2012</v>
      </c>
      <c r="H1826" s="22" t="s">
        <v>2013</v>
      </c>
      <c r="I1826" s="21"/>
      <c r="J1826" s="22" t="s">
        <v>261</v>
      </c>
      <c r="K1826" s="22" t="s">
        <v>262</v>
      </c>
      <c r="L1826" s="21"/>
      <c r="M1826" s="22" t="s">
        <v>2034</v>
      </c>
      <c r="N1826" s="28" t="s">
        <v>2015</v>
      </c>
      <c r="O1826" s="28" t="s">
        <v>2016</v>
      </c>
      <c r="P1826" s="29">
        <v>1</v>
      </c>
      <c r="Q1826" s="28" t="s">
        <v>2017</v>
      </c>
      <c r="R1826" s="41">
        <v>3.8533665569999999E-3</v>
      </c>
      <c r="S1826" s="29">
        <v>16683</v>
      </c>
      <c r="T1826" s="32">
        <v>259.51333333333298</v>
      </c>
      <c r="U1826" s="32">
        <v>0</v>
      </c>
      <c r="V1826" s="41">
        <v>3.8533665569999999E-3</v>
      </c>
      <c r="W1826" s="21"/>
      <c r="X1826" s="21"/>
    </row>
    <row r="1827" spans="1:24" ht="15.75" thickBot="1" x14ac:dyDescent="0.3">
      <c r="A1827" t="str">
        <f t="shared" si="28"/>
        <v>MLDE31007E</v>
      </c>
      <c r="B1827" s="22" t="s">
        <v>642</v>
      </c>
      <c r="C1827" s="22" t="s">
        <v>7418</v>
      </c>
      <c r="D1827" s="22" t="s">
        <v>7419</v>
      </c>
      <c r="E1827" s="22" t="s">
        <v>2290</v>
      </c>
      <c r="F1827" s="22" t="s">
        <v>7420</v>
      </c>
      <c r="G1827" s="28" t="s">
        <v>2012</v>
      </c>
      <c r="H1827" s="22" t="s">
        <v>2013</v>
      </c>
      <c r="I1827" s="21"/>
      <c r="J1827" s="22" t="s">
        <v>261</v>
      </c>
      <c r="K1827" s="22" t="s">
        <v>262</v>
      </c>
      <c r="L1827" s="21"/>
      <c r="M1827" s="22" t="s">
        <v>2034</v>
      </c>
      <c r="N1827" s="28" t="s">
        <v>2015</v>
      </c>
      <c r="O1827" s="28" t="s">
        <v>2016</v>
      </c>
      <c r="P1827" s="29">
        <v>242</v>
      </c>
      <c r="Q1827" s="28" t="s">
        <v>2017</v>
      </c>
      <c r="R1827" s="41">
        <v>0.88948787061900003</v>
      </c>
      <c r="S1827" s="29">
        <v>17490</v>
      </c>
      <c r="T1827" s="32">
        <v>272.066666666667</v>
      </c>
      <c r="U1827" s="32">
        <v>0</v>
      </c>
      <c r="V1827" s="41">
        <v>0.88948787061900003</v>
      </c>
      <c r="W1827" s="21"/>
      <c r="X1827" s="21"/>
    </row>
    <row r="1828" spans="1:24" ht="15.75" thickBot="1" x14ac:dyDescent="0.3">
      <c r="A1828" t="str">
        <f t="shared" si="28"/>
        <v>MLDE403A86AB</v>
      </c>
      <c r="B1828" s="22" t="s">
        <v>548</v>
      </c>
      <c r="C1828" s="22" t="s">
        <v>7421</v>
      </c>
      <c r="D1828" s="22" t="s">
        <v>2384</v>
      </c>
      <c r="E1828" s="22" t="s">
        <v>2290</v>
      </c>
      <c r="F1828" s="22" t="s">
        <v>2385</v>
      </c>
      <c r="G1828" s="28" t="s">
        <v>2012</v>
      </c>
      <c r="H1828" s="22" t="s">
        <v>2013</v>
      </c>
      <c r="I1828" s="21"/>
      <c r="J1828" s="22" t="s">
        <v>261</v>
      </c>
      <c r="K1828" s="22" t="s">
        <v>262</v>
      </c>
      <c r="L1828" s="21"/>
      <c r="M1828" s="22" t="s">
        <v>2034</v>
      </c>
      <c r="N1828" s="28" t="s">
        <v>2015</v>
      </c>
      <c r="O1828" s="28" t="s">
        <v>2016</v>
      </c>
      <c r="P1828" s="29">
        <v>0</v>
      </c>
      <c r="Q1828" s="28" t="s">
        <v>2017</v>
      </c>
      <c r="R1828" s="41">
        <v>0</v>
      </c>
      <c r="S1828" s="29">
        <v>41</v>
      </c>
      <c r="T1828" s="32">
        <v>0.63777777777699995</v>
      </c>
      <c r="U1828" s="32">
        <v>0</v>
      </c>
      <c r="V1828" s="41">
        <v>0</v>
      </c>
      <c r="W1828" s="21"/>
      <c r="X1828" s="21"/>
    </row>
    <row r="1829" spans="1:24" ht="15.75" thickBot="1" x14ac:dyDescent="0.3">
      <c r="A1829" t="str">
        <f t="shared" si="28"/>
        <v>MLDE41018CPIA01</v>
      </c>
      <c r="B1829" s="22" t="s">
        <v>625</v>
      </c>
      <c r="C1829" s="22" t="s">
        <v>7422</v>
      </c>
      <c r="D1829" s="22" t="s">
        <v>7423</v>
      </c>
      <c r="E1829" s="22" t="s">
        <v>2290</v>
      </c>
      <c r="F1829" s="22" t="s">
        <v>2971</v>
      </c>
      <c r="G1829" s="28" t="s">
        <v>2012</v>
      </c>
      <c r="H1829" s="22" t="s">
        <v>2013</v>
      </c>
      <c r="I1829" s="21"/>
      <c r="J1829" s="22" t="s">
        <v>261</v>
      </c>
      <c r="K1829" s="22" t="s">
        <v>262</v>
      </c>
      <c r="L1829" s="21"/>
      <c r="M1829" s="22" t="s">
        <v>2034</v>
      </c>
      <c r="N1829" s="28" t="s">
        <v>2015</v>
      </c>
      <c r="O1829" s="28" t="s">
        <v>2016</v>
      </c>
      <c r="P1829" s="29">
        <v>-59</v>
      </c>
      <c r="Q1829" s="28" t="s">
        <v>2017</v>
      </c>
      <c r="R1829" s="41">
        <v>-0.221648968142</v>
      </c>
      <c r="S1829" s="29">
        <v>17112</v>
      </c>
      <c r="T1829" s="32">
        <v>266.18666666666701</v>
      </c>
      <c r="U1829" s="32">
        <v>0</v>
      </c>
      <c r="V1829" s="41">
        <v>0</v>
      </c>
      <c r="W1829" s="21"/>
      <c r="X1829" s="21"/>
    </row>
    <row r="1830" spans="1:24" ht="15.75" thickBot="1" x14ac:dyDescent="0.3">
      <c r="A1830" t="str">
        <f t="shared" si="28"/>
        <v>N1WB 14A563 KDW</v>
      </c>
      <c r="B1830" s="22" t="s">
        <v>7424</v>
      </c>
      <c r="C1830" s="22" t="s">
        <v>7425</v>
      </c>
      <c r="D1830" s="22" t="s">
        <v>321</v>
      </c>
      <c r="E1830" s="21"/>
      <c r="F1830" s="22" t="s">
        <v>3050</v>
      </c>
      <c r="G1830" s="28" t="s">
        <v>2012</v>
      </c>
      <c r="H1830" s="22" t="s">
        <v>2080</v>
      </c>
      <c r="I1830" s="21"/>
      <c r="J1830" s="22" t="s">
        <v>261</v>
      </c>
      <c r="K1830" s="22" t="s">
        <v>262</v>
      </c>
      <c r="L1830" s="21"/>
      <c r="M1830" s="22" t="s">
        <v>2014</v>
      </c>
      <c r="N1830" s="28" t="s">
        <v>2015</v>
      </c>
      <c r="O1830" s="28" t="s">
        <v>2016</v>
      </c>
      <c r="P1830" s="29">
        <v>0</v>
      </c>
      <c r="Q1830" s="28" t="s">
        <v>2017</v>
      </c>
      <c r="R1830" s="21"/>
      <c r="S1830" s="21"/>
      <c r="T1830" s="21"/>
      <c r="U1830" s="21"/>
      <c r="V1830" s="21"/>
      <c r="W1830" s="21"/>
      <c r="X1830" s="21"/>
    </row>
    <row r="1831" spans="1:24" ht="15.75" thickBot="1" x14ac:dyDescent="0.3">
      <c r="A1831" t="str">
        <f t="shared" si="28"/>
        <v>N1WB 14A564 SDW</v>
      </c>
      <c r="B1831" s="22" t="s">
        <v>7426</v>
      </c>
      <c r="C1831" s="22" t="s">
        <v>3589</v>
      </c>
      <c r="D1831" s="22" t="s">
        <v>345</v>
      </c>
      <c r="E1831" s="22" t="s">
        <v>3590</v>
      </c>
      <c r="F1831" s="22" t="s">
        <v>3050</v>
      </c>
      <c r="G1831" s="28" t="s">
        <v>2012</v>
      </c>
      <c r="H1831" s="22" t="s">
        <v>2080</v>
      </c>
      <c r="I1831" s="21"/>
      <c r="J1831" s="22" t="s">
        <v>261</v>
      </c>
      <c r="K1831" s="22" t="s">
        <v>262</v>
      </c>
      <c r="L1831" s="21"/>
      <c r="M1831" s="22" t="s">
        <v>2014</v>
      </c>
      <c r="N1831" s="28" t="s">
        <v>2015</v>
      </c>
      <c r="O1831" s="28" t="s">
        <v>2016</v>
      </c>
      <c r="P1831" s="29">
        <v>0</v>
      </c>
      <c r="Q1831" s="28" t="s">
        <v>2017</v>
      </c>
      <c r="R1831" s="21"/>
      <c r="S1831" s="21"/>
      <c r="T1831" s="21"/>
      <c r="U1831" s="21"/>
      <c r="V1831" s="21"/>
      <c r="W1831" s="21"/>
      <c r="X1831" s="21"/>
    </row>
    <row r="1832" spans="1:24" ht="15.75" thickBot="1" x14ac:dyDescent="0.3">
      <c r="A1832" t="str">
        <f t="shared" si="28"/>
        <v>N1WB 14A564 VDW</v>
      </c>
      <c r="B1832" s="22" t="s">
        <v>7427</v>
      </c>
      <c r="C1832" s="22" t="s">
        <v>7428</v>
      </c>
      <c r="D1832" s="22" t="s">
        <v>345</v>
      </c>
      <c r="E1832" s="22" t="s">
        <v>3517</v>
      </c>
      <c r="F1832" s="22" t="s">
        <v>3050</v>
      </c>
      <c r="G1832" s="28" t="s">
        <v>2012</v>
      </c>
      <c r="H1832" s="22" t="s">
        <v>2080</v>
      </c>
      <c r="I1832" s="21"/>
      <c r="J1832" s="22" t="s">
        <v>261</v>
      </c>
      <c r="K1832" s="22" t="s">
        <v>262</v>
      </c>
      <c r="L1832" s="21"/>
      <c r="M1832" s="22" t="s">
        <v>2014</v>
      </c>
      <c r="N1832" s="28" t="s">
        <v>2015</v>
      </c>
      <c r="O1832" s="28" t="s">
        <v>2016</v>
      </c>
      <c r="P1832" s="29">
        <v>0</v>
      </c>
      <c r="Q1832" s="28" t="s">
        <v>2017</v>
      </c>
      <c r="R1832" s="21"/>
      <c r="S1832" s="21"/>
      <c r="T1832" s="21"/>
      <c r="U1832" s="21"/>
      <c r="V1832" s="21"/>
      <c r="W1832" s="21"/>
      <c r="X1832" s="21"/>
    </row>
    <row r="1833" spans="1:24" ht="15.75" thickBot="1" x14ac:dyDescent="0.3">
      <c r="A1833" t="str">
        <f t="shared" si="28"/>
        <v>N1WB 14A567 BEW</v>
      </c>
      <c r="B1833" s="22" t="s">
        <v>7429</v>
      </c>
      <c r="C1833" s="22" t="s">
        <v>7430</v>
      </c>
      <c r="D1833" s="22" t="s">
        <v>3052</v>
      </c>
      <c r="E1833" s="21"/>
      <c r="F1833" s="22" t="s">
        <v>2350</v>
      </c>
      <c r="G1833" s="28" t="s">
        <v>2012</v>
      </c>
      <c r="H1833" s="22" t="s">
        <v>2080</v>
      </c>
      <c r="I1833" s="21"/>
      <c r="J1833" s="22" t="s">
        <v>261</v>
      </c>
      <c r="K1833" s="22" t="s">
        <v>262</v>
      </c>
      <c r="L1833" s="21"/>
      <c r="M1833" s="22" t="s">
        <v>2014</v>
      </c>
      <c r="N1833" s="28" t="s">
        <v>2015</v>
      </c>
      <c r="O1833" s="28" t="s">
        <v>2016</v>
      </c>
      <c r="P1833" s="29">
        <v>0</v>
      </c>
      <c r="Q1833" s="28" t="s">
        <v>2017</v>
      </c>
      <c r="R1833" s="21"/>
      <c r="S1833" s="21"/>
      <c r="T1833" s="21"/>
      <c r="U1833" s="21"/>
      <c r="V1833" s="21"/>
      <c r="W1833" s="21"/>
      <c r="X1833" s="21"/>
    </row>
    <row r="1834" spans="1:24" ht="15.75" thickBot="1" x14ac:dyDescent="0.3">
      <c r="A1834" t="str">
        <f t="shared" si="28"/>
        <v>N1WB 14A568 BEW</v>
      </c>
      <c r="B1834" s="22" t="s">
        <v>7431</v>
      </c>
      <c r="C1834" s="22" t="s">
        <v>7432</v>
      </c>
      <c r="D1834" s="22" t="s">
        <v>2670</v>
      </c>
      <c r="E1834" s="21"/>
      <c r="F1834" s="22" t="s">
        <v>2350</v>
      </c>
      <c r="G1834" s="28" t="s">
        <v>2012</v>
      </c>
      <c r="H1834" s="22" t="s">
        <v>2080</v>
      </c>
      <c r="I1834" s="21"/>
      <c r="J1834" s="22" t="s">
        <v>261</v>
      </c>
      <c r="K1834" s="22" t="s">
        <v>262</v>
      </c>
      <c r="L1834" s="21"/>
      <c r="M1834" s="22" t="s">
        <v>2014</v>
      </c>
      <c r="N1834" s="28" t="s">
        <v>2015</v>
      </c>
      <c r="O1834" s="28" t="s">
        <v>2016</v>
      </c>
      <c r="P1834" s="29">
        <v>0</v>
      </c>
      <c r="Q1834" s="28" t="s">
        <v>2017</v>
      </c>
      <c r="R1834" s="21"/>
      <c r="S1834" s="21"/>
      <c r="T1834" s="21"/>
      <c r="U1834" s="21"/>
      <c r="V1834" s="21"/>
      <c r="W1834" s="21"/>
      <c r="X1834" s="21"/>
    </row>
    <row r="1835" spans="1:24" ht="15.75" thickBot="1" x14ac:dyDescent="0.3">
      <c r="A1835" t="str">
        <f t="shared" si="28"/>
        <v>N1WB 16L556 AA</v>
      </c>
      <c r="B1835" s="22" t="s">
        <v>7433</v>
      </c>
      <c r="C1835" s="22" t="s">
        <v>7434</v>
      </c>
      <c r="D1835" s="22" t="s">
        <v>7435</v>
      </c>
      <c r="E1835" s="21"/>
      <c r="F1835" s="22" t="s">
        <v>7436</v>
      </c>
      <c r="G1835" s="28" t="s">
        <v>2012</v>
      </c>
      <c r="H1835" s="22" t="s">
        <v>2080</v>
      </c>
      <c r="I1835" s="21"/>
      <c r="J1835" s="22" t="s">
        <v>261</v>
      </c>
      <c r="K1835" s="22" t="s">
        <v>262</v>
      </c>
      <c r="L1835" s="21"/>
      <c r="M1835" s="22" t="s">
        <v>2014</v>
      </c>
      <c r="N1835" s="28" t="s">
        <v>2015</v>
      </c>
      <c r="O1835" s="28" t="s">
        <v>2016</v>
      </c>
      <c r="P1835" s="29">
        <v>0</v>
      </c>
      <c r="Q1835" s="28" t="s">
        <v>2017</v>
      </c>
      <c r="R1835" s="21"/>
      <c r="S1835" s="21"/>
      <c r="T1835" s="21"/>
      <c r="U1835" s="21"/>
      <c r="V1835" s="21"/>
      <c r="W1835" s="21"/>
      <c r="X1835" s="21"/>
    </row>
    <row r="1836" spans="1:24" ht="15.75" thickBot="1" x14ac:dyDescent="0.3">
      <c r="A1836" t="str">
        <f t="shared" si="28"/>
        <v>N1WB 16L557 AA</v>
      </c>
      <c r="B1836" s="22" t="s">
        <v>7437</v>
      </c>
      <c r="C1836" s="22" t="s">
        <v>7438</v>
      </c>
      <c r="D1836" s="22" t="s">
        <v>7439</v>
      </c>
      <c r="E1836" s="21"/>
      <c r="F1836" s="22" t="s">
        <v>7436</v>
      </c>
      <c r="G1836" s="28" t="s">
        <v>2012</v>
      </c>
      <c r="H1836" s="22" t="s">
        <v>2080</v>
      </c>
      <c r="I1836" s="21"/>
      <c r="J1836" s="22" t="s">
        <v>261</v>
      </c>
      <c r="K1836" s="22" t="s">
        <v>262</v>
      </c>
      <c r="L1836" s="21"/>
      <c r="M1836" s="22" t="s">
        <v>2014</v>
      </c>
      <c r="N1836" s="28" t="s">
        <v>2015</v>
      </c>
      <c r="O1836" s="28" t="s">
        <v>2016</v>
      </c>
      <c r="P1836" s="29">
        <v>0</v>
      </c>
      <c r="Q1836" s="28" t="s">
        <v>2017</v>
      </c>
      <c r="R1836" s="21"/>
      <c r="S1836" s="21"/>
      <c r="T1836" s="21"/>
      <c r="U1836" s="21"/>
      <c r="V1836" s="21"/>
      <c r="W1836" s="21"/>
      <c r="X1836" s="21"/>
    </row>
    <row r="1837" spans="1:24" ht="15.75" thickBot="1" x14ac:dyDescent="0.3">
      <c r="A1837" t="str">
        <f t="shared" si="28"/>
        <v>N1WB 16L558 FA</v>
      </c>
      <c r="B1837" s="22" t="s">
        <v>7440</v>
      </c>
      <c r="C1837" s="22" t="s">
        <v>7441</v>
      </c>
      <c r="D1837" s="22" t="s">
        <v>7442</v>
      </c>
      <c r="E1837" s="21"/>
      <c r="F1837" s="22" t="s">
        <v>2030</v>
      </c>
      <c r="G1837" s="28" t="s">
        <v>5499</v>
      </c>
      <c r="H1837" s="22" t="s">
        <v>2080</v>
      </c>
      <c r="I1837" s="21"/>
      <c r="J1837" s="22" t="s">
        <v>261</v>
      </c>
      <c r="K1837" s="22" t="s">
        <v>262</v>
      </c>
      <c r="L1837" s="21"/>
      <c r="M1837" s="22" t="s">
        <v>2014</v>
      </c>
      <c r="N1837" s="28" t="s">
        <v>2015</v>
      </c>
      <c r="O1837" s="28" t="s">
        <v>2016</v>
      </c>
      <c r="P1837" s="29">
        <v>0</v>
      </c>
      <c r="Q1837" s="28" t="s">
        <v>2017</v>
      </c>
      <c r="R1837" s="21"/>
      <c r="S1837" s="21"/>
      <c r="T1837" s="21"/>
      <c r="U1837" s="21"/>
      <c r="V1837" s="21"/>
      <c r="W1837" s="21"/>
      <c r="X1837" s="21"/>
    </row>
    <row r="1838" spans="1:24" ht="15.75" thickBot="1" x14ac:dyDescent="0.3">
      <c r="A1838" t="str">
        <f t="shared" si="28"/>
        <v>N1WB 16L558 FB</v>
      </c>
      <c r="B1838" s="22" t="s">
        <v>7443</v>
      </c>
      <c r="C1838" s="22" t="s">
        <v>7444</v>
      </c>
      <c r="D1838" s="22" t="s">
        <v>7442</v>
      </c>
      <c r="E1838" s="21"/>
      <c r="F1838" s="22" t="s">
        <v>2030</v>
      </c>
      <c r="G1838" s="28" t="s">
        <v>2012</v>
      </c>
      <c r="H1838" s="22" t="s">
        <v>2080</v>
      </c>
      <c r="I1838" s="21"/>
      <c r="J1838" s="22" t="s">
        <v>261</v>
      </c>
      <c r="K1838" s="22" t="s">
        <v>262</v>
      </c>
      <c r="L1838" s="21"/>
      <c r="M1838" s="22" t="s">
        <v>2014</v>
      </c>
      <c r="N1838" s="28" t="s">
        <v>2015</v>
      </c>
      <c r="O1838" s="28" t="s">
        <v>2016</v>
      </c>
      <c r="P1838" s="29">
        <v>0</v>
      </c>
      <c r="Q1838" s="28" t="s">
        <v>2017</v>
      </c>
      <c r="R1838" s="21"/>
      <c r="S1838" s="21"/>
      <c r="T1838" s="21"/>
      <c r="U1838" s="21"/>
      <c r="V1838" s="21"/>
      <c r="W1838" s="21"/>
      <c r="X1838" s="21"/>
    </row>
    <row r="1839" spans="1:24" ht="15.75" thickBot="1" x14ac:dyDescent="0.3">
      <c r="A1839" t="str">
        <f t="shared" si="28"/>
        <v>N1WB 16L559 DB</v>
      </c>
      <c r="B1839" s="22" t="s">
        <v>499</v>
      </c>
      <c r="C1839" s="22" t="s">
        <v>7445</v>
      </c>
      <c r="D1839" s="22" t="s">
        <v>7446</v>
      </c>
      <c r="E1839" s="21"/>
      <c r="F1839" s="22" t="s">
        <v>2030</v>
      </c>
      <c r="G1839" s="28" t="s">
        <v>2012</v>
      </c>
      <c r="H1839" s="22" t="s">
        <v>2080</v>
      </c>
      <c r="I1839" s="21"/>
      <c r="J1839" s="22" t="s">
        <v>261</v>
      </c>
      <c r="K1839" s="22" t="s">
        <v>262</v>
      </c>
      <c r="L1839" s="21"/>
      <c r="M1839" s="22" t="s">
        <v>2014</v>
      </c>
      <c r="N1839" s="28" t="s">
        <v>2015</v>
      </c>
      <c r="O1839" s="28" t="s">
        <v>2016</v>
      </c>
      <c r="P1839" s="29">
        <v>0</v>
      </c>
      <c r="Q1839" s="28" t="s">
        <v>2017</v>
      </c>
      <c r="R1839" s="41">
        <v>0</v>
      </c>
      <c r="S1839" s="29">
        <v>24</v>
      </c>
      <c r="T1839" s="32">
        <v>0.37333333333300001</v>
      </c>
      <c r="U1839" s="32">
        <v>0</v>
      </c>
      <c r="V1839" s="41">
        <v>0</v>
      </c>
      <c r="W1839" s="21"/>
      <c r="X1839" s="21"/>
    </row>
    <row r="1840" spans="1:24" ht="15.75" thickBot="1" x14ac:dyDescent="0.3">
      <c r="A1840" t="str">
        <f t="shared" si="28"/>
        <v>N1WB 16L559 FB</v>
      </c>
      <c r="B1840" s="22" t="s">
        <v>501</v>
      </c>
      <c r="C1840" s="22" t="s">
        <v>7447</v>
      </c>
      <c r="D1840" s="22" t="s">
        <v>7448</v>
      </c>
      <c r="E1840" s="21"/>
      <c r="F1840" s="22" t="s">
        <v>2030</v>
      </c>
      <c r="G1840" s="28" t="s">
        <v>2012</v>
      </c>
      <c r="H1840" s="22" t="s">
        <v>2080</v>
      </c>
      <c r="I1840" s="21"/>
      <c r="J1840" s="22" t="s">
        <v>261</v>
      </c>
      <c r="K1840" s="22" t="s">
        <v>262</v>
      </c>
      <c r="L1840" s="21"/>
      <c r="M1840" s="22" t="s">
        <v>2014</v>
      </c>
      <c r="N1840" s="28" t="s">
        <v>2015</v>
      </c>
      <c r="O1840" s="28" t="s">
        <v>2016</v>
      </c>
      <c r="P1840" s="29">
        <v>0</v>
      </c>
      <c r="Q1840" s="28" t="s">
        <v>2017</v>
      </c>
      <c r="R1840" s="41">
        <v>0</v>
      </c>
      <c r="S1840" s="29">
        <v>13</v>
      </c>
      <c r="T1840" s="32">
        <v>0.20222222222200001</v>
      </c>
      <c r="U1840" s="32">
        <v>0</v>
      </c>
      <c r="V1840" s="41">
        <v>0</v>
      </c>
      <c r="W1840" s="21"/>
      <c r="X1840" s="21"/>
    </row>
    <row r="1841" spans="1:24" ht="15.75" thickBot="1" x14ac:dyDescent="0.3">
      <c r="A1841" t="str">
        <f t="shared" si="28"/>
        <v>N1WB 16L560 FA</v>
      </c>
      <c r="B1841" s="22" t="s">
        <v>7449</v>
      </c>
      <c r="C1841" s="22" t="s">
        <v>7450</v>
      </c>
      <c r="D1841" s="22" t="s">
        <v>7442</v>
      </c>
      <c r="E1841" s="21"/>
      <c r="F1841" s="22" t="s">
        <v>2030</v>
      </c>
      <c r="G1841" s="28" t="s">
        <v>5499</v>
      </c>
      <c r="H1841" s="22" t="s">
        <v>2080</v>
      </c>
      <c r="I1841" s="21"/>
      <c r="J1841" s="22" t="s">
        <v>261</v>
      </c>
      <c r="K1841" s="22" t="s">
        <v>262</v>
      </c>
      <c r="L1841" s="21"/>
      <c r="M1841" s="22" t="s">
        <v>2014</v>
      </c>
      <c r="N1841" s="28" t="s">
        <v>2015</v>
      </c>
      <c r="O1841" s="28" t="s">
        <v>2016</v>
      </c>
      <c r="P1841" s="29">
        <v>0</v>
      </c>
      <c r="Q1841" s="28" t="s">
        <v>2017</v>
      </c>
      <c r="R1841" s="41">
        <v>0</v>
      </c>
      <c r="S1841" s="29">
        <v>4</v>
      </c>
      <c r="T1841" s="32">
        <v>6.2222222222000002E-2</v>
      </c>
      <c r="U1841" s="32">
        <v>0</v>
      </c>
      <c r="V1841" s="41">
        <v>0</v>
      </c>
      <c r="W1841" s="21"/>
      <c r="X1841" s="21"/>
    </row>
    <row r="1842" spans="1:24" ht="15.75" thickBot="1" x14ac:dyDescent="0.3">
      <c r="A1842" t="str">
        <f t="shared" si="28"/>
        <v>N1WB 16L560 FB</v>
      </c>
      <c r="B1842" s="22" t="s">
        <v>7451</v>
      </c>
      <c r="C1842" s="22" t="s">
        <v>7452</v>
      </c>
      <c r="D1842" s="22" t="s">
        <v>7442</v>
      </c>
      <c r="E1842" s="21"/>
      <c r="F1842" s="22" t="s">
        <v>2030</v>
      </c>
      <c r="G1842" s="28" t="s">
        <v>2012</v>
      </c>
      <c r="H1842" s="22" t="s">
        <v>2080</v>
      </c>
      <c r="I1842" s="21"/>
      <c r="J1842" s="22" t="s">
        <v>261</v>
      </c>
      <c r="K1842" s="22" t="s">
        <v>262</v>
      </c>
      <c r="L1842" s="21"/>
      <c r="M1842" s="22" t="s">
        <v>2014</v>
      </c>
      <c r="N1842" s="28" t="s">
        <v>2015</v>
      </c>
      <c r="O1842" s="28" t="s">
        <v>2016</v>
      </c>
      <c r="P1842" s="29">
        <v>30</v>
      </c>
      <c r="Q1842" s="28" t="s">
        <v>2017</v>
      </c>
      <c r="R1842" s="21"/>
      <c r="S1842" s="21"/>
      <c r="T1842" s="21"/>
      <c r="U1842" s="21"/>
      <c r="V1842" s="21"/>
      <c r="W1842" s="21"/>
      <c r="X1842" s="21"/>
    </row>
    <row r="1843" spans="1:24" ht="15.75" thickBot="1" x14ac:dyDescent="0.3">
      <c r="A1843" t="str">
        <f t="shared" si="28"/>
        <v>N1WB 16L561 DC</v>
      </c>
      <c r="B1843" s="22" t="s">
        <v>504</v>
      </c>
      <c r="C1843" s="22" t="s">
        <v>7453</v>
      </c>
      <c r="D1843" s="22" t="s">
        <v>7446</v>
      </c>
      <c r="E1843" s="21"/>
      <c r="F1843" s="22" t="s">
        <v>2030</v>
      </c>
      <c r="G1843" s="28" t="s">
        <v>2012</v>
      </c>
      <c r="H1843" s="22" t="s">
        <v>2080</v>
      </c>
      <c r="I1843" s="21"/>
      <c r="J1843" s="22" t="s">
        <v>261</v>
      </c>
      <c r="K1843" s="22" t="s">
        <v>262</v>
      </c>
      <c r="L1843" s="21"/>
      <c r="M1843" s="22" t="s">
        <v>2014</v>
      </c>
      <c r="N1843" s="28" t="s">
        <v>2015</v>
      </c>
      <c r="O1843" s="28" t="s">
        <v>2016</v>
      </c>
      <c r="P1843" s="29">
        <v>0</v>
      </c>
      <c r="Q1843" s="28" t="s">
        <v>2017</v>
      </c>
      <c r="R1843" s="41">
        <v>0</v>
      </c>
      <c r="S1843" s="29">
        <v>42</v>
      </c>
      <c r="T1843" s="32">
        <v>0.65333333333300003</v>
      </c>
      <c r="U1843" s="32">
        <v>0</v>
      </c>
      <c r="V1843" s="41">
        <v>0</v>
      </c>
      <c r="W1843" s="21"/>
      <c r="X1843" s="21"/>
    </row>
    <row r="1844" spans="1:24" ht="15.75" thickBot="1" x14ac:dyDescent="0.3">
      <c r="A1844" t="str">
        <f t="shared" si="28"/>
        <v>N1WB 16L561 FB</v>
      </c>
      <c r="B1844" s="22" t="s">
        <v>505</v>
      </c>
      <c r="C1844" s="22" t="s">
        <v>7454</v>
      </c>
      <c r="D1844" s="22" t="s">
        <v>7448</v>
      </c>
      <c r="E1844" s="21"/>
      <c r="F1844" s="22" t="s">
        <v>2030</v>
      </c>
      <c r="G1844" s="28" t="s">
        <v>2012</v>
      </c>
      <c r="H1844" s="22" t="s">
        <v>2080</v>
      </c>
      <c r="I1844" s="21"/>
      <c r="J1844" s="22" t="s">
        <v>261</v>
      </c>
      <c r="K1844" s="22" t="s">
        <v>262</v>
      </c>
      <c r="L1844" s="21"/>
      <c r="M1844" s="22" t="s">
        <v>2014</v>
      </c>
      <c r="N1844" s="28" t="s">
        <v>2015</v>
      </c>
      <c r="O1844" s="28" t="s">
        <v>2016</v>
      </c>
      <c r="P1844" s="29">
        <v>0</v>
      </c>
      <c r="Q1844" s="28" t="s">
        <v>2017</v>
      </c>
      <c r="R1844" s="41">
        <v>0</v>
      </c>
      <c r="S1844" s="29">
        <v>11</v>
      </c>
      <c r="T1844" s="32">
        <v>0.171111111111</v>
      </c>
      <c r="U1844" s="32">
        <v>0</v>
      </c>
      <c r="V1844" s="41">
        <v>0</v>
      </c>
      <c r="W1844" s="21"/>
      <c r="X1844" s="21"/>
    </row>
    <row r="1845" spans="1:24" ht="15.75" thickBot="1" x14ac:dyDescent="0.3">
      <c r="A1845" t="str">
        <f t="shared" si="28"/>
        <v>N1WB 17C790 GA</v>
      </c>
      <c r="B1845" s="22" t="s">
        <v>300</v>
      </c>
      <c r="C1845" s="22" t="s">
        <v>7455</v>
      </c>
      <c r="D1845" s="22" t="s">
        <v>7456</v>
      </c>
      <c r="E1845" s="21"/>
      <c r="F1845" s="22" t="s">
        <v>3593</v>
      </c>
      <c r="G1845" s="28" t="s">
        <v>2012</v>
      </c>
      <c r="H1845" s="22" t="s">
        <v>2080</v>
      </c>
      <c r="I1845" s="21"/>
      <c r="J1845" s="22" t="s">
        <v>261</v>
      </c>
      <c r="K1845" s="22" t="s">
        <v>262</v>
      </c>
      <c r="L1845" s="21"/>
      <c r="M1845" s="22" t="s">
        <v>2014</v>
      </c>
      <c r="N1845" s="28" t="s">
        <v>2015</v>
      </c>
      <c r="O1845" s="28" t="s">
        <v>2016</v>
      </c>
      <c r="P1845" s="29">
        <v>-4</v>
      </c>
      <c r="Q1845" s="28" t="s">
        <v>2017</v>
      </c>
      <c r="R1845" s="41">
        <v>-9.5097210481000005E-2</v>
      </c>
      <c r="S1845" s="29">
        <v>2704</v>
      </c>
      <c r="T1845" s="32">
        <v>42.062222222221997</v>
      </c>
      <c r="U1845" s="32">
        <v>0</v>
      </c>
      <c r="V1845" s="41">
        <v>0</v>
      </c>
      <c r="W1845" s="21"/>
      <c r="X1845" s="21"/>
    </row>
    <row r="1846" spans="1:24" ht="15.75" thickBot="1" x14ac:dyDescent="0.3">
      <c r="A1846" t="str">
        <f t="shared" si="28"/>
        <v>N1WB 17D568 EE3JA6</v>
      </c>
      <c r="B1846" s="22" t="s">
        <v>7457</v>
      </c>
      <c r="C1846" s="22" t="s">
        <v>7458</v>
      </c>
      <c r="D1846" s="22" t="s">
        <v>2387</v>
      </c>
      <c r="E1846" s="21"/>
      <c r="F1846" s="22" t="s">
        <v>2388</v>
      </c>
      <c r="G1846" s="28" t="s">
        <v>2012</v>
      </c>
      <c r="H1846" s="22" t="s">
        <v>2055</v>
      </c>
      <c r="I1846" s="21"/>
      <c r="J1846" s="22" t="s">
        <v>261</v>
      </c>
      <c r="K1846" s="22" t="s">
        <v>262</v>
      </c>
      <c r="L1846" s="21"/>
      <c r="M1846" s="22" t="s">
        <v>2014</v>
      </c>
      <c r="N1846" s="28" t="s">
        <v>2015</v>
      </c>
      <c r="O1846" s="28" t="s">
        <v>2016</v>
      </c>
      <c r="P1846" s="29">
        <v>0</v>
      </c>
      <c r="Q1846" s="28" t="s">
        <v>2017</v>
      </c>
      <c r="R1846" s="21"/>
      <c r="S1846" s="21"/>
      <c r="T1846" s="21"/>
      <c r="U1846" s="21"/>
      <c r="V1846" s="21"/>
      <c r="W1846" s="21"/>
      <c r="X1846" s="21"/>
    </row>
    <row r="1847" spans="1:24" ht="15.75" thickBot="1" x14ac:dyDescent="0.3">
      <c r="A1847" t="str">
        <f t="shared" si="28"/>
        <v>N1WB 17D568 EFW</v>
      </c>
      <c r="B1847" s="22" t="s">
        <v>7459</v>
      </c>
      <c r="C1847" s="22" t="s">
        <v>7460</v>
      </c>
      <c r="D1847" s="22" t="s">
        <v>2387</v>
      </c>
      <c r="E1847" s="21"/>
      <c r="F1847" s="22" t="s">
        <v>2388</v>
      </c>
      <c r="G1847" s="28" t="s">
        <v>2012</v>
      </c>
      <c r="H1847" s="22" t="s">
        <v>2055</v>
      </c>
      <c r="I1847" s="21"/>
      <c r="J1847" s="22" t="s">
        <v>261</v>
      </c>
      <c r="K1847" s="22" t="s">
        <v>262</v>
      </c>
      <c r="L1847" s="21"/>
      <c r="M1847" s="22" t="s">
        <v>2014</v>
      </c>
      <c r="N1847" s="28" t="s">
        <v>2015</v>
      </c>
      <c r="O1847" s="28" t="s">
        <v>2016</v>
      </c>
      <c r="P1847" s="29">
        <v>0</v>
      </c>
      <c r="Q1847" s="28" t="s">
        <v>2017</v>
      </c>
      <c r="R1847" s="21"/>
      <c r="S1847" s="21"/>
      <c r="T1847" s="21"/>
      <c r="U1847" s="21"/>
      <c r="V1847" s="21"/>
      <c r="W1847" s="21"/>
      <c r="X1847" s="21"/>
    </row>
    <row r="1848" spans="1:24" ht="15.75" thickBot="1" x14ac:dyDescent="0.3">
      <c r="A1848" t="str">
        <f t="shared" si="28"/>
        <v>N1WB 17D568 EFW-01</v>
      </c>
      <c r="B1848" s="22" t="s">
        <v>286</v>
      </c>
      <c r="C1848" s="22" t="s">
        <v>7460</v>
      </c>
      <c r="D1848" s="22" t="s">
        <v>2387</v>
      </c>
      <c r="E1848" s="21"/>
      <c r="F1848" s="22" t="s">
        <v>2388</v>
      </c>
      <c r="G1848" s="28" t="s">
        <v>2012</v>
      </c>
      <c r="H1848" s="22" t="s">
        <v>2055</v>
      </c>
      <c r="I1848" s="21"/>
      <c r="J1848" s="22" t="s">
        <v>261</v>
      </c>
      <c r="K1848" s="22" t="s">
        <v>262</v>
      </c>
      <c r="L1848" s="21"/>
      <c r="M1848" s="22" t="s">
        <v>2014</v>
      </c>
      <c r="N1848" s="28" t="s">
        <v>2015</v>
      </c>
      <c r="O1848" s="28" t="s">
        <v>2016</v>
      </c>
      <c r="P1848" s="29">
        <v>0</v>
      </c>
      <c r="Q1848" s="28" t="s">
        <v>2017</v>
      </c>
      <c r="R1848" s="21"/>
      <c r="S1848" s="21"/>
      <c r="T1848" s="21"/>
      <c r="U1848" s="21"/>
      <c r="V1848" s="21"/>
      <c r="W1848" s="21"/>
      <c r="X1848" s="21"/>
    </row>
    <row r="1849" spans="1:24" ht="15.75" thickBot="1" x14ac:dyDescent="0.3">
      <c r="A1849" t="str">
        <f t="shared" si="28"/>
        <v>N1WB 17D698 AD3ZHE</v>
      </c>
      <c r="B1849" s="22" t="s">
        <v>302</v>
      </c>
      <c r="C1849" s="22" t="s">
        <v>7461</v>
      </c>
      <c r="D1849" s="22" t="s">
        <v>303</v>
      </c>
      <c r="E1849" s="21"/>
      <c r="F1849" s="22" t="s">
        <v>2390</v>
      </c>
      <c r="G1849" s="28" t="s">
        <v>2012</v>
      </c>
      <c r="H1849" s="22" t="s">
        <v>2055</v>
      </c>
      <c r="I1849" s="21"/>
      <c r="J1849" s="22" t="s">
        <v>261</v>
      </c>
      <c r="K1849" s="22" t="s">
        <v>262</v>
      </c>
      <c r="L1849" s="21"/>
      <c r="M1849" s="22" t="s">
        <v>2014</v>
      </c>
      <c r="N1849" s="28" t="s">
        <v>2015</v>
      </c>
      <c r="O1849" s="28" t="s">
        <v>2016</v>
      </c>
      <c r="P1849" s="29">
        <v>-18</v>
      </c>
      <c r="Q1849" s="28" t="s">
        <v>2017</v>
      </c>
      <c r="R1849" s="41">
        <v>-6.7637529643000002E-2</v>
      </c>
      <c r="S1849" s="29">
        <v>17108</v>
      </c>
      <c r="T1849" s="32">
        <v>266.12444444444401</v>
      </c>
      <c r="U1849" s="32">
        <v>0</v>
      </c>
      <c r="V1849" s="41">
        <v>0</v>
      </c>
      <c r="W1849" s="21"/>
      <c r="X1849" s="21"/>
    </row>
    <row r="1850" spans="1:24" ht="15.75" thickBot="1" x14ac:dyDescent="0.3">
      <c r="A1850" t="str">
        <f t="shared" si="28"/>
        <v>N1WB 17D698 ADW</v>
      </c>
      <c r="B1850" s="22" t="s">
        <v>7462</v>
      </c>
      <c r="C1850" s="22" t="s">
        <v>7463</v>
      </c>
      <c r="D1850" s="22" t="s">
        <v>303</v>
      </c>
      <c r="E1850" s="21"/>
      <c r="F1850" s="22" t="s">
        <v>2390</v>
      </c>
      <c r="G1850" s="28" t="s">
        <v>2012</v>
      </c>
      <c r="H1850" s="22" t="s">
        <v>2055</v>
      </c>
      <c r="I1850" s="21"/>
      <c r="J1850" s="22" t="s">
        <v>261</v>
      </c>
      <c r="K1850" s="22" t="s">
        <v>262</v>
      </c>
      <c r="L1850" s="21"/>
      <c r="M1850" s="22" t="s">
        <v>2014</v>
      </c>
      <c r="N1850" s="28" t="s">
        <v>2015</v>
      </c>
      <c r="O1850" s="28" t="s">
        <v>2016</v>
      </c>
      <c r="P1850" s="29">
        <v>0</v>
      </c>
      <c r="Q1850" s="28" t="s">
        <v>2017</v>
      </c>
      <c r="R1850" s="21"/>
      <c r="S1850" s="21"/>
      <c r="T1850" s="21"/>
      <c r="U1850" s="21"/>
      <c r="V1850" s="21"/>
      <c r="W1850" s="21"/>
      <c r="X1850" s="21"/>
    </row>
    <row r="1851" spans="1:24" ht="15.75" thickBot="1" x14ac:dyDescent="0.3">
      <c r="A1851" t="str">
        <f t="shared" si="28"/>
        <v>N1WB 17D699 ADW</v>
      </c>
      <c r="B1851" s="22" t="s">
        <v>7464</v>
      </c>
      <c r="C1851" s="22" t="s">
        <v>2389</v>
      </c>
      <c r="D1851" s="22" t="s">
        <v>303</v>
      </c>
      <c r="E1851" s="21"/>
      <c r="F1851" s="22" t="s">
        <v>2390</v>
      </c>
      <c r="G1851" s="28" t="s">
        <v>2012</v>
      </c>
      <c r="H1851" s="22" t="s">
        <v>2055</v>
      </c>
      <c r="I1851" s="21"/>
      <c r="J1851" s="22" t="s">
        <v>261</v>
      </c>
      <c r="K1851" s="22" t="s">
        <v>262</v>
      </c>
      <c r="L1851" s="21"/>
      <c r="M1851" s="22" t="s">
        <v>2014</v>
      </c>
      <c r="N1851" s="28" t="s">
        <v>2015</v>
      </c>
      <c r="O1851" s="28" t="s">
        <v>2016</v>
      </c>
      <c r="P1851" s="29">
        <v>0</v>
      </c>
      <c r="Q1851" s="28" t="s">
        <v>2017</v>
      </c>
      <c r="R1851" s="21"/>
      <c r="S1851" s="21"/>
      <c r="T1851" s="21"/>
      <c r="U1851" s="21"/>
      <c r="V1851" s="21"/>
      <c r="W1851" s="21"/>
      <c r="X1851" s="21"/>
    </row>
    <row r="1852" spans="1:24" ht="15.75" thickBot="1" x14ac:dyDescent="0.3">
      <c r="A1852" t="str">
        <f t="shared" si="28"/>
        <v>N1WB 8C291 CD</v>
      </c>
      <c r="B1852" s="22" t="s">
        <v>7465</v>
      </c>
      <c r="C1852" s="22" t="s">
        <v>7466</v>
      </c>
      <c r="D1852" s="22" t="s">
        <v>7467</v>
      </c>
      <c r="E1852" s="21"/>
      <c r="F1852" s="22" t="s">
        <v>7322</v>
      </c>
      <c r="G1852" s="28" t="s">
        <v>2012</v>
      </c>
      <c r="H1852" s="22" t="s">
        <v>2080</v>
      </c>
      <c r="I1852" s="21"/>
      <c r="J1852" s="22" t="s">
        <v>261</v>
      </c>
      <c r="K1852" s="22" t="s">
        <v>262</v>
      </c>
      <c r="L1852" s="21"/>
      <c r="M1852" s="22" t="s">
        <v>2014</v>
      </c>
      <c r="N1852" s="28" t="s">
        <v>2015</v>
      </c>
      <c r="O1852" s="28" t="s">
        <v>2016</v>
      </c>
      <c r="P1852" s="29">
        <v>132</v>
      </c>
      <c r="Q1852" s="28" t="s">
        <v>2017</v>
      </c>
      <c r="R1852" s="41">
        <v>0.485258436879</v>
      </c>
      <c r="S1852" s="29">
        <v>17487</v>
      </c>
      <c r="T1852" s="32">
        <v>272.02</v>
      </c>
      <c r="U1852" s="32">
        <v>0</v>
      </c>
      <c r="V1852" s="41">
        <v>0.485258436879</v>
      </c>
      <c r="W1852" s="21"/>
      <c r="X1852" s="21"/>
    </row>
    <row r="1853" spans="1:24" ht="15.75" thickBot="1" x14ac:dyDescent="0.3">
      <c r="A1853" t="str">
        <f t="shared" si="28"/>
        <v>N1WB 9G924 AA</v>
      </c>
      <c r="B1853" s="22" t="s">
        <v>7468</v>
      </c>
      <c r="C1853" s="22" t="s">
        <v>7469</v>
      </c>
      <c r="D1853" s="22" t="s">
        <v>7470</v>
      </c>
      <c r="E1853" s="21"/>
      <c r="F1853" s="22" t="s">
        <v>2030</v>
      </c>
      <c r="G1853" s="28" t="s">
        <v>5499</v>
      </c>
      <c r="H1853" s="22" t="s">
        <v>2080</v>
      </c>
      <c r="I1853" s="21"/>
      <c r="J1853" s="22" t="s">
        <v>261</v>
      </c>
      <c r="K1853" s="22" t="s">
        <v>262</v>
      </c>
      <c r="L1853" s="21"/>
      <c r="M1853" s="22" t="s">
        <v>2014</v>
      </c>
      <c r="N1853" s="28" t="s">
        <v>2015</v>
      </c>
      <c r="O1853" s="28" t="s">
        <v>2016</v>
      </c>
      <c r="P1853" s="29">
        <v>0</v>
      </c>
      <c r="Q1853" s="28" t="s">
        <v>2017</v>
      </c>
      <c r="R1853" s="21"/>
      <c r="S1853" s="21"/>
      <c r="T1853" s="21"/>
      <c r="U1853" s="21"/>
      <c r="V1853" s="21"/>
      <c r="W1853" s="21"/>
      <c r="X1853" s="21"/>
    </row>
    <row r="1854" spans="1:24" ht="15.75" thickBot="1" x14ac:dyDescent="0.3">
      <c r="A1854" t="str">
        <f t="shared" si="28"/>
        <v>N1WB E03512 DEW</v>
      </c>
      <c r="B1854" s="22" t="s">
        <v>7471</v>
      </c>
      <c r="C1854" s="22" t="s">
        <v>7472</v>
      </c>
      <c r="D1854" s="22" t="s">
        <v>2810</v>
      </c>
      <c r="E1854" s="21"/>
      <c r="F1854" s="22" t="s">
        <v>2398</v>
      </c>
      <c r="G1854" s="28" t="s">
        <v>2012</v>
      </c>
      <c r="H1854" s="22" t="s">
        <v>2055</v>
      </c>
      <c r="I1854" s="21"/>
      <c r="J1854" s="22" t="s">
        <v>261</v>
      </c>
      <c r="K1854" s="22" t="s">
        <v>262</v>
      </c>
      <c r="L1854" s="21"/>
      <c r="M1854" s="22" t="s">
        <v>2014</v>
      </c>
      <c r="N1854" s="28" t="s">
        <v>2015</v>
      </c>
      <c r="O1854" s="28" t="s">
        <v>2016</v>
      </c>
      <c r="P1854" s="29">
        <v>0</v>
      </c>
      <c r="Q1854" s="28" t="s">
        <v>2017</v>
      </c>
      <c r="R1854" s="21"/>
      <c r="S1854" s="21"/>
      <c r="T1854" s="21"/>
      <c r="U1854" s="21"/>
      <c r="V1854" s="21"/>
      <c r="W1854" s="21"/>
      <c r="X1854" s="21"/>
    </row>
    <row r="1855" spans="1:24" ht="15.75" thickBot="1" x14ac:dyDescent="0.3">
      <c r="A1855" t="str">
        <f t="shared" si="28"/>
        <v>N1WB E03512 EEW</v>
      </c>
      <c r="B1855" s="22" t="s">
        <v>7473</v>
      </c>
      <c r="C1855" s="22" t="s">
        <v>7474</v>
      </c>
      <c r="D1855" s="22" t="s">
        <v>2812</v>
      </c>
      <c r="E1855" s="21"/>
      <c r="F1855" s="22" t="s">
        <v>2398</v>
      </c>
      <c r="G1855" s="28" t="s">
        <v>2012</v>
      </c>
      <c r="H1855" s="22" t="s">
        <v>2055</v>
      </c>
      <c r="I1855" s="21"/>
      <c r="J1855" s="22" t="s">
        <v>261</v>
      </c>
      <c r="K1855" s="22" t="s">
        <v>262</v>
      </c>
      <c r="L1855" s="21"/>
      <c r="M1855" s="22" t="s">
        <v>2014</v>
      </c>
      <c r="N1855" s="28" t="s">
        <v>2015</v>
      </c>
      <c r="O1855" s="28" t="s">
        <v>2016</v>
      </c>
      <c r="P1855" s="29">
        <v>0</v>
      </c>
      <c r="Q1855" s="28" t="s">
        <v>2017</v>
      </c>
      <c r="R1855" s="21"/>
      <c r="S1855" s="21"/>
      <c r="T1855" s="21"/>
      <c r="U1855" s="21"/>
      <c r="V1855" s="21"/>
      <c r="W1855" s="21"/>
      <c r="X1855" s="21"/>
    </row>
    <row r="1856" spans="1:24" ht="15.75" thickBot="1" x14ac:dyDescent="0.3">
      <c r="A1856" t="str">
        <f t="shared" si="28"/>
        <v>N1WB E03512 EEW-01</v>
      </c>
      <c r="B1856" s="22" t="s">
        <v>266</v>
      </c>
      <c r="C1856" s="22" t="s">
        <v>7474</v>
      </c>
      <c r="D1856" s="22" t="s">
        <v>2812</v>
      </c>
      <c r="E1856" s="21"/>
      <c r="F1856" s="22" t="s">
        <v>2398</v>
      </c>
      <c r="G1856" s="28" t="s">
        <v>2012</v>
      </c>
      <c r="H1856" s="22" t="s">
        <v>2055</v>
      </c>
      <c r="I1856" s="21"/>
      <c r="J1856" s="22" t="s">
        <v>261</v>
      </c>
      <c r="K1856" s="22" t="s">
        <v>262</v>
      </c>
      <c r="L1856" s="21"/>
      <c r="M1856" s="22" t="s">
        <v>2014</v>
      </c>
      <c r="N1856" s="28" t="s">
        <v>2015</v>
      </c>
      <c r="O1856" s="28" t="s">
        <v>2016</v>
      </c>
      <c r="P1856" s="29">
        <v>0</v>
      </c>
      <c r="Q1856" s="28" t="s">
        <v>2017</v>
      </c>
      <c r="R1856" s="21"/>
      <c r="S1856" s="21"/>
      <c r="T1856" s="21"/>
      <c r="U1856" s="21"/>
      <c r="V1856" s="21"/>
      <c r="W1856" s="21"/>
      <c r="X1856" s="21"/>
    </row>
    <row r="1857" spans="1:24" ht="15.75" thickBot="1" x14ac:dyDescent="0.3">
      <c r="A1857" t="str">
        <f t="shared" si="28"/>
        <v>N1WB E03513 DG31NB</v>
      </c>
      <c r="B1857" s="22" t="s">
        <v>267</v>
      </c>
      <c r="C1857" s="22" t="s">
        <v>7475</v>
      </c>
      <c r="D1857" s="22" t="s">
        <v>2397</v>
      </c>
      <c r="E1857" s="21"/>
      <c r="F1857" s="22" t="s">
        <v>2398</v>
      </c>
      <c r="G1857" s="28" t="s">
        <v>5499</v>
      </c>
      <c r="H1857" s="22" t="s">
        <v>2055</v>
      </c>
      <c r="I1857" s="21"/>
      <c r="J1857" s="22" t="s">
        <v>261</v>
      </c>
      <c r="K1857" s="22" t="s">
        <v>262</v>
      </c>
      <c r="L1857" s="21"/>
      <c r="M1857" s="22" t="s">
        <v>2014</v>
      </c>
      <c r="N1857" s="28" t="s">
        <v>2015</v>
      </c>
      <c r="O1857" s="28" t="s">
        <v>2016</v>
      </c>
      <c r="P1857" s="29">
        <v>61</v>
      </c>
      <c r="Q1857" s="28" t="s">
        <v>2017</v>
      </c>
      <c r="R1857" s="21"/>
      <c r="S1857" s="21"/>
      <c r="T1857" s="21"/>
      <c r="U1857" s="21"/>
      <c r="V1857" s="21"/>
      <c r="W1857" s="21"/>
      <c r="X1857" s="21"/>
    </row>
    <row r="1858" spans="1:24" ht="15.75" thickBot="1" x14ac:dyDescent="0.3">
      <c r="A1858" t="str">
        <f t="shared" si="28"/>
        <v>N1WB E03513 DGW</v>
      </c>
      <c r="B1858" s="22" t="s">
        <v>7476</v>
      </c>
      <c r="C1858" s="22" t="s">
        <v>7477</v>
      </c>
      <c r="D1858" s="22" t="s">
        <v>2397</v>
      </c>
      <c r="E1858" s="21"/>
      <c r="F1858" s="22" t="s">
        <v>2398</v>
      </c>
      <c r="G1858" s="28" t="s">
        <v>5499</v>
      </c>
      <c r="H1858" s="22" t="s">
        <v>2055</v>
      </c>
      <c r="I1858" s="21"/>
      <c r="J1858" s="22" t="s">
        <v>261</v>
      </c>
      <c r="K1858" s="22" t="s">
        <v>262</v>
      </c>
      <c r="L1858" s="21"/>
      <c r="M1858" s="22" t="s">
        <v>2014</v>
      </c>
      <c r="N1858" s="28" t="s">
        <v>2015</v>
      </c>
      <c r="O1858" s="28" t="s">
        <v>2016</v>
      </c>
      <c r="P1858" s="29">
        <v>0</v>
      </c>
      <c r="Q1858" s="28" t="s">
        <v>2017</v>
      </c>
      <c r="R1858" s="21"/>
      <c r="S1858" s="21"/>
      <c r="T1858" s="21"/>
      <c r="U1858" s="21"/>
      <c r="V1858" s="21"/>
      <c r="W1858" s="21"/>
      <c r="X1858" s="21"/>
    </row>
    <row r="1859" spans="1:24" ht="15.75" thickBot="1" x14ac:dyDescent="0.3">
      <c r="A1859" t="str">
        <f t="shared" si="28"/>
        <v>N1WB E03513 DHW</v>
      </c>
      <c r="B1859" s="22" t="s">
        <v>7478</v>
      </c>
      <c r="C1859" s="22" t="s">
        <v>7479</v>
      </c>
      <c r="D1859" s="22" t="s">
        <v>2397</v>
      </c>
      <c r="E1859" s="21"/>
      <c r="F1859" s="22" t="s">
        <v>2398</v>
      </c>
      <c r="G1859" s="28" t="s">
        <v>2012</v>
      </c>
      <c r="H1859" s="22" t="s">
        <v>2055</v>
      </c>
      <c r="I1859" s="21"/>
      <c r="J1859" s="22" t="s">
        <v>261</v>
      </c>
      <c r="K1859" s="22" t="s">
        <v>262</v>
      </c>
      <c r="L1859" s="21"/>
      <c r="M1859" s="22" t="s">
        <v>2014</v>
      </c>
      <c r="N1859" s="28" t="s">
        <v>2015</v>
      </c>
      <c r="O1859" s="28" t="s">
        <v>2016</v>
      </c>
      <c r="P1859" s="29">
        <v>0</v>
      </c>
      <c r="Q1859" s="28" t="s">
        <v>2017</v>
      </c>
      <c r="R1859" s="21"/>
      <c r="S1859" s="21"/>
      <c r="T1859" s="21"/>
      <c r="U1859" s="21"/>
      <c r="V1859" s="21"/>
      <c r="W1859" s="21"/>
      <c r="X1859" s="21"/>
    </row>
    <row r="1860" spans="1:24" ht="15.75" thickBot="1" x14ac:dyDescent="0.3">
      <c r="A1860" t="str">
        <f t="shared" si="28"/>
        <v>N1WB E03513 EG31NB</v>
      </c>
      <c r="B1860" s="22" t="s">
        <v>270</v>
      </c>
      <c r="C1860" s="22" t="s">
        <v>7480</v>
      </c>
      <c r="D1860" s="22" t="s">
        <v>2935</v>
      </c>
      <c r="E1860" s="21"/>
      <c r="F1860" s="22" t="s">
        <v>2398</v>
      </c>
      <c r="G1860" s="28" t="s">
        <v>2012</v>
      </c>
      <c r="H1860" s="22" t="s">
        <v>2055</v>
      </c>
      <c r="I1860" s="21"/>
      <c r="J1860" s="22" t="s">
        <v>261</v>
      </c>
      <c r="K1860" s="22" t="s">
        <v>262</v>
      </c>
      <c r="L1860" s="21"/>
      <c r="M1860" s="22" t="s">
        <v>2014</v>
      </c>
      <c r="N1860" s="28" t="s">
        <v>2015</v>
      </c>
      <c r="O1860" s="28" t="s">
        <v>2016</v>
      </c>
      <c r="P1860" s="29">
        <v>40</v>
      </c>
      <c r="Q1860" s="28" t="s">
        <v>2017</v>
      </c>
      <c r="R1860" s="21"/>
      <c r="S1860" s="21"/>
      <c r="T1860" s="21"/>
      <c r="U1860" s="21"/>
      <c r="V1860" s="21"/>
      <c r="W1860" s="21"/>
      <c r="X1860" s="21"/>
    </row>
    <row r="1861" spans="1:24" ht="15.75" thickBot="1" x14ac:dyDescent="0.3">
      <c r="A1861" t="str">
        <f t="shared" ref="A1861:A1924" si="29">TRIM(B1861)</f>
        <v>N1WB E03513 EG3ZHE</v>
      </c>
      <c r="B1861" s="22" t="s">
        <v>272</v>
      </c>
      <c r="C1861" s="22" t="s">
        <v>7481</v>
      </c>
      <c r="D1861" s="22" t="s">
        <v>2935</v>
      </c>
      <c r="E1861" s="21"/>
      <c r="F1861" s="22" t="s">
        <v>2398</v>
      </c>
      <c r="G1861" s="28" t="s">
        <v>2012</v>
      </c>
      <c r="H1861" s="22" t="s">
        <v>2055</v>
      </c>
      <c r="I1861" s="21"/>
      <c r="J1861" s="22" t="s">
        <v>261</v>
      </c>
      <c r="K1861" s="22" t="s">
        <v>262</v>
      </c>
      <c r="L1861" s="21"/>
      <c r="M1861" s="22" t="s">
        <v>2014</v>
      </c>
      <c r="N1861" s="28" t="s">
        <v>2015</v>
      </c>
      <c r="O1861" s="28" t="s">
        <v>2016</v>
      </c>
      <c r="P1861" s="29">
        <v>0</v>
      </c>
      <c r="Q1861" s="28" t="s">
        <v>2017</v>
      </c>
      <c r="R1861" s="21"/>
      <c r="S1861" s="21"/>
      <c r="T1861" s="21"/>
      <c r="U1861" s="21"/>
      <c r="V1861" s="21"/>
      <c r="W1861" s="21"/>
      <c r="X1861" s="21"/>
    </row>
    <row r="1862" spans="1:24" ht="15.75" thickBot="1" x14ac:dyDescent="0.3">
      <c r="A1862" t="str">
        <f t="shared" si="29"/>
        <v>N1WB E03513 EGW</v>
      </c>
      <c r="B1862" s="22" t="s">
        <v>7482</v>
      </c>
      <c r="C1862" s="22" t="s">
        <v>7483</v>
      </c>
      <c r="D1862" s="22" t="s">
        <v>2935</v>
      </c>
      <c r="E1862" s="21"/>
      <c r="F1862" s="22" t="s">
        <v>2398</v>
      </c>
      <c r="G1862" s="28" t="s">
        <v>5499</v>
      </c>
      <c r="H1862" s="22" t="s">
        <v>2055</v>
      </c>
      <c r="I1862" s="21"/>
      <c r="J1862" s="22" t="s">
        <v>261</v>
      </c>
      <c r="K1862" s="22" t="s">
        <v>262</v>
      </c>
      <c r="L1862" s="21"/>
      <c r="M1862" s="22" t="s">
        <v>2014</v>
      </c>
      <c r="N1862" s="28" t="s">
        <v>2015</v>
      </c>
      <c r="O1862" s="28" t="s">
        <v>2016</v>
      </c>
      <c r="P1862" s="29">
        <v>0</v>
      </c>
      <c r="Q1862" s="28" t="s">
        <v>2017</v>
      </c>
      <c r="R1862" s="21"/>
      <c r="S1862" s="21"/>
      <c r="T1862" s="21"/>
      <c r="U1862" s="21"/>
      <c r="V1862" s="21"/>
      <c r="W1862" s="21"/>
      <c r="X1862" s="21"/>
    </row>
    <row r="1863" spans="1:24" ht="15.75" thickBot="1" x14ac:dyDescent="0.3">
      <c r="A1863" t="str">
        <f t="shared" si="29"/>
        <v>N1WB E03513 EHW</v>
      </c>
      <c r="B1863" s="22" t="s">
        <v>7484</v>
      </c>
      <c r="C1863" s="22" t="s">
        <v>7485</v>
      </c>
      <c r="D1863" s="22" t="s">
        <v>2935</v>
      </c>
      <c r="E1863" s="22" t="s">
        <v>7486</v>
      </c>
      <c r="F1863" s="22" t="s">
        <v>2398</v>
      </c>
      <c r="G1863" s="28" t="s">
        <v>2012</v>
      </c>
      <c r="H1863" s="22" t="s">
        <v>2055</v>
      </c>
      <c r="I1863" s="21"/>
      <c r="J1863" s="22" t="s">
        <v>261</v>
      </c>
      <c r="K1863" s="22" t="s">
        <v>262</v>
      </c>
      <c r="L1863" s="21"/>
      <c r="M1863" s="22" t="s">
        <v>2014</v>
      </c>
      <c r="N1863" s="28" t="s">
        <v>2015</v>
      </c>
      <c r="O1863" s="28" t="s">
        <v>2016</v>
      </c>
      <c r="P1863" s="29">
        <v>0</v>
      </c>
      <c r="Q1863" s="28" t="s">
        <v>2017</v>
      </c>
      <c r="R1863" s="21"/>
      <c r="S1863" s="21"/>
      <c r="T1863" s="21"/>
      <c r="U1863" s="21"/>
      <c r="V1863" s="21"/>
      <c r="W1863" s="21"/>
      <c r="X1863" s="21"/>
    </row>
    <row r="1864" spans="1:24" ht="15.75" thickBot="1" x14ac:dyDescent="0.3">
      <c r="A1864" t="str">
        <f t="shared" si="29"/>
        <v>N1WB E03513 EHW-01</v>
      </c>
      <c r="B1864" s="22" t="s">
        <v>275</v>
      </c>
      <c r="C1864" s="22" t="s">
        <v>7485</v>
      </c>
      <c r="D1864" s="22" t="s">
        <v>2935</v>
      </c>
      <c r="E1864" s="22" t="s">
        <v>7486</v>
      </c>
      <c r="F1864" s="22" t="s">
        <v>2398</v>
      </c>
      <c r="G1864" s="28" t="s">
        <v>2012</v>
      </c>
      <c r="H1864" s="22" t="s">
        <v>2055</v>
      </c>
      <c r="I1864" s="21"/>
      <c r="J1864" s="22" t="s">
        <v>261</v>
      </c>
      <c r="K1864" s="22" t="s">
        <v>262</v>
      </c>
      <c r="L1864" s="21"/>
      <c r="M1864" s="22" t="s">
        <v>2014</v>
      </c>
      <c r="N1864" s="28" t="s">
        <v>2015</v>
      </c>
      <c r="O1864" s="28" t="s">
        <v>2016</v>
      </c>
      <c r="P1864" s="29">
        <v>0</v>
      </c>
      <c r="Q1864" s="28" t="s">
        <v>2017</v>
      </c>
      <c r="R1864" s="21"/>
      <c r="S1864" s="21"/>
      <c r="T1864" s="21"/>
      <c r="U1864" s="21"/>
      <c r="V1864" s="21"/>
      <c r="W1864" s="21"/>
      <c r="X1864" s="21"/>
    </row>
    <row r="1865" spans="1:24" ht="15.75" thickBot="1" x14ac:dyDescent="0.3">
      <c r="A1865" t="str">
        <f t="shared" si="29"/>
        <v>N1WB E13200 DAW</v>
      </c>
      <c r="B1865" s="22" t="s">
        <v>7487</v>
      </c>
      <c r="C1865" s="22" t="s">
        <v>2410</v>
      </c>
      <c r="D1865" s="22" t="s">
        <v>2411</v>
      </c>
      <c r="E1865" s="21"/>
      <c r="F1865" s="22" t="s">
        <v>2345</v>
      </c>
      <c r="G1865" s="28" t="s">
        <v>2012</v>
      </c>
      <c r="H1865" s="22" t="s">
        <v>2055</v>
      </c>
      <c r="I1865" s="21"/>
      <c r="J1865" s="22" t="s">
        <v>261</v>
      </c>
      <c r="K1865" s="22" t="s">
        <v>262</v>
      </c>
      <c r="L1865" s="21"/>
      <c r="M1865" s="22" t="s">
        <v>2014</v>
      </c>
      <c r="N1865" s="28" t="s">
        <v>2015</v>
      </c>
      <c r="O1865" s="28" t="s">
        <v>2016</v>
      </c>
      <c r="P1865" s="29">
        <v>0</v>
      </c>
      <c r="Q1865" s="28" t="s">
        <v>2017</v>
      </c>
      <c r="R1865" s="21"/>
      <c r="S1865" s="21"/>
      <c r="T1865" s="21"/>
      <c r="U1865" s="21"/>
      <c r="V1865" s="21"/>
      <c r="W1865" s="21"/>
      <c r="X1865" s="21"/>
    </row>
    <row r="1866" spans="1:24" ht="15.75" thickBot="1" x14ac:dyDescent="0.3">
      <c r="A1866" t="str">
        <f t="shared" si="29"/>
        <v>N1WB E13201 DAW</v>
      </c>
      <c r="B1866" s="22" t="s">
        <v>7488</v>
      </c>
      <c r="C1866" s="22" t="s">
        <v>2412</v>
      </c>
      <c r="D1866" s="22" t="s">
        <v>2411</v>
      </c>
      <c r="E1866" s="21"/>
      <c r="F1866" s="22" t="s">
        <v>2345</v>
      </c>
      <c r="G1866" s="28" t="s">
        <v>5499</v>
      </c>
      <c r="H1866" s="22" t="s">
        <v>2055</v>
      </c>
      <c r="I1866" s="21"/>
      <c r="J1866" s="22" t="s">
        <v>261</v>
      </c>
      <c r="K1866" s="22" t="s">
        <v>262</v>
      </c>
      <c r="L1866" s="21"/>
      <c r="M1866" s="22" t="s">
        <v>2014</v>
      </c>
      <c r="N1866" s="28" t="s">
        <v>2015</v>
      </c>
      <c r="O1866" s="28" t="s">
        <v>2016</v>
      </c>
      <c r="P1866" s="29">
        <v>0</v>
      </c>
      <c r="Q1866" s="28" t="s">
        <v>2017</v>
      </c>
      <c r="R1866" s="21"/>
      <c r="S1866" s="21"/>
      <c r="T1866" s="21"/>
      <c r="U1866" s="21"/>
      <c r="V1866" s="21"/>
      <c r="W1866" s="21"/>
      <c r="X1866" s="21"/>
    </row>
    <row r="1867" spans="1:24" ht="15.75" thickBot="1" x14ac:dyDescent="0.3">
      <c r="A1867" t="str">
        <f t="shared" si="29"/>
        <v>N1WB E23942 BJ1G1C</v>
      </c>
      <c r="B1867" s="22" t="s">
        <v>7489</v>
      </c>
      <c r="C1867" s="22" t="s">
        <v>7490</v>
      </c>
      <c r="D1867" s="22" t="s">
        <v>6</v>
      </c>
      <c r="E1867" s="22" t="s">
        <v>2414</v>
      </c>
      <c r="F1867" s="22" t="s">
        <v>2415</v>
      </c>
      <c r="G1867" s="28" t="s">
        <v>2012</v>
      </c>
      <c r="H1867" s="22" t="s">
        <v>2055</v>
      </c>
      <c r="I1867" s="21"/>
      <c r="J1867" s="22" t="s">
        <v>261</v>
      </c>
      <c r="K1867" s="22" t="s">
        <v>262</v>
      </c>
      <c r="L1867" s="21"/>
      <c r="M1867" s="22" t="s">
        <v>2014</v>
      </c>
      <c r="N1867" s="28" t="s">
        <v>2015</v>
      </c>
      <c r="O1867" s="28" t="s">
        <v>2016</v>
      </c>
      <c r="P1867" s="29">
        <v>0</v>
      </c>
      <c r="Q1867" s="28" t="s">
        <v>2017</v>
      </c>
      <c r="R1867" s="21"/>
      <c r="S1867" s="21"/>
      <c r="T1867" s="21"/>
      <c r="U1867" s="21"/>
      <c r="V1867" s="21"/>
      <c r="W1867" s="21"/>
      <c r="X1867" s="21"/>
    </row>
    <row r="1868" spans="1:24" ht="15.75" thickBot="1" x14ac:dyDescent="0.3">
      <c r="A1868" t="str">
        <f t="shared" si="29"/>
        <v>N1WB E23942 BJ1G1E</v>
      </c>
      <c r="B1868" s="22" t="s">
        <v>1016</v>
      </c>
      <c r="C1868" s="22" t="s">
        <v>7491</v>
      </c>
      <c r="D1868" s="22" t="s">
        <v>6</v>
      </c>
      <c r="E1868" s="22" t="s">
        <v>2417</v>
      </c>
      <c r="F1868" s="22" t="s">
        <v>2415</v>
      </c>
      <c r="G1868" s="28" t="s">
        <v>2012</v>
      </c>
      <c r="H1868" s="22" t="s">
        <v>2055</v>
      </c>
      <c r="I1868" s="21"/>
      <c r="J1868" s="22" t="s">
        <v>261</v>
      </c>
      <c r="K1868" s="22" t="s">
        <v>262</v>
      </c>
      <c r="L1868" s="21"/>
      <c r="M1868" s="22" t="s">
        <v>2014</v>
      </c>
      <c r="N1868" s="28" t="s">
        <v>2015</v>
      </c>
      <c r="O1868" s="28" t="s">
        <v>2016</v>
      </c>
      <c r="P1868" s="29">
        <v>0</v>
      </c>
      <c r="Q1868" s="28" t="s">
        <v>2017</v>
      </c>
      <c r="R1868" s="41">
        <v>0</v>
      </c>
      <c r="S1868" s="29">
        <v>2</v>
      </c>
      <c r="T1868" s="32">
        <v>3.1111111111000001E-2</v>
      </c>
      <c r="U1868" s="32">
        <v>0</v>
      </c>
      <c r="V1868" s="41">
        <v>0</v>
      </c>
      <c r="W1868" s="21"/>
      <c r="X1868" s="21"/>
    </row>
    <row r="1869" spans="1:24" ht="15.75" thickBot="1" x14ac:dyDescent="0.3">
      <c r="A1869" t="str">
        <f t="shared" si="29"/>
        <v>N1WB E23942 BJ3LU4</v>
      </c>
      <c r="B1869" s="22" t="s">
        <v>7492</v>
      </c>
      <c r="C1869" s="22" t="s">
        <v>7493</v>
      </c>
      <c r="D1869" s="22" t="s">
        <v>6</v>
      </c>
      <c r="E1869" s="21"/>
      <c r="F1869" s="22" t="s">
        <v>2415</v>
      </c>
      <c r="G1869" s="28" t="s">
        <v>2012</v>
      </c>
      <c r="H1869" s="22" t="s">
        <v>2055</v>
      </c>
      <c r="I1869" s="21"/>
      <c r="J1869" s="22" t="s">
        <v>261</v>
      </c>
      <c r="K1869" s="22" t="s">
        <v>262</v>
      </c>
      <c r="L1869" s="21"/>
      <c r="M1869" s="22" t="s">
        <v>2014</v>
      </c>
      <c r="N1869" s="28" t="s">
        <v>2015</v>
      </c>
      <c r="O1869" s="28" t="s">
        <v>2016</v>
      </c>
      <c r="P1869" s="29">
        <v>0</v>
      </c>
      <c r="Q1869" s="28" t="s">
        <v>2017</v>
      </c>
      <c r="R1869" s="21"/>
      <c r="S1869" s="21"/>
      <c r="T1869" s="21"/>
      <c r="U1869" s="21"/>
      <c r="V1869" s="21"/>
      <c r="W1869" s="21"/>
      <c r="X1869" s="21"/>
    </row>
    <row r="1870" spans="1:24" ht="15.75" thickBot="1" x14ac:dyDescent="0.3">
      <c r="A1870" t="str">
        <f t="shared" si="29"/>
        <v>N1WB E23942 BKW</v>
      </c>
      <c r="B1870" s="22" t="s">
        <v>7494</v>
      </c>
      <c r="C1870" s="22" t="s">
        <v>7495</v>
      </c>
      <c r="D1870" s="22" t="s">
        <v>6</v>
      </c>
      <c r="E1870" s="22" t="s">
        <v>2417</v>
      </c>
      <c r="F1870" s="22" t="s">
        <v>2415</v>
      </c>
      <c r="G1870" s="28" t="s">
        <v>5499</v>
      </c>
      <c r="H1870" s="22" t="s">
        <v>2055</v>
      </c>
      <c r="I1870" s="21"/>
      <c r="J1870" s="22" t="s">
        <v>261</v>
      </c>
      <c r="K1870" s="22" t="s">
        <v>262</v>
      </c>
      <c r="L1870" s="21"/>
      <c r="M1870" s="22" t="s">
        <v>2014</v>
      </c>
      <c r="N1870" s="28" t="s">
        <v>2015</v>
      </c>
      <c r="O1870" s="28" t="s">
        <v>2016</v>
      </c>
      <c r="P1870" s="29">
        <v>0</v>
      </c>
      <c r="Q1870" s="28" t="s">
        <v>2017</v>
      </c>
      <c r="R1870" s="21"/>
      <c r="S1870" s="21"/>
      <c r="T1870" s="21"/>
      <c r="U1870" s="21"/>
      <c r="V1870" s="21"/>
      <c r="W1870" s="21"/>
      <c r="X1870" s="21"/>
    </row>
    <row r="1871" spans="1:24" ht="15.75" thickBot="1" x14ac:dyDescent="0.3">
      <c r="A1871" t="str">
        <f t="shared" si="29"/>
        <v>N1WB E23942 BL1G1E</v>
      </c>
      <c r="B1871" s="22" t="s">
        <v>1022</v>
      </c>
      <c r="C1871" s="22" t="s">
        <v>7496</v>
      </c>
      <c r="D1871" s="22" t="s">
        <v>6</v>
      </c>
      <c r="E1871" s="22" t="s">
        <v>2417</v>
      </c>
      <c r="F1871" s="22" t="s">
        <v>2415</v>
      </c>
      <c r="G1871" s="28" t="s">
        <v>2012</v>
      </c>
      <c r="H1871" s="22" t="s">
        <v>2055</v>
      </c>
      <c r="I1871" s="21"/>
      <c r="J1871" s="22" t="s">
        <v>261</v>
      </c>
      <c r="K1871" s="22" t="s">
        <v>262</v>
      </c>
      <c r="L1871" s="21"/>
      <c r="M1871" s="22" t="s">
        <v>2014</v>
      </c>
      <c r="N1871" s="28" t="s">
        <v>2015</v>
      </c>
      <c r="O1871" s="28" t="s">
        <v>2016</v>
      </c>
      <c r="P1871" s="29">
        <v>2</v>
      </c>
      <c r="Q1871" s="28" t="s">
        <v>2017</v>
      </c>
      <c r="R1871" s="21"/>
      <c r="S1871" s="21"/>
      <c r="T1871" s="21"/>
      <c r="U1871" s="21"/>
      <c r="V1871" s="21"/>
      <c r="W1871" s="21"/>
      <c r="X1871" s="21"/>
    </row>
    <row r="1872" spans="1:24" ht="15.75" thickBot="1" x14ac:dyDescent="0.3">
      <c r="A1872" t="str">
        <f t="shared" si="29"/>
        <v>N1WB E23942 BL3LU4</v>
      </c>
      <c r="B1872" s="22" t="s">
        <v>1023</v>
      </c>
      <c r="C1872" s="22" t="s">
        <v>7497</v>
      </c>
      <c r="D1872" s="22" t="s">
        <v>6</v>
      </c>
      <c r="E1872" s="21"/>
      <c r="F1872" s="22" t="s">
        <v>2415</v>
      </c>
      <c r="G1872" s="28" t="s">
        <v>2012</v>
      </c>
      <c r="H1872" s="22" t="s">
        <v>2055</v>
      </c>
      <c r="I1872" s="21"/>
      <c r="J1872" s="22" t="s">
        <v>261</v>
      </c>
      <c r="K1872" s="22" t="s">
        <v>262</v>
      </c>
      <c r="L1872" s="21"/>
      <c r="M1872" s="22" t="s">
        <v>2014</v>
      </c>
      <c r="N1872" s="28" t="s">
        <v>2015</v>
      </c>
      <c r="O1872" s="28" t="s">
        <v>2016</v>
      </c>
      <c r="P1872" s="29">
        <v>0</v>
      </c>
      <c r="Q1872" s="28" t="s">
        <v>2017</v>
      </c>
      <c r="R1872" s="41">
        <v>0</v>
      </c>
      <c r="S1872" s="29">
        <v>2</v>
      </c>
      <c r="T1872" s="32">
        <v>3.1111111111000001E-2</v>
      </c>
      <c r="U1872" s="32">
        <v>0</v>
      </c>
      <c r="V1872" s="41">
        <v>0</v>
      </c>
      <c r="W1872" s="21"/>
      <c r="X1872" s="21"/>
    </row>
    <row r="1873" spans="1:24" ht="15.75" thickBot="1" x14ac:dyDescent="0.3">
      <c r="A1873" t="str">
        <f t="shared" si="29"/>
        <v>N1WB E23942 HFW</v>
      </c>
      <c r="B1873" s="22" t="s">
        <v>7498</v>
      </c>
      <c r="C1873" s="22" t="s">
        <v>7499</v>
      </c>
      <c r="D1873" s="22" t="s">
        <v>6</v>
      </c>
      <c r="E1873" s="21"/>
      <c r="F1873" s="22" t="s">
        <v>2419</v>
      </c>
      <c r="G1873" s="28" t="s">
        <v>5499</v>
      </c>
      <c r="H1873" s="22" t="s">
        <v>2055</v>
      </c>
      <c r="I1873" s="21"/>
      <c r="J1873" s="22" t="s">
        <v>261</v>
      </c>
      <c r="K1873" s="22" t="s">
        <v>262</v>
      </c>
      <c r="L1873" s="21"/>
      <c r="M1873" s="22" t="s">
        <v>2014</v>
      </c>
      <c r="N1873" s="28" t="s">
        <v>2015</v>
      </c>
      <c r="O1873" s="28" t="s">
        <v>2016</v>
      </c>
      <c r="P1873" s="29">
        <v>0</v>
      </c>
      <c r="Q1873" s="28" t="s">
        <v>2017</v>
      </c>
      <c r="R1873" s="21"/>
      <c r="S1873" s="21"/>
      <c r="T1873" s="21"/>
      <c r="U1873" s="21"/>
      <c r="V1873" s="21"/>
      <c r="W1873" s="21"/>
      <c r="X1873" s="21"/>
    </row>
    <row r="1874" spans="1:24" ht="15.75" thickBot="1" x14ac:dyDescent="0.3">
      <c r="A1874" t="str">
        <f t="shared" si="29"/>
        <v>N1WB E23942 SE1G1E</v>
      </c>
      <c r="B1874" s="22" t="s">
        <v>1025</v>
      </c>
      <c r="C1874" s="22" t="s">
        <v>7500</v>
      </c>
      <c r="D1874" s="22" t="s">
        <v>6</v>
      </c>
      <c r="E1874" s="21"/>
      <c r="F1874" s="22" t="s">
        <v>2030</v>
      </c>
      <c r="G1874" s="28" t="s">
        <v>5499</v>
      </c>
      <c r="H1874" s="22" t="s">
        <v>2055</v>
      </c>
      <c r="I1874" s="21"/>
      <c r="J1874" s="22" t="s">
        <v>261</v>
      </c>
      <c r="K1874" s="22" t="s">
        <v>262</v>
      </c>
      <c r="L1874" s="21"/>
      <c r="M1874" s="22" t="s">
        <v>2014</v>
      </c>
      <c r="N1874" s="28" t="s">
        <v>2015</v>
      </c>
      <c r="O1874" s="28" t="s">
        <v>2016</v>
      </c>
      <c r="P1874" s="29">
        <v>0</v>
      </c>
      <c r="Q1874" s="28" t="s">
        <v>2017</v>
      </c>
      <c r="R1874" s="21"/>
      <c r="S1874" s="21"/>
      <c r="T1874" s="21"/>
      <c r="U1874" s="21"/>
      <c r="V1874" s="21"/>
      <c r="W1874" s="21"/>
      <c r="X1874" s="21"/>
    </row>
    <row r="1875" spans="1:24" ht="15.75" thickBot="1" x14ac:dyDescent="0.3">
      <c r="A1875" t="str">
        <f t="shared" si="29"/>
        <v>N1WB E23942 SE3LU4</v>
      </c>
      <c r="B1875" s="22" t="s">
        <v>7501</v>
      </c>
      <c r="C1875" s="22" t="s">
        <v>7502</v>
      </c>
      <c r="D1875" s="22" t="s">
        <v>6</v>
      </c>
      <c r="E1875" s="21"/>
      <c r="F1875" s="22" t="s">
        <v>2030</v>
      </c>
      <c r="G1875" s="28" t="s">
        <v>5499</v>
      </c>
      <c r="H1875" s="22" t="s">
        <v>2055</v>
      </c>
      <c r="I1875" s="21"/>
      <c r="J1875" s="22" t="s">
        <v>261</v>
      </c>
      <c r="K1875" s="22" t="s">
        <v>262</v>
      </c>
      <c r="L1875" s="21"/>
      <c r="M1875" s="22" t="s">
        <v>2014</v>
      </c>
      <c r="N1875" s="28" t="s">
        <v>2015</v>
      </c>
      <c r="O1875" s="28" t="s">
        <v>2016</v>
      </c>
      <c r="P1875" s="29">
        <v>0</v>
      </c>
      <c r="Q1875" s="28" t="s">
        <v>2017</v>
      </c>
      <c r="R1875" s="21"/>
      <c r="S1875" s="21"/>
      <c r="T1875" s="21"/>
      <c r="U1875" s="21"/>
      <c r="V1875" s="21"/>
      <c r="W1875" s="21"/>
      <c r="X1875" s="21"/>
    </row>
    <row r="1876" spans="1:24" ht="15.75" thickBot="1" x14ac:dyDescent="0.3">
      <c r="A1876" t="str">
        <f t="shared" si="29"/>
        <v>N1WB E23942 SFW</v>
      </c>
      <c r="B1876" s="22" t="s">
        <v>7503</v>
      </c>
      <c r="C1876" s="22" t="s">
        <v>7504</v>
      </c>
      <c r="D1876" s="22" t="s">
        <v>6</v>
      </c>
      <c r="E1876" s="21"/>
      <c r="F1876" s="22" t="s">
        <v>2419</v>
      </c>
      <c r="G1876" s="28" t="s">
        <v>5499</v>
      </c>
      <c r="H1876" s="22" t="s">
        <v>2055</v>
      </c>
      <c r="I1876" s="21"/>
      <c r="J1876" s="22" t="s">
        <v>261</v>
      </c>
      <c r="K1876" s="22" t="s">
        <v>262</v>
      </c>
      <c r="L1876" s="21"/>
      <c r="M1876" s="22" t="s">
        <v>2014</v>
      </c>
      <c r="N1876" s="28" t="s">
        <v>2015</v>
      </c>
      <c r="O1876" s="28" t="s">
        <v>2016</v>
      </c>
      <c r="P1876" s="29">
        <v>0</v>
      </c>
      <c r="Q1876" s="28" t="s">
        <v>2017</v>
      </c>
      <c r="R1876" s="21"/>
      <c r="S1876" s="21"/>
      <c r="T1876" s="21"/>
      <c r="U1876" s="21"/>
      <c r="V1876" s="21"/>
      <c r="W1876" s="21"/>
      <c r="X1876" s="21"/>
    </row>
    <row r="1877" spans="1:24" ht="15.75" thickBot="1" x14ac:dyDescent="0.3">
      <c r="A1877" t="str">
        <f t="shared" si="29"/>
        <v>N1WB E23942 TH1G1C</v>
      </c>
      <c r="B1877" s="22" t="s">
        <v>7505</v>
      </c>
      <c r="C1877" s="22" t="s">
        <v>7506</v>
      </c>
      <c r="D1877" s="22" t="s">
        <v>6</v>
      </c>
      <c r="E1877" s="21"/>
      <c r="F1877" s="22" t="s">
        <v>2415</v>
      </c>
      <c r="G1877" s="28" t="s">
        <v>5499</v>
      </c>
      <c r="H1877" s="22" t="s">
        <v>2055</v>
      </c>
      <c r="I1877" s="21"/>
      <c r="J1877" s="22" t="s">
        <v>261</v>
      </c>
      <c r="K1877" s="22" t="s">
        <v>262</v>
      </c>
      <c r="L1877" s="21"/>
      <c r="M1877" s="22" t="s">
        <v>2014</v>
      </c>
      <c r="N1877" s="28" t="s">
        <v>2015</v>
      </c>
      <c r="O1877" s="28" t="s">
        <v>2016</v>
      </c>
      <c r="P1877" s="29">
        <v>0</v>
      </c>
      <c r="Q1877" s="28" t="s">
        <v>2017</v>
      </c>
      <c r="R1877" s="21"/>
      <c r="S1877" s="21"/>
      <c r="T1877" s="21"/>
      <c r="U1877" s="21"/>
      <c r="V1877" s="21"/>
      <c r="W1877" s="21"/>
      <c r="X1877" s="21"/>
    </row>
    <row r="1878" spans="1:24" ht="15.75" thickBot="1" x14ac:dyDescent="0.3">
      <c r="A1878" t="str">
        <f t="shared" si="29"/>
        <v>N1WB E23942 TJ1G1C</v>
      </c>
      <c r="B1878" s="22" t="s">
        <v>7507</v>
      </c>
      <c r="C1878" s="22" t="s">
        <v>7508</v>
      </c>
      <c r="D1878" s="22" t="s">
        <v>6</v>
      </c>
      <c r="E1878" s="21"/>
      <c r="F1878" s="22" t="s">
        <v>2415</v>
      </c>
      <c r="G1878" s="28" t="s">
        <v>2012</v>
      </c>
      <c r="H1878" s="22" t="s">
        <v>2055</v>
      </c>
      <c r="I1878" s="21"/>
      <c r="J1878" s="22" t="s">
        <v>261</v>
      </c>
      <c r="K1878" s="22" t="s">
        <v>262</v>
      </c>
      <c r="L1878" s="21"/>
      <c r="M1878" s="22" t="s">
        <v>2014</v>
      </c>
      <c r="N1878" s="28" t="s">
        <v>2015</v>
      </c>
      <c r="O1878" s="28" t="s">
        <v>2016</v>
      </c>
      <c r="P1878" s="29">
        <v>0</v>
      </c>
      <c r="Q1878" s="28" t="s">
        <v>2017</v>
      </c>
      <c r="R1878" s="21"/>
      <c r="S1878" s="21"/>
      <c r="T1878" s="21"/>
      <c r="U1878" s="21"/>
      <c r="V1878" s="21"/>
      <c r="W1878" s="21"/>
      <c r="X1878" s="21"/>
    </row>
    <row r="1879" spans="1:24" ht="15.75" thickBot="1" x14ac:dyDescent="0.3">
      <c r="A1879" t="str">
        <f t="shared" si="29"/>
        <v>N1WB E23942 TKW</v>
      </c>
      <c r="B1879" s="22" t="s">
        <v>7509</v>
      </c>
      <c r="C1879" s="22" t="s">
        <v>7510</v>
      </c>
      <c r="D1879" s="22" t="s">
        <v>6</v>
      </c>
      <c r="E1879" s="21"/>
      <c r="F1879" s="22" t="s">
        <v>2415</v>
      </c>
      <c r="G1879" s="28" t="s">
        <v>5499</v>
      </c>
      <c r="H1879" s="22" t="s">
        <v>2055</v>
      </c>
      <c r="I1879" s="21"/>
      <c r="J1879" s="22" t="s">
        <v>261</v>
      </c>
      <c r="K1879" s="22" t="s">
        <v>262</v>
      </c>
      <c r="L1879" s="21"/>
      <c r="M1879" s="22" t="s">
        <v>2014</v>
      </c>
      <c r="N1879" s="28" t="s">
        <v>2015</v>
      </c>
      <c r="O1879" s="28" t="s">
        <v>2016</v>
      </c>
      <c r="P1879" s="29">
        <v>0</v>
      </c>
      <c r="Q1879" s="28" t="s">
        <v>2017</v>
      </c>
      <c r="R1879" s="21"/>
      <c r="S1879" s="21"/>
      <c r="T1879" s="21"/>
      <c r="U1879" s="21"/>
      <c r="V1879" s="21"/>
      <c r="W1879" s="21"/>
      <c r="X1879" s="21"/>
    </row>
    <row r="1880" spans="1:24" ht="15.75" thickBot="1" x14ac:dyDescent="0.3">
      <c r="A1880" t="str">
        <f t="shared" si="29"/>
        <v>N1WB E23942 TL1G1C</v>
      </c>
      <c r="B1880" s="22" t="s">
        <v>1030</v>
      </c>
      <c r="C1880" s="22" t="s">
        <v>7511</v>
      </c>
      <c r="D1880" s="22" t="s">
        <v>6</v>
      </c>
      <c r="E1880" s="21"/>
      <c r="F1880" s="22" t="s">
        <v>2415</v>
      </c>
      <c r="G1880" s="28" t="s">
        <v>2012</v>
      </c>
      <c r="H1880" s="22" t="s">
        <v>2055</v>
      </c>
      <c r="I1880" s="21"/>
      <c r="J1880" s="22" t="s">
        <v>261</v>
      </c>
      <c r="K1880" s="22" t="s">
        <v>262</v>
      </c>
      <c r="L1880" s="21"/>
      <c r="M1880" s="22" t="s">
        <v>2014</v>
      </c>
      <c r="N1880" s="28" t="s">
        <v>2015</v>
      </c>
      <c r="O1880" s="28" t="s">
        <v>2016</v>
      </c>
      <c r="P1880" s="29">
        <v>0</v>
      </c>
      <c r="Q1880" s="28" t="s">
        <v>2017</v>
      </c>
      <c r="R1880" s="41">
        <v>0</v>
      </c>
      <c r="S1880" s="29">
        <v>5</v>
      </c>
      <c r="T1880" s="32">
        <v>7.7777777776999998E-2</v>
      </c>
      <c r="U1880" s="32">
        <v>0</v>
      </c>
      <c r="V1880" s="41">
        <v>0</v>
      </c>
      <c r="W1880" s="21"/>
      <c r="X1880" s="21"/>
    </row>
    <row r="1881" spans="1:24" ht="15.75" thickBot="1" x14ac:dyDescent="0.3">
      <c r="A1881" t="str">
        <f t="shared" si="29"/>
        <v>N1WB E23943 KJ1G1E</v>
      </c>
      <c r="B1881" s="22" t="s">
        <v>7512</v>
      </c>
      <c r="C1881" s="22" t="s">
        <v>7513</v>
      </c>
      <c r="D1881" s="22" t="s">
        <v>72</v>
      </c>
      <c r="E1881" s="22" t="s">
        <v>2417</v>
      </c>
      <c r="F1881" s="22" t="s">
        <v>2360</v>
      </c>
      <c r="G1881" s="28" t="s">
        <v>5499</v>
      </c>
      <c r="H1881" s="22" t="s">
        <v>2055</v>
      </c>
      <c r="I1881" s="21"/>
      <c r="J1881" s="22" t="s">
        <v>261</v>
      </c>
      <c r="K1881" s="22" t="s">
        <v>262</v>
      </c>
      <c r="L1881" s="21"/>
      <c r="M1881" s="22" t="s">
        <v>2014</v>
      </c>
      <c r="N1881" s="28" t="s">
        <v>2015</v>
      </c>
      <c r="O1881" s="28" t="s">
        <v>2016</v>
      </c>
      <c r="P1881" s="29">
        <v>0</v>
      </c>
      <c r="Q1881" s="28" t="s">
        <v>2017</v>
      </c>
      <c r="R1881" s="21"/>
      <c r="S1881" s="21"/>
      <c r="T1881" s="21"/>
      <c r="U1881" s="21"/>
      <c r="V1881" s="21"/>
      <c r="W1881" s="21"/>
      <c r="X1881" s="21"/>
    </row>
    <row r="1882" spans="1:24" ht="15.75" thickBot="1" x14ac:dyDescent="0.3">
      <c r="A1882" t="str">
        <f t="shared" si="29"/>
        <v>N1WB E23943 KK1G1C</v>
      </c>
      <c r="B1882" s="22" t="s">
        <v>978</v>
      </c>
      <c r="C1882" s="22" t="s">
        <v>7514</v>
      </c>
      <c r="D1882" s="22" t="s">
        <v>72</v>
      </c>
      <c r="E1882" s="22" t="s">
        <v>2414</v>
      </c>
      <c r="F1882" s="22" t="s">
        <v>2360</v>
      </c>
      <c r="G1882" s="28" t="s">
        <v>2012</v>
      </c>
      <c r="H1882" s="22" t="s">
        <v>2055</v>
      </c>
      <c r="I1882" s="21"/>
      <c r="J1882" s="22" t="s">
        <v>261</v>
      </c>
      <c r="K1882" s="22" t="s">
        <v>262</v>
      </c>
      <c r="L1882" s="21"/>
      <c r="M1882" s="22" t="s">
        <v>2014</v>
      </c>
      <c r="N1882" s="28" t="s">
        <v>2015</v>
      </c>
      <c r="O1882" s="28" t="s">
        <v>2016</v>
      </c>
      <c r="P1882" s="29">
        <v>0</v>
      </c>
      <c r="Q1882" s="28" t="s">
        <v>2017</v>
      </c>
      <c r="R1882" s="21"/>
      <c r="S1882" s="21"/>
      <c r="T1882" s="21"/>
      <c r="U1882" s="21"/>
      <c r="V1882" s="21"/>
      <c r="W1882" s="21"/>
      <c r="X1882" s="21"/>
    </row>
    <row r="1883" spans="1:24" ht="15.75" thickBot="1" x14ac:dyDescent="0.3">
      <c r="A1883" t="str">
        <f t="shared" si="29"/>
        <v>N1WB E23943 KK1G1E</v>
      </c>
      <c r="B1883" s="22" t="s">
        <v>980</v>
      </c>
      <c r="C1883" s="22" t="s">
        <v>7515</v>
      </c>
      <c r="D1883" s="22" t="s">
        <v>72</v>
      </c>
      <c r="E1883" s="22" t="s">
        <v>2417</v>
      </c>
      <c r="F1883" s="22" t="s">
        <v>2360</v>
      </c>
      <c r="G1883" s="28" t="s">
        <v>2012</v>
      </c>
      <c r="H1883" s="22" t="s">
        <v>2055</v>
      </c>
      <c r="I1883" s="21"/>
      <c r="J1883" s="22" t="s">
        <v>261</v>
      </c>
      <c r="K1883" s="22" t="s">
        <v>262</v>
      </c>
      <c r="L1883" s="21"/>
      <c r="M1883" s="22" t="s">
        <v>2014</v>
      </c>
      <c r="N1883" s="28" t="s">
        <v>2015</v>
      </c>
      <c r="O1883" s="28" t="s">
        <v>2016</v>
      </c>
      <c r="P1883" s="29">
        <v>0</v>
      </c>
      <c r="Q1883" s="28" t="s">
        <v>2017</v>
      </c>
      <c r="R1883" s="41">
        <v>0</v>
      </c>
      <c r="S1883" s="29">
        <v>2</v>
      </c>
      <c r="T1883" s="32">
        <v>3.1111111111000001E-2</v>
      </c>
      <c r="U1883" s="32">
        <v>0</v>
      </c>
      <c r="V1883" s="41">
        <v>0</v>
      </c>
      <c r="W1883" s="21"/>
      <c r="X1883" s="21"/>
    </row>
    <row r="1884" spans="1:24" ht="15.75" thickBot="1" x14ac:dyDescent="0.3">
      <c r="A1884" t="str">
        <f t="shared" si="29"/>
        <v>N1WB E23943 KK3LU4</v>
      </c>
      <c r="B1884" s="22" t="s">
        <v>7516</v>
      </c>
      <c r="C1884" s="22" t="s">
        <v>7517</v>
      </c>
      <c r="D1884" s="22" t="s">
        <v>72</v>
      </c>
      <c r="E1884" s="22" t="s">
        <v>2441</v>
      </c>
      <c r="F1884" s="22" t="s">
        <v>2360</v>
      </c>
      <c r="G1884" s="28" t="s">
        <v>2012</v>
      </c>
      <c r="H1884" s="22" t="s">
        <v>2055</v>
      </c>
      <c r="I1884" s="21"/>
      <c r="J1884" s="22" t="s">
        <v>261</v>
      </c>
      <c r="K1884" s="22" t="s">
        <v>262</v>
      </c>
      <c r="L1884" s="21"/>
      <c r="M1884" s="22" t="s">
        <v>2014</v>
      </c>
      <c r="N1884" s="28" t="s">
        <v>2015</v>
      </c>
      <c r="O1884" s="28" t="s">
        <v>2016</v>
      </c>
      <c r="P1884" s="29">
        <v>0</v>
      </c>
      <c r="Q1884" s="28" t="s">
        <v>2017</v>
      </c>
      <c r="R1884" s="21"/>
      <c r="S1884" s="21"/>
      <c r="T1884" s="21"/>
      <c r="U1884" s="21"/>
      <c r="V1884" s="21"/>
      <c r="W1884" s="21"/>
      <c r="X1884" s="21"/>
    </row>
    <row r="1885" spans="1:24" ht="15.75" thickBot="1" x14ac:dyDescent="0.3">
      <c r="A1885" t="str">
        <f t="shared" si="29"/>
        <v>N1WB E23943 KLW</v>
      </c>
      <c r="B1885" s="22" t="s">
        <v>7518</v>
      </c>
      <c r="C1885" s="22" t="s">
        <v>7519</v>
      </c>
      <c r="D1885" s="22" t="s">
        <v>72</v>
      </c>
      <c r="E1885" s="22" t="s">
        <v>2417</v>
      </c>
      <c r="F1885" s="22" t="s">
        <v>2360</v>
      </c>
      <c r="G1885" s="28" t="s">
        <v>5499</v>
      </c>
      <c r="H1885" s="22" t="s">
        <v>2055</v>
      </c>
      <c r="I1885" s="21"/>
      <c r="J1885" s="22" t="s">
        <v>261</v>
      </c>
      <c r="K1885" s="22" t="s">
        <v>262</v>
      </c>
      <c r="L1885" s="21"/>
      <c r="M1885" s="22" t="s">
        <v>2014</v>
      </c>
      <c r="N1885" s="28" t="s">
        <v>2015</v>
      </c>
      <c r="O1885" s="28" t="s">
        <v>2016</v>
      </c>
      <c r="P1885" s="29">
        <v>0</v>
      </c>
      <c r="Q1885" s="28" t="s">
        <v>2017</v>
      </c>
      <c r="R1885" s="21"/>
      <c r="S1885" s="21"/>
      <c r="T1885" s="21"/>
      <c r="U1885" s="21"/>
      <c r="V1885" s="21"/>
      <c r="W1885" s="21"/>
      <c r="X1885" s="21"/>
    </row>
    <row r="1886" spans="1:24" ht="15.75" thickBot="1" x14ac:dyDescent="0.3">
      <c r="A1886" t="str">
        <f t="shared" si="29"/>
        <v>N1WB E23943 KM1G1E</v>
      </c>
      <c r="B1886" s="22" t="s">
        <v>985</v>
      </c>
      <c r="C1886" s="22" t="s">
        <v>7520</v>
      </c>
      <c r="D1886" s="22" t="s">
        <v>72</v>
      </c>
      <c r="E1886" s="22" t="s">
        <v>2417</v>
      </c>
      <c r="F1886" s="22" t="s">
        <v>2360</v>
      </c>
      <c r="G1886" s="28" t="s">
        <v>2012</v>
      </c>
      <c r="H1886" s="22" t="s">
        <v>2055</v>
      </c>
      <c r="I1886" s="21"/>
      <c r="J1886" s="22" t="s">
        <v>261</v>
      </c>
      <c r="K1886" s="22" t="s">
        <v>262</v>
      </c>
      <c r="L1886" s="21"/>
      <c r="M1886" s="22" t="s">
        <v>2014</v>
      </c>
      <c r="N1886" s="28" t="s">
        <v>2015</v>
      </c>
      <c r="O1886" s="28" t="s">
        <v>2016</v>
      </c>
      <c r="P1886" s="29">
        <v>0</v>
      </c>
      <c r="Q1886" s="28" t="s">
        <v>2017</v>
      </c>
      <c r="R1886" s="21"/>
      <c r="S1886" s="21"/>
      <c r="T1886" s="21"/>
      <c r="U1886" s="21"/>
      <c r="V1886" s="21"/>
      <c r="W1886" s="21"/>
      <c r="X1886" s="21"/>
    </row>
    <row r="1887" spans="1:24" ht="15.75" thickBot="1" x14ac:dyDescent="0.3">
      <c r="A1887" t="str">
        <f t="shared" si="29"/>
        <v>N1WB E23943 KM3LU4</v>
      </c>
      <c r="B1887" s="22" t="s">
        <v>986</v>
      </c>
      <c r="C1887" s="22" t="s">
        <v>7521</v>
      </c>
      <c r="D1887" s="22" t="s">
        <v>72</v>
      </c>
      <c r="E1887" s="22" t="s">
        <v>2441</v>
      </c>
      <c r="F1887" s="22" t="s">
        <v>2360</v>
      </c>
      <c r="G1887" s="28" t="s">
        <v>2012</v>
      </c>
      <c r="H1887" s="22" t="s">
        <v>2055</v>
      </c>
      <c r="I1887" s="21"/>
      <c r="J1887" s="22" t="s">
        <v>261</v>
      </c>
      <c r="K1887" s="22" t="s">
        <v>262</v>
      </c>
      <c r="L1887" s="21"/>
      <c r="M1887" s="22" t="s">
        <v>2014</v>
      </c>
      <c r="N1887" s="28" t="s">
        <v>2015</v>
      </c>
      <c r="O1887" s="28" t="s">
        <v>2016</v>
      </c>
      <c r="P1887" s="29">
        <v>0</v>
      </c>
      <c r="Q1887" s="28" t="s">
        <v>2017</v>
      </c>
      <c r="R1887" s="41">
        <v>0</v>
      </c>
      <c r="S1887" s="29">
        <v>2</v>
      </c>
      <c r="T1887" s="32">
        <v>3.1111111111000001E-2</v>
      </c>
      <c r="U1887" s="32">
        <v>0</v>
      </c>
      <c r="V1887" s="41">
        <v>0</v>
      </c>
      <c r="W1887" s="21"/>
      <c r="X1887" s="21"/>
    </row>
    <row r="1888" spans="1:24" ht="15.75" thickBot="1" x14ac:dyDescent="0.3">
      <c r="A1888" t="str">
        <f t="shared" si="29"/>
        <v>N1WB E23943 UFW</v>
      </c>
      <c r="B1888" s="22" t="s">
        <v>7522</v>
      </c>
      <c r="C1888" s="22" t="s">
        <v>7523</v>
      </c>
      <c r="D1888" s="22" t="s">
        <v>72</v>
      </c>
      <c r="E1888" s="21"/>
      <c r="F1888" s="22" t="s">
        <v>2423</v>
      </c>
      <c r="G1888" s="28" t="s">
        <v>5499</v>
      </c>
      <c r="H1888" s="22" t="s">
        <v>2055</v>
      </c>
      <c r="I1888" s="21"/>
      <c r="J1888" s="22" t="s">
        <v>261</v>
      </c>
      <c r="K1888" s="22" t="s">
        <v>262</v>
      </c>
      <c r="L1888" s="21"/>
      <c r="M1888" s="22" t="s">
        <v>2014</v>
      </c>
      <c r="N1888" s="28" t="s">
        <v>2015</v>
      </c>
      <c r="O1888" s="28" t="s">
        <v>2016</v>
      </c>
      <c r="P1888" s="29">
        <v>0</v>
      </c>
      <c r="Q1888" s="28" t="s">
        <v>2017</v>
      </c>
      <c r="R1888" s="21"/>
      <c r="S1888" s="21"/>
      <c r="T1888" s="21"/>
      <c r="U1888" s="21"/>
      <c r="V1888" s="21"/>
      <c r="W1888" s="21"/>
      <c r="X1888" s="21"/>
    </row>
    <row r="1889" spans="1:24" ht="15.75" thickBot="1" x14ac:dyDescent="0.3">
      <c r="A1889" t="str">
        <f t="shared" si="29"/>
        <v>N1WB E23943 VD1G1E</v>
      </c>
      <c r="B1889" s="22" t="s">
        <v>1055</v>
      </c>
      <c r="C1889" s="22" t="s">
        <v>7524</v>
      </c>
      <c r="D1889" s="22" t="s">
        <v>72</v>
      </c>
      <c r="E1889" s="21"/>
      <c r="F1889" s="22" t="s">
        <v>2030</v>
      </c>
      <c r="G1889" s="28" t="s">
        <v>5499</v>
      </c>
      <c r="H1889" s="22" t="s">
        <v>2055</v>
      </c>
      <c r="I1889" s="21"/>
      <c r="J1889" s="22" t="s">
        <v>261</v>
      </c>
      <c r="K1889" s="22" t="s">
        <v>262</v>
      </c>
      <c r="L1889" s="21"/>
      <c r="M1889" s="22" t="s">
        <v>2014</v>
      </c>
      <c r="N1889" s="28" t="s">
        <v>2015</v>
      </c>
      <c r="O1889" s="28" t="s">
        <v>2016</v>
      </c>
      <c r="P1889" s="29">
        <v>0</v>
      </c>
      <c r="Q1889" s="28" t="s">
        <v>2017</v>
      </c>
      <c r="R1889" s="21"/>
      <c r="S1889" s="21"/>
      <c r="T1889" s="21"/>
      <c r="U1889" s="21"/>
      <c r="V1889" s="21"/>
      <c r="W1889" s="21"/>
      <c r="X1889" s="21"/>
    </row>
    <row r="1890" spans="1:24" ht="15.75" thickBot="1" x14ac:dyDescent="0.3">
      <c r="A1890" t="str">
        <f t="shared" si="29"/>
        <v>N1WB E23943 VFW</v>
      </c>
      <c r="B1890" s="22" t="s">
        <v>7525</v>
      </c>
      <c r="C1890" s="22" t="s">
        <v>7526</v>
      </c>
      <c r="D1890" s="22" t="s">
        <v>72</v>
      </c>
      <c r="E1890" s="21"/>
      <c r="F1890" s="22" t="s">
        <v>2423</v>
      </c>
      <c r="G1890" s="28" t="s">
        <v>5499</v>
      </c>
      <c r="H1890" s="22" t="s">
        <v>2055</v>
      </c>
      <c r="I1890" s="21"/>
      <c r="J1890" s="22" t="s">
        <v>261</v>
      </c>
      <c r="K1890" s="22" t="s">
        <v>262</v>
      </c>
      <c r="L1890" s="21"/>
      <c r="M1890" s="22" t="s">
        <v>2014</v>
      </c>
      <c r="N1890" s="28" t="s">
        <v>2015</v>
      </c>
      <c r="O1890" s="28" t="s">
        <v>2016</v>
      </c>
      <c r="P1890" s="29">
        <v>0</v>
      </c>
      <c r="Q1890" s="28" t="s">
        <v>2017</v>
      </c>
      <c r="R1890" s="21"/>
      <c r="S1890" s="21"/>
      <c r="T1890" s="21"/>
      <c r="U1890" s="21"/>
      <c r="V1890" s="21"/>
      <c r="W1890" s="21"/>
      <c r="X1890" s="21"/>
    </row>
    <row r="1891" spans="1:24" ht="15.75" thickBot="1" x14ac:dyDescent="0.3">
      <c r="A1891" t="str">
        <f t="shared" si="29"/>
        <v>N1WB E23943 YF1G1C</v>
      </c>
      <c r="B1891" s="22" t="s">
        <v>7527</v>
      </c>
      <c r="C1891" s="22" t="s">
        <v>7528</v>
      </c>
      <c r="D1891" s="22" t="s">
        <v>72</v>
      </c>
      <c r="E1891" s="22" t="s">
        <v>7529</v>
      </c>
      <c r="F1891" s="22" t="s">
        <v>2030</v>
      </c>
      <c r="G1891" s="28" t="s">
        <v>2012</v>
      </c>
      <c r="H1891" s="22" t="s">
        <v>2055</v>
      </c>
      <c r="I1891" s="21"/>
      <c r="J1891" s="22" t="s">
        <v>261</v>
      </c>
      <c r="K1891" s="22" t="s">
        <v>262</v>
      </c>
      <c r="L1891" s="21"/>
      <c r="M1891" s="22" t="s">
        <v>2014</v>
      </c>
      <c r="N1891" s="28" t="s">
        <v>2015</v>
      </c>
      <c r="O1891" s="28" t="s">
        <v>2016</v>
      </c>
      <c r="P1891" s="29">
        <v>0</v>
      </c>
      <c r="Q1891" s="28" t="s">
        <v>2017</v>
      </c>
      <c r="R1891" s="21"/>
      <c r="S1891" s="21"/>
      <c r="T1891" s="21"/>
      <c r="U1891" s="21"/>
      <c r="V1891" s="21"/>
      <c r="W1891" s="21"/>
      <c r="X1891" s="21"/>
    </row>
    <row r="1892" spans="1:24" ht="15.75" thickBot="1" x14ac:dyDescent="0.3">
      <c r="A1892" t="str">
        <f t="shared" si="29"/>
        <v>N1WB E23943 YJ1G1C</v>
      </c>
      <c r="B1892" s="22" t="s">
        <v>7530</v>
      </c>
      <c r="C1892" s="22" t="s">
        <v>7531</v>
      </c>
      <c r="D1892" s="22" t="s">
        <v>72</v>
      </c>
      <c r="E1892" s="21"/>
      <c r="F1892" s="22" t="s">
        <v>2360</v>
      </c>
      <c r="G1892" s="28" t="s">
        <v>5499</v>
      </c>
      <c r="H1892" s="22" t="s">
        <v>2055</v>
      </c>
      <c r="I1892" s="21"/>
      <c r="J1892" s="22" t="s">
        <v>261</v>
      </c>
      <c r="K1892" s="22" t="s">
        <v>262</v>
      </c>
      <c r="L1892" s="21"/>
      <c r="M1892" s="22" t="s">
        <v>2014</v>
      </c>
      <c r="N1892" s="28" t="s">
        <v>2015</v>
      </c>
      <c r="O1892" s="28" t="s">
        <v>2016</v>
      </c>
      <c r="P1892" s="29">
        <v>0</v>
      </c>
      <c r="Q1892" s="28" t="s">
        <v>2017</v>
      </c>
      <c r="R1892" s="21"/>
      <c r="S1892" s="21"/>
      <c r="T1892" s="21"/>
      <c r="U1892" s="21"/>
      <c r="V1892" s="21"/>
      <c r="W1892" s="21"/>
      <c r="X1892" s="21"/>
    </row>
    <row r="1893" spans="1:24" ht="15.75" thickBot="1" x14ac:dyDescent="0.3">
      <c r="A1893" t="str">
        <f t="shared" si="29"/>
        <v>N1WB E23943 YK1G1C</v>
      </c>
      <c r="B1893" s="22" t="s">
        <v>7532</v>
      </c>
      <c r="C1893" s="22" t="s">
        <v>7533</v>
      </c>
      <c r="D1893" s="22" t="s">
        <v>72</v>
      </c>
      <c r="E1893" s="21"/>
      <c r="F1893" s="22" t="s">
        <v>2360</v>
      </c>
      <c r="G1893" s="28" t="s">
        <v>2012</v>
      </c>
      <c r="H1893" s="22" t="s">
        <v>2055</v>
      </c>
      <c r="I1893" s="21"/>
      <c r="J1893" s="22" t="s">
        <v>261</v>
      </c>
      <c r="K1893" s="22" t="s">
        <v>262</v>
      </c>
      <c r="L1893" s="21"/>
      <c r="M1893" s="22" t="s">
        <v>2014</v>
      </c>
      <c r="N1893" s="28" t="s">
        <v>2015</v>
      </c>
      <c r="O1893" s="28" t="s">
        <v>2016</v>
      </c>
      <c r="P1893" s="29">
        <v>0</v>
      </c>
      <c r="Q1893" s="28" t="s">
        <v>2017</v>
      </c>
      <c r="R1893" s="21"/>
      <c r="S1893" s="21"/>
      <c r="T1893" s="21"/>
      <c r="U1893" s="21"/>
      <c r="V1893" s="21"/>
      <c r="W1893" s="21"/>
      <c r="X1893" s="21"/>
    </row>
    <row r="1894" spans="1:24" ht="15.75" thickBot="1" x14ac:dyDescent="0.3">
      <c r="A1894" t="str">
        <f t="shared" si="29"/>
        <v>N1WB E23943 YLW</v>
      </c>
      <c r="B1894" s="22" t="s">
        <v>7534</v>
      </c>
      <c r="C1894" s="22" t="s">
        <v>7535</v>
      </c>
      <c r="D1894" s="22" t="s">
        <v>72</v>
      </c>
      <c r="E1894" s="21"/>
      <c r="F1894" s="22" t="s">
        <v>2360</v>
      </c>
      <c r="G1894" s="28" t="s">
        <v>5499</v>
      </c>
      <c r="H1894" s="22" t="s">
        <v>2055</v>
      </c>
      <c r="I1894" s="21"/>
      <c r="J1894" s="22" t="s">
        <v>261</v>
      </c>
      <c r="K1894" s="22" t="s">
        <v>262</v>
      </c>
      <c r="L1894" s="21"/>
      <c r="M1894" s="22" t="s">
        <v>2014</v>
      </c>
      <c r="N1894" s="28" t="s">
        <v>2015</v>
      </c>
      <c r="O1894" s="28" t="s">
        <v>2016</v>
      </c>
      <c r="P1894" s="29">
        <v>0</v>
      </c>
      <c r="Q1894" s="28" t="s">
        <v>2017</v>
      </c>
      <c r="R1894" s="21"/>
      <c r="S1894" s="21"/>
      <c r="T1894" s="21"/>
      <c r="U1894" s="21"/>
      <c r="V1894" s="21"/>
      <c r="W1894" s="21"/>
      <c r="X1894" s="21"/>
    </row>
    <row r="1895" spans="1:24" ht="15.75" thickBot="1" x14ac:dyDescent="0.3">
      <c r="A1895" t="str">
        <f t="shared" si="29"/>
        <v>N1WB E23943 YM1G1C</v>
      </c>
      <c r="B1895" s="22" t="s">
        <v>992</v>
      </c>
      <c r="C1895" s="22" t="s">
        <v>7536</v>
      </c>
      <c r="D1895" s="22" t="s">
        <v>72</v>
      </c>
      <c r="E1895" s="21"/>
      <c r="F1895" s="22" t="s">
        <v>2360</v>
      </c>
      <c r="G1895" s="28" t="s">
        <v>2012</v>
      </c>
      <c r="H1895" s="22" t="s">
        <v>2055</v>
      </c>
      <c r="I1895" s="21"/>
      <c r="J1895" s="22" t="s">
        <v>261</v>
      </c>
      <c r="K1895" s="22" t="s">
        <v>262</v>
      </c>
      <c r="L1895" s="21"/>
      <c r="M1895" s="22" t="s">
        <v>2014</v>
      </c>
      <c r="N1895" s="28" t="s">
        <v>2015</v>
      </c>
      <c r="O1895" s="28" t="s">
        <v>2016</v>
      </c>
      <c r="P1895" s="29">
        <v>0</v>
      </c>
      <c r="Q1895" s="28" t="s">
        <v>2017</v>
      </c>
      <c r="R1895" s="41">
        <v>0</v>
      </c>
      <c r="S1895" s="29">
        <v>5</v>
      </c>
      <c r="T1895" s="32">
        <v>7.7777777776999998E-2</v>
      </c>
      <c r="U1895" s="32">
        <v>0</v>
      </c>
      <c r="V1895" s="41">
        <v>0</v>
      </c>
      <c r="W1895" s="21"/>
      <c r="X1895" s="21"/>
    </row>
    <row r="1896" spans="1:24" ht="15.75" thickBot="1" x14ac:dyDescent="0.3">
      <c r="A1896" t="str">
        <f t="shared" si="29"/>
        <v>N1WB E24396 CAW</v>
      </c>
      <c r="B1896" s="22" t="s">
        <v>7537</v>
      </c>
      <c r="C1896" s="22" t="s">
        <v>7389</v>
      </c>
      <c r="D1896" s="22" t="s">
        <v>7538</v>
      </c>
      <c r="E1896" s="21"/>
      <c r="F1896" s="22" t="s">
        <v>2030</v>
      </c>
      <c r="G1896" s="28" t="s">
        <v>2012</v>
      </c>
      <c r="H1896" s="22" t="s">
        <v>2080</v>
      </c>
      <c r="I1896" s="21"/>
      <c r="J1896" s="22" t="s">
        <v>261</v>
      </c>
      <c r="K1896" s="22" t="s">
        <v>262</v>
      </c>
      <c r="L1896" s="21"/>
      <c r="M1896" s="22" t="s">
        <v>6878</v>
      </c>
      <c r="N1896" s="28" t="s">
        <v>2015</v>
      </c>
      <c r="O1896" s="28" t="s">
        <v>2016</v>
      </c>
      <c r="P1896" s="29">
        <v>0</v>
      </c>
      <c r="Q1896" s="28" t="s">
        <v>2017</v>
      </c>
      <c r="R1896" s="21"/>
      <c r="S1896" s="21"/>
      <c r="T1896" s="21"/>
      <c r="U1896" s="21"/>
      <c r="V1896" s="21"/>
      <c r="W1896" s="21"/>
      <c r="X1896" s="21"/>
    </row>
    <row r="1897" spans="1:24" ht="15.75" thickBot="1" x14ac:dyDescent="0.3">
      <c r="A1897" t="str">
        <f t="shared" si="29"/>
        <v>N1WB E24396 CAW-01</v>
      </c>
      <c r="B1897" s="22" t="s">
        <v>7539</v>
      </c>
      <c r="C1897" s="22" t="s">
        <v>7389</v>
      </c>
      <c r="D1897" s="22" t="s">
        <v>7538</v>
      </c>
      <c r="E1897" s="21"/>
      <c r="F1897" s="22" t="s">
        <v>2030</v>
      </c>
      <c r="G1897" s="28" t="s">
        <v>2012</v>
      </c>
      <c r="H1897" s="22" t="s">
        <v>2080</v>
      </c>
      <c r="I1897" s="21"/>
      <c r="J1897" s="22" t="s">
        <v>261</v>
      </c>
      <c r="K1897" s="22" t="s">
        <v>262</v>
      </c>
      <c r="L1897" s="21"/>
      <c r="M1897" s="22" t="s">
        <v>6878</v>
      </c>
      <c r="N1897" s="28" t="s">
        <v>2015</v>
      </c>
      <c r="O1897" s="28" t="s">
        <v>2016</v>
      </c>
      <c r="P1897" s="29">
        <v>0</v>
      </c>
      <c r="Q1897" s="28" t="s">
        <v>2017</v>
      </c>
      <c r="R1897" s="21"/>
      <c r="S1897" s="21"/>
      <c r="T1897" s="21"/>
      <c r="U1897" s="21"/>
      <c r="V1897" s="21"/>
      <c r="W1897" s="21"/>
      <c r="X1897" s="21"/>
    </row>
    <row r="1898" spans="1:24" ht="15.75" thickBot="1" x14ac:dyDescent="0.3">
      <c r="A1898" t="str">
        <f t="shared" si="29"/>
        <v>N1WB E24397 CAW</v>
      </c>
      <c r="B1898" s="22" t="s">
        <v>7540</v>
      </c>
      <c r="C1898" s="22" t="s">
        <v>7393</v>
      </c>
      <c r="D1898" s="22" t="s">
        <v>7538</v>
      </c>
      <c r="E1898" s="21"/>
      <c r="F1898" s="22" t="s">
        <v>2030</v>
      </c>
      <c r="G1898" s="28" t="s">
        <v>2012</v>
      </c>
      <c r="H1898" s="22" t="s">
        <v>2080</v>
      </c>
      <c r="I1898" s="21"/>
      <c r="J1898" s="22" t="s">
        <v>261</v>
      </c>
      <c r="K1898" s="22" t="s">
        <v>262</v>
      </c>
      <c r="L1898" s="21"/>
      <c r="M1898" s="22" t="s">
        <v>6878</v>
      </c>
      <c r="N1898" s="28" t="s">
        <v>2015</v>
      </c>
      <c r="O1898" s="28" t="s">
        <v>2016</v>
      </c>
      <c r="P1898" s="29">
        <v>0</v>
      </c>
      <c r="Q1898" s="28" t="s">
        <v>2017</v>
      </c>
      <c r="R1898" s="21"/>
      <c r="S1898" s="21"/>
      <c r="T1898" s="21"/>
      <c r="U1898" s="21"/>
      <c r="V1898" s="21"/>
      <c r="W1898" s="21"/>
      <c r="X1898" s="21"/>
    </row>
    <row r="1899" spans="1:24" ht="15.75" thickBot="1" x14ac:dyDescent="0.3">
      <c r="A1899" t="str">
        <f t="shared" si="29"/>
        <v>N1WB E24397 CAW-01</v>
      </c>
      <c r="B1899" s="22" t="s">
        <v>7541</v>
      </c>
      <c r="C1899" s="22" t="s">
        <v>7393</v>
      </c>
      <c r="D1899" s="22" t="s">
        <v>7538</v>
      </c>
      <c r="E1899" s="21"/>
      <c r="F1899" s="22" t="s">
        <v>2030</v>
      </c>
      <c r="G1899" s="28" t="s">
        <v>2012</v>
      </c>
      <c r="H1899" s="22" t="s">
        <v>2080</v>
      </c>
      <c r="I1899" s="21"/>
      <c r="J1899" s="22" t="s">
        <v>261</v>
      </c>
      <c r="K1899" s="22" t="s">
        <v>262</v>
      </c>
      <c r="L1899" s="21"/>
      <c r="M1899" s="22" t="s">
        <v>6878</v>
      </c>
      <c r="N1899" s="28" t="s">
        <v>2015</v>
      </c>
      <c r="O1899" s="28" t="s">
        <v>2016</v>
      </c>
      <c r="P1899" s="29">
        <v>0</v>
      </c>
      <c r="Q1899" s="28" t="s">
        <v>2017</v>
      </c>
      <c r="R1899" s="21"/>
      <c r="S1899" s="21"/>
      <c r="T1899" s="21"/>
      <c r="U1899" s="21"/>
      <c r="V1899" s="21"/>
      <c r="W1899" s="21"/>
      <c r="X1899" s="21"/>
    </row>
    <row r="1900" spans="1:24" ht="15.75" thickBot="1" x14ac:dyDescent="0.3">
      <c r="A1900" t="str">
        <f t="shared" si="29"/>
        <v>N1WB E243A52 EDW</v>
      </c>
      <c r="B1900" s="22" t="s">
        <v>7542</v>
      </c>
      <c r="C1900" s="22" t="s">
        <v>7543</v>
      </c>
      <c r="D1900" s="22" t="s">
        <v>2428</v>
      </c>
      <c r="E1900" s="21"/>
      <c r="F1900" s="22" t="s">
        <v>2429</v>
      </c>
      <c r="G1900" s="28" t="s">
        <v>5499</v>
      </c>
      <c r="H1900" s="22" t="s">
        <v>2080</v>
      </c>
      <c r="I1900" s="21"/>
      <c r="J1900" s="22" t="s">
        <v>261</v>
      </c>
      <c r="K1900" s="22" t="s">
        <v>262</v>
      </c>
      <c r="L1900" s="21"/>
      <c r="M1900" s="22" t="s">
        <v>2014</v>
      </c>
      <c r="N1900" s="28" t="s">
        <v>2015</v>
      </c>
      <c r="O1900" s="28" t="s">
        <v>2016</v>
      </c>
      <c r="P1900" s="29">
        <v>0</v>
      </c>
      <c r="Q1900" s="28" t="s">
        <v>2017</v>
      </c>
      <c r="R1900" s="21"/>
      <c r="S1900" s="21"/>
      <c r="T1900" s="21"/>
      <c r="U1900" s="21"/>
      <c r="V1900" s="21"/>
      <c r="W1900" s="21"/>
      <c r="X1900" s="21"/>
    </row>
    <row r="1901" spans="1:24" ht="15.75" thickBot="1" x14ac:dyDescent="0.3">
      <c r="A1901" t="str">
        <f t="shared" si="29"/>
        <v>N1WB E243A53 EDW</v>
      </c>
      <c r="B1901" s="22" t="s">
        <v>7544</v>
      </c>
      <c r="C1901" s="22" t="s">
        <v>7545</v>
      </c>
      <c r="D1901" s="22" t="s">
        <v>2431</v>
      </c>
      <c r="E1901" s="21"/>
      <c r="F1901" s="22" t="s">
        <v>2429</v>
      </c>
      <c r="G1901" s="28" t="s">
        <v>5499</v>
      </c>
      <c r="H1901" s="22" t="s">
        <v>2080</v>
      </c>
      <c r="I1901" s="21"/>
      <c r="J1901" s="22" t="s">
        <v>261</v>
      </c>
      <c r="K1901" s="22" t="s">
        <v>262</v>
      </c>
      <c r="L1901" s="21"/>
      <c r="M1901" s="22" t="s">
        <v>2014</v>
      </c>
      <c r="N1901" s="28" t="s">
        <v>2015</v>
      </c>
      <c r="O1901" s="28" t="s">
        <v>2016</v>
      </c>
      <c r="P1901" s="29">
        <v>0</v>
      </c>
      <c r="Q1901" s="28" t="s">
        <v>2017</v>
      </c>
      <c r="R1901" s="21"/>
      <c r="S1901" s="21"/>
      <c r="T1901" s="21"/>
      <c r="U1901" s="21"/>
      <c r="V1901" s="21"/>
      <c r="W1901" s="21"/>
      <c r="X1901" s="21"/>
    </row>
    <row r="1902" spans="1:24" ht="15.75" thickBot="1" x14ac:dyDescent="0.3">
      <c r="A1902" t="str">
        <f t="shared" si="29"/>
        <v>N1WB E24592 CBW</v>
      </c>
      <c r="B1902" s="22" t="s">
        <v>7546</v>
      </c>
      <c r="C1902" s="22" t="s">
        <v>7547</v>
      </c>
      <c r="D1902" s="22" t="s">
        <v>7548</v>
      </c>
      <c r="E1902" s="21"/>
      <c r="F1902" s="22" t="s">
        <v>2030</v>
      </c>
      <c r="G1902" s="28" t="s">
        <v>5499</v>
      </c>
      <c r="H1902" s="22" t="s">
        <v>2080</v>
      </c>
      <c r="I1902" s="21"/>
      <c r="J1902" s="22" t="s">
        <v>261</v>
      </c>
      <c r="K1902" s="22" t="s">
        <v>262</v>
      </c>
      <c r="L1902" s="21"/>
      <c r="M1902" s="22" t="s">
        <v>6878</v>
      </c>
      <c r="N1902" s="28" t="s">
        <v>2015</v>
      </c>
      <c r="O1902" s="28" t="s">
        <v>2016</v>
      </c>
      <c r="P1902" s="29">
        <v>0</v>
      </c>
      <c r="Q1902" s="28" t="s">
        <v>2017</v>
      </c>
      <c r="R1902" s="21"/>
      <c r="S1902" s="21"/>
      <c r="T1902" s="21"/>
      <c r="U1902" s="21"/>
      <c r="V1902" s="21"/>
      <c r="W1902" s="21"/>
      <c r="X1902" s="21"/>
    </row>
    <row r="1903" spans="1:24" ht="15.75" thickBot="1" x14ac:dyDescent="0.3">
      <c r="A1903" t="str">
        <f t="shared" si="29"/>
        <v>N1WB E245A22 AAW</v>
      </c>
      <c r="B1903" s="22" t="s">
        <v>7549</v>
      </c>
      <c r="C1903" s="22" t="s">
        <v>7550</v>
      </c>
      <c r="D1903" s="22" t="s">
        <v>7551</v>
      </c>
      <c r="E1903" s="21"/>
      <c r="F1903" s="22" t="s">
        <v>2030</v>
      </c>
      <c r="G1903" s="28" t="s">
        <v>5499</v>
      </c>
      <c r="H1903" s="22" t="s">
        <v>2080</v>
      </c>
      <c r="I1903" s="21"/>
      <c r="J1903" s="22" t="s">
        <v>261</v>
      </c>
      <c r="K1903" s="22" t="s">
        <v>262</v>
      </c>
      <c r="L1903" s="21"/>
      <c r="M1903" s="22" t="s">
        <v>6878</v>
      </c>
      <c r="N1903" s="28" t="s">
        <v>2015</v>
      </c>
      <c r="O1903" s="28" t="s">
        <v>2016</v>
      </c>
      <c r="P1903" s="29">
        <v>0</v>
      </c>
      <c r="Q1903" s="28" t="s">
        <v>2017</v>
      </c>
      <c r="R1903" s="21"/>
      <c r="S1903" s="21"/>
      <c r="T1903" s="21"/>
      <c r="U1903" s="21"/>
      <c r="V1903" s="21"/>
      <c r="W1903" s="21"/>
      <c r="X1903" s="21"/>
    </row>
    <row r="1904" spans="1:24" ht="15.75" thickBot="1" x14ac:dyDescent="0.3">
      <c r="A1904" t="str">
        <f t="shared" si="29"/>
        <v>N1WB E245A22 AB3ZHE</v>
      </c>
      <c r="B1904" s="22" t="s">
        <v>7552</v>
      </c>
      <c r="C1904" s="22" t="s">
        <v>7553</v>
      </c>
      <c r="D1904" s="22" t="s">
        <v>3522</v>
      </c>
      <c r="E1904" s="21"/>
      <c r="F1904" s="22" t="s">
        <v>3523</v>
      </c>
      <c r="G1904" s="28" t="s">
        <v>2012</v>
      </c>
      <c r="H1904" s="22" t="s">
        <v>2080</v>
      </c>
      <c r="I1904" s="21"/>
      <c r="J1904" s="22" t="s">
        <v>261</v>
      </c>
      <c r="K1904" s="22" t="s">
        <v>262</v>
      </c>
      <c r="L1904" s="21"/>
      <c r="M1904" s="22" t="s">
        <v>2014</v>
      </c>
      <c r="N1904" s="28" t="s">
        <v>2015</v>
      </c>
      <c r="O1904" s="28" t="s">
        <v>2016</v>
      </c>
      <c r="P1904" s="29">
        <v>0</v>
      </c>
      <c r="Q1904" s="28" t="s">
        <v>2017</v>
      </c>
      <c r="R1904" s="21"/>
      <c r="S1904" s="21"/>
      <c r="T1904" s="21"/>
      <c r="U1904" s="21"/>
      <c r="V1904" s="21"/>
      <c r="W1904" s="21"/>
      <c r="X1904" s="21"/>
    </row>
    <row r="1905" spans="1:24" ht="15.75" thickBot="1" x14ac:dyDescent="0.3">
      <c r="A1905" t="str">
        <f t="shared" si="29"/>
        <v>N1WB E27406 CLW</v>
      </c>
      <c r="B1905" s="22" t="s">
        <v>7554</v>
      </c>
      <c r="C1905" s="22" t="s">
        <v>7555</v>
      </c>
      <c r="D1905" s="22" t="s">
        <v>134</v>
      </c>
      <c r="E1905" s="21"/>
      <c r="F1905" s="22" t="s">
        <v>2369</v>
      </c>
      <c r="G1905" s="28" t="s">
        <v>2012</v>
      </c>
      <c r="H1905" s="22" t="s">
        <v>2055</v>
      </c>
      <c r="I1905" s="21"/>
      <c r="J1905" s="22" t="s">
        <v>261</v>
      </c>
      <c r="K1905" s="22" t="s">
        <v>262</v>
      </c>
      <c r="L1905" s="21"/>
      <c r="M1905" s="22" t="s">
        <v>2014</v>
      </c>
      <c r="N1905" s="28" t="s">
        <v>2015</v>
      </c>
      <c r="O1905" s="28" t="s">
        <v>2016</v>
      </c>
      <c r="P1905" s="29">
        <v>0</v>
      </c>
      <c r="Q1905" s="28" t="s">
        <v>2017</v>
      </c>
      <c r="R1905" s="21"/>
      <c r="S1905" s="21"/>
      <c r="T1905" s="21"/>
      <c r="U1905" s="21"/>
      <c r="V1905" s="21"/>
      <c r="W1905" s="21"/>
      <c r="X1905" s="21"/>
    </row>
    <row r="1906" spans="1:24" ht="15.75" thickBot="1" x14ac:dyDescent="0.3">
      <c r="A1906" t="str">
        <f t="shared" si="29"/>
        <v>N1WB E27406 RL1G1C</v>
      </c>
      <c r="B1906" s="22" t="s">
        <v>7556</v>
      </c>
      <c r="C1906" s="22" t="s">
        <v>7557</v>
      </c>
      <c r="D1906" s="22" t="s">
        <v>134</v>
      </c>
      <c r="E1906" s="22" t="s">
        <v>2417</v>
      </c>
      <c r="F1906" s="22" t="s">
        <v>2436</v>
      </c>
      <c r="G1906" s="28" t="s">
        <v>2012</v>
      </c>
      <c r="H1906" s="22" t="s">
        <v>2055</v>
      </c>
      <c r="I1906" s="21"/>
      <c r="J1906" s="22" t="s">
        <v>261</v>
      </c>
      <c r="K1906" s="22" t="s">
        <v>262</v>
      </c>
      <c r="L1906" s="21"/>
      <c r="M1906" s="22" t="s">
        <v>2014</v>
      </c>
      <c r="N1906" s="28" t="s">
        <v>2015</v>
      </c>
      <c r="O1906" s="28" t="s">
        <v>2016</v>
      </c>
      <c r="P1906" s="29">
        <v>3</v>
      </c>
      <c r="Q1906" s="28" t="s">
        <v>2017</v>
      </c>
      <c r="R1906" s="21"/>
      <c r="S1906" s="21"/>
      <c r="T1906" s="21"/>
      <c r="U1906" s="21"/>
      <c r="V1906" s="21"/>
      <c r="W1906" s="21"/>
      <c r="X1906" s="21"/>
    </row>
    <row r="1907" spans="1:24" ht="15.75" thickBot="1" x14ac:dyDescent="0.3">
      <c r="A1907" t="str">
        <f t="shared" si="29"/>
        <v>N1WB E27406 RL1G1E</v>
      </c>
      <c r="B1907" s="22" t="s">
        <v>1033</v>
      </c>
      <c r="C1907" s="22" t="s">
        <v>7558</v>
      </c>
      <c r="D1907" s="22" t="s">
        <v>134</v>
      </c>
      <c r="E1907" s="22" t="s">
        <v>2417</v>
      </c>
      <c r="F1907" s="22" t="s">
        <v>2436</v>
      </c>
      <c r="G1907" s="28" t="s">
        <v>2012</v>
      </c>
      <c r="H1907" s="22" t="s">
        <v>2055</v>
      </c>
      <c r="I1907" s="21"/>
      <c r="J1907" s="22" t="s">
        <v>261</v>
      </c>
      <c r="K1907" s="22" t="s">
        <v>262</v>
      </c>
      <c r="L1907" s="21"/>
      <c r="M1907" s="22" t="s">
        <v>2014</v>
      </c>
      <c r="N1907" s="28" t="s">
        <v>2015</v>
      </c>
      <c r="O1907" s="28" t="s">
        <v>2016</v>
      </c>
      <c r="P1907" s="29">
        <v>0</v>
      </c>
      <c r="Q1907" s="28" t="s">
        <v>2017</v>
      </c>
      <c r="R1907" s="41">
        <v>0</v>
      </c>
      <c r="S1907" s="29">
        <v>2</v>
      </c>
      <c r="T1907" s="32">
        <v>3.1111111111000001E-2</v>
      </c>
      <c r="U1907" s="32">
        <v>0</v>
      </c>
      <c r="V1907" s="41">
        <v>0</v>
      </c>
      <c r="W1907" s="21"/>
      <c r="X1907" s="21"/>
    </row>
    <row r="1908" spans="1:24" ht="15.75" thickBot="1" x14ac:dyDescent="0.3">
      <c r="A1908" t="str">
        <f t="shared" si="29"/>
        <v>N1WB E27406 RL3LU4</v>
      </c>
      <c r="B1908" s="22" t="s">
        <v>7559</v>
      </c>
      <c r="C1908" s="22" t="s">
        <v>7560</v>
      </c>
      <c r="D1908" s="22" t="s">
        <v>134</v>
      </c>
      <c r="E1908" s="22" t="s">
        <v>2441</v>
      </c>
      <c r="F1908" s="22" t="s">
        <v>2436</v>
      </c>
      <c r="G1908" s="28" t="s">
        <v>2012</v>
      </c>
      <c r="H1908" s="22" t="s">
        <v>2055</v>
      </c>
      <c r="I1908" s="21"/>
      <c r="J1908" s="22" t="s">
        <v>261</v>
      </c>
      <c r="K1908" s="22" t="s">
        <v>262</v>
      </c>
      <c r="L1908" s="21"/>
      <c r="M1908" s="22" t="s">
        <v>2014</v>
      </c>
      <c r="N1908" s="28" t="s">
        <v>2015</v>
      </c>
      <c r="O1908" s="28" t="s">
        <v>2016</v>
      </c>
      <c r="P1908" s="29">
        <v>0</v>
      </c>
      <c r="Q1908" s="28" t="s">
        <v>2017</v>
      </c>
      <c r="R1908" s="21"/>
      <c r="S1908" s="21"/>
      <c r="T1908" s="21"/>
      <c r="U1908" s="21"/>
      <c r="V1908" s="21"/>
      <c r="W1908" s="21"/>
      <c r="X1908" s="21"/>
    </row>
    <row r="1909" spans="1:24" ht="15.75" thickBot="1" x14ac:dyDescent="0.3">
      <c r="A1909" t="str">
        <f t="shared" si="29"/>
        <v>N1WB E27406 RPW</v>
      </c>
      <c r="B1909" s="22" t="s">
        <v>7561</v>
      </c>
      <c r="C1909" s="22" t="s">
        <v>7562</v>
      </c>
      <c r="D1909" s="22" t="s">
        <v>134</v>
      </c>
      <c r="E1909" s="22" t="s">
        <v>2417</v>
      </c>
      <c r="F1909" s="22" t="s">
        <v>2436</v>
      </c>
      <c r="G1909" s="28" t="s">
        <v>2012</v>
      </c>
      <c r="H1909" s="22" t="s">
        <v>2055</v>
      </c>
      <c r="I1909" s="21"/>
      <c r="J1909" s="22" t="s">
        <v>261</v>
      </c>
      <c r="K1909" s="22" t="s">
        <v>262</v>
      </c>
      <c r="L1909" s="21"/>
      <c r="M1909" s="22" t="s">
        <v>2014</v>
      </c>
      <c r="N1909" s="28" t="s">
        <v>2015</v>
      </c>
      <c r="O1909" s="28" t="s">
        <v>2016</v>
      </c>
      <c r="P1909" s="29">
        <v>0</v>
      </c>
      <c r="Q1909" s="28" t="s">
        <v>2017</v>
      </c>
      <c r="R1909" s="21"/>
      <c r="S1909" s="21"/>
      <c r="T1909" s="21"/>
      <c r="U1909" s="21"/>
      <c r="V1909" s="21"/>
      <c r="W1909" s="21"/>
      <c r="X1909" s="21"/>
    </row>
    <row r="1910" spans="1:24" ht="15.75" thickBot="1" x14ac:dyDescent="0.3">
      <c r="A1910" t="str">
        <f t="shared" si="29"/>
        <v>N1WB E27406 SLW</v>
      </c>
      <c r="B1910" s="22" t="s">
        <v>7563</v>
      </c>
      <c r="C1910" s="22" t="s">
        <v>7564</v>
      </c>
      <c r="D1910" s="22" t="s">
        <v>134</v>
      </c>
      <c r="E1910" s="22" t="s">
        <v>2685</v>
      </c>
      <c r="F1910" s="22" t="s">
        <v>2436</v>
      </c>
      <c r="G1910" s="28" t="s">
        <v>2012</v>
      </c>
      <c r="H1910" s="22" t="s">
        <v>2055</v>
      </c>
      <c r="I1910" s="21"/>
      <c r="J1910" s="22" t="s">
        <v>261</v>
      </c>
      <c r="K1910" s="22" t="s">
        <v>262</v>
      </c>
      <c r="L1910" s="21"/>
      <c r="M1910" s="22" t="s">
        <v>2014</v>
      </c>
      <c r="N1910" s="28" t="s">
        <v>2015</v>
      </c>
      <c r="O1910" s="28" t="s">
        <v>2016</v>
      </c>
      <c r="P1910" s="29">
        <v>0</v>
      </c>
      <c r="Q1910" s="28" t="s">
        <v>2017</v>
      </c>
      <c r="R1910" s="21"/>
      <c r="S1910" s="21"/>
      <c r="T1910" s="21"/>
      <c r="U1910" s="21"/>
      <c r="V1910" s="21"/>
      <c r="W1910" s="21"/>
      <c r="X1910" s="21"/>
    </row>
    <row r="1911" spans="1:24" ht="15.75" thickBot="1" x14ac:dyDescent="0.3">
      <c r="A1911" t="str">
        <f t="shared" si="29"/>
        <v>N1WB E27406 ULW</v>
      </c>
      <c r="B1911" s="22" t="s">
        <v>7565</v>
      </c>
      <c r="C1911" s="22" t="s">
        <v>7566</v>
      </c>
      <c r="D1911" s="22" t="s">
        <v>134</v>
      </c>
      <c r="E1911" s="22" t="s">
        <v>2417</v>
      </c>
      <c r="F1911" s="22" t="s">
        <v>2369</v>
      </c>
      <c r="G1911" s="28" t="s">
        <v>2012</v>
      </c>
      <c r="H1911" s="22" t="s">
        <v>2055</v>
      </c>
      <c r="I1911" s="21"/>
      <c r="J1911" s="22" t="s">
        <v>261</v>
      </c>
      <c r="K1911" s="22" t="s">
        <v>262</v>
      </c>
      <c r="L1911" s="21"/>
      <c r="M1911" s="22" t="s">
        <v>2014</v>
      </c>
      <c r="N1911" s="28" t="s">
        <v>2015</v>
      </c>
      <c r="O1911" s="28" t="s">
        <v>2016</v>
      </c>
      <c r="P1911" s="29">
        <v>0</v>
      </c>
      <c r="Q1911" s="28" t="s">
        <v>2017</v>
      </c>
      <c r="R1911" s="21"/>
      <c r="S1911" s="21"/>
      <c r="T1911" s="21"/>
      <c r="U1911" s="21"/>
      <c r="V1911" s="21"/>
      <c r="W1911" s="21"/>
      <c r="X1911" s="21"/>
    </row>
    <row r="1912" spans="1:24" ht="15.75" thickBot="1" x14ac:dyDescent="0.3">
      <c r="A1912" t="str">
        <f t="shared" si="29"/>
        <v>N1WB E27407 CLW</v>
      </c>
      <c r="B1912" s="22" t="s">
        <v>7567</v>
      </c>
      <c r="C1912" s="22" t="s">
        <v>7568</v>
      </c>
      <c r="D1912" s="22" t="s">
        <v>176</v>
      </c>
      <c r="E1912" s="21"/>
      <c r="F1912" s="22" t="s">
        <v>2375</v>
      </c>
      <c r="G1912" s="28" t="s">
        <v>2012</v>
      </c>
      <c r="H1912" s="22" t="s">
        <v>2055</v>
      </c>
      <c r="I1912" s="21"/>
      <c r="J1912" s="22" t="s">
        <v>261</v>
      </c>
      <c r="K1912" s="22" t="s">
        <v>262</v>
      </c>
      <c r="L1912" s="21"/>
      <c r="M1912" s="22" t="s">
        <v>2014</v>
      </c>
      <c r="N1912" s="28" t="s">
        <v>2015</v>
      </c>
      <c r="O1912" s="28" t="s">
        <v>2016</v>
      </c>
      <c r="P1912" s="29">
        <v>0</v>
      </c>
      <c r="Q1912" s="28" t="s">
        <v>2017</v>
      </c>
      <c r="R1912" s="21"/>
      <c r="S1912" s="21"/>
      <c r="T1912" s="21"/>
      <c r="U1912" s="21"/>
      <c r="V1912" s="21"/>
      <c r="W1912" s="21"/>
      <c r="X1912" s="21"/>
    </row>
    <row r="1913" spans="1:24" ht="15.75" thickBot="1" x14ac:dyDescent="0.3">
      <c r="A1913" t="str">
        <f t="shared" si="29"/>
        <v>N1WB E27407 RL1G1C</v>
      </c>
      <c r="B1913" s="22" t="s">
        <v>7569</v>
      </c>
      <c r="C1913" s="22" t="s">
        <v>7570</v>
      </c>
      <c r="D1913" s="22" t="s">
        <v>176</v>
      </c>
      <c r="E1913" s="22" t="s">
        <v>2417</v>
      </c>
      <c r="F1913" s="22" t="s">
        <v>2443</v>
      </c>
      <c r="G1913" s="28" t="s">
        <v>2012</v>
      </c>
      <c r="H1913" s="22" t="s">
        <v>2055</v>
      </c>
      <c r="I1913" s="21"/>
      <c r="J1913" s="22" t="s">
        <v>261</v>
      </c>
      <c r="K1913" s="22" t="s">
        <v>262</v>
      </c>
      <c r="L1913" s="21"/>
      <c r="M1913" s="22" t="s">
        <v>2014</v>
      </c>
      <c r="N1913" s="28" t="s">
        <v>2015</v>
      </c>
      <c r="O1913" s="28" t="s">
        <v>2016</v>
      </c>
      <c r="P1913" s="29">
        <v>0</v>
      </c>
      <c r="Q1913" s="28" t="s">
        <v>2017</v>
      </c>
      <c r="R1913" s="21"/>
      <c r="S1913" s="21"/>
      <c r="T1913" s="21"/>
      <c r="U1913" s="21"/>
      <c r="V1913" s="21"/>
      <c r="W1913" s="21"/>
      <c r="X1913" s="21"/>
    </row>
    <row r="1914" spans="1:24" ht="15.75" thickBot="1" x14ac:dyDescent="0.3">
      <c r="A1914" t="str">
        <f t="shared" si="29"/>
        <v>N1WB E27407 RL1G1E</v>
      </c>
      <c r="B1914" s="22" t="s">
        <v>7571</v>
      </c>
      <c r="C1914" s="22" t="s">
        <v>7572</v>
      </c>
      <c r="D1914" s="22" t="s">
        <v>176</v>
      </c>
      <c r="E1914" s="22" t="s">
        <v>2417</v>
      </c>
      <c r="F1914" s="22" t="s">
        <v>2443</v>
      </c>
      <c r="G1914" s="28" t="s">
        <v>2012</v>
      </c>
      <c r="H1914" s="22" t="s">
        <v>2055</v>
      </c>
      <c r="I1914" s="21"/>
      <c r="J1914" s="22" t="s">
        <v>261</v>
      </c>
      <c r="K1914" s="22" t="s">
        <v>262</v>
      </c>
      <c r="L1914" s="21"/>
      <c r="M1914" s="22" t="s">
        <v>2014</v>
      </c>
      <c r="N1914" s="28" t="s">
        <v>2015</v>
      </c>
      <c r="O1914" s="28" t="s">
        <v>2016</v>
      </c>
      <c r="P1914" s="29">
        <v>0</v>
      </c>
      <c r="Q1914" s="28" t="s">
        <v>2017</v>
      </c>
      <c r="R1914" s="21"/>
      <c r="S1914" s="21"/>
      <c r="T1914" s="21"/>
      <c r="U1914" s="21"/>
      <c r="V1914" s="21"/>
      <c r="W1914" s="21"/>
      <c r="X1914" s="21"/>
    </row>
    <row r="1915" spans="1:24" ht="15.75" thickBot="1" x14ac:dyDescent="0.3">
      <c r="A1915" t="str">
        <f t="shared" si="29"/>
        <v>N1WB E27407 RL3LU4</v>
      </c>
      <c r="B1915" s="22" t="s">
        <v>7573</v>
      </c>
      <c r="C1915" s="22" t="s">
        <v>7574</v>
      </c>
      <c r="D1915" s="22" t="s">
        <v>176</v>
      </c>
      <c r="E1915" s="22" t="s">
        <v>2441</v>
      </c>
      <c r="F1915" s="22" t="s">
        <v>2443</v>
      </c>
      <c r="G1915" s="28" t="s">
        <v>2012</v>
      </c>
      <c r="H1915" s="22" t="s">
        <v>2055</v>
      </c>
      <c r="I1915" s="21"/>
      <c r="J1915" s="22" t="s">
        <v>261</v>
      </c>
      <c r="K1915" s="22" t="s">
        <v>262</v>
      </c>
      <c r="L1915" s="21"/>
      <c r="M1915" s="22" t="s">
        <v>2014</v>
      </c>
      <c r="N1915" s="28" t="s">
        <v>2015</v>
      </c>
      <c r="O1915" s="28" t="s">
        <v>2016</v>
      </c>
      <c r="P1915" s="29">
        <v>0</v>
      </c>
      <c r="Q1915" s="28" t="s">
        <v>2017</v>
      </c>
      <c r="R1915" s="21"/>
      <c r="S1915" s="21"/>
      <c r="T1915" s="21"/>
      <c r="U1915" s="21"/>
      <c r="V1915" s="21"/>
      <c r="W1915" s="21"/>
      <c r="X1915" s="21"/>
    </row>
    <row r="1916" spans="1:24" ht="15.75" thickBot="1" x14ac:dyDescent="0.3">
      <c r="A1916" t="str">
        <f t="shared" si="29"/>
        <v>N1WB E27407 RPW</v>
      </c>
      <c r="B1916" s="22" t="s">
        <v>7575</v>
      </c>
      <c r="C1916" s="22" t="s">
        <v>7576</v>
      </c>
      <c r="D1916" s="22" t="s">
        <v>176</v>
      </c>
      <c r="E1916" s="22" t="s">
        <v>2417</v>
      </c>
      <c r="F1916" s="22" t="s">
        <v>2443</v>
      </c>
      <c r="G1916" s="28" t="s">
        <v>2012</v>
      </c>
      <c r="H1916" s="22" t="s">
        <v>2055</v>
      </c>
      <c r="I1916" s="21"/>
      <c r="J1916" s="22" t="s">
        <v>261</v>
      </c>
      <c r="K1916" s="22" t="s">
        <v>262</v>
      </c>
      <c r="L1916" s="21"/>
      <c r="M1916" s="22" t="s">
        <v>2014</v>
      </c>
      <c r="N1916" s="28" t="s">
        <v>2015</v>
      </c>
      <c r="O1916" s="28" t="s">
        <v>2016</v>
      </c>
      <c r="P1916" s="29">
        <v>0</v>
      </c>
      <c r="Q1916" s="28" t="s">
        <v>2017</v>
      </c>
      <c r="R1916" s="21"/>
      <c r="S1916" s="21"/>
      <c r="T1916" s="21"/>
      <c r="U1916" s="21"/>
      <c r="V1916" s="21"/>
      <c r="W1916" s="21"/>
      <c r="X1916" s="21"/>
    </row>
    <row r="1917" spans="1:24" ht="15.75" thickBot="1" x14ac:dyDescent="0.3">
      <c r="A1917" t="str">
        <f t="shared" si="29"/>
        <v>N1WB E27407 SLW</v>
      </c>
      <c r="B1917" s="22" t="s">
        <v>7577</v>
      </c>
      <c r="C1917" s="22" t="s">
        <v>7578</v>
      </c>
      <c r="D1917" s="22" t="s">
        <v>176</v>
      </c>
      <c r="E1917" s="22" t="s">
        <v>2685</v>
      </c>
      <c r="F1917" s="22" t="s">
        <v>2443</v>
      </c>
      <c r="G1917" s="28" t="s">
        <v>2012</v>
      </c>
      <c r="H1917" s="22" t="s">
        <v>2055</v>
      </c>
      <c r="I1917" s="21"/>
      <c r="J1917" s="22" t="s">
        <v>261</v>
      </c>
      <c r="K1917" s="22" t="s">
        <v>262</v>
      </c>
      <c r="L1917" s="21"/>
      <c r="M1917" s="22" t="s">
        <v>2014</v>
      </c>
      <c r="N1917" s="28" t="s">
        <v>2015</v>
      </c>
      <c r="O1917" s="28" t="s">
        <v>2016</v>
      </c>
      <c r="P1917" s="29">
        <v>0</v>
      </c>
      <c r="Q1917" s="28" t="s">
        <v>2017</v>
      </c>
      <c r="R1917" s="21"/>
      <c r="S1917" s="21"/>
      <c r="T1917" s="21"/>
      <c r="U1917" s="21"/>
      <c r="V1917" s="21"/>
      <c r="W1917" s="21"/>
      <c r="X1917" s="21"/>
    </row>
    <row r="1918" spans="1:24" ht="15.75" thickBot="1" x14ac:dyDescent="0.3">
      <c r="A1918" t="str">
        <f t="shared" si="29"/>
        <v>N1WB E27407 ULW</v>
      </c>
      <c r="B1918" s="22" t="s">
        <v>7579</v>
      </c>
      <c r="C1918" s="22" t="s">
        <v>7580</v>
      </c>
      <c r="D1918" s="22" t="s">
        <v>176</v>
      </c>
      <c r="E1918" s="21"/>
      <c r="F1918" s="22" t="s">
        <v>2375</v>
      </c>
      <c r="G1918" s="28" t="s">
        <v>2012</v>
      </c>
      <c r="H1918" s="22" t="s">
        <v>2055</v>
      </c>
      <c r="I1918" s="21"/>
      <c r="J1918" s="22" t="s">
        <v>261</v>
      </c>
      <c r="K1918" s="22" t="s">
        <v>262</v>
      </c>
      <c r="L1918" s="21"/>
      <c r="M1918" s="22" t="s">
        <v>2014</v>
      </c>
      <c r="N1918" s="28" t="s">
        <v>2015</v>
      </c>
      <c r="O1918" s="28" t="s">
        <v>2016</v>
      </c>
      <c r="P1918" s="29">
        <v>0</v>
      </c>
      <c r="Q1918" s="28" t="s">
        <v>2017</v>
      </c>
      <c r="R1918" s="21"/>
      <c r="S1918" s="21"/>
      <c r="T1918" s="21"/>
      <c r="U1918" s="21"/>
      <c r="V1918" s="21"/>
      <c r="W1918" s="21"/>
      <c r="X1918" s="21"/>
    </row>
    <row r="1919" spans="1:24" ht="15.75" thickBot="1" x14ac:dyDescent="0.3">
      <c r="A1919" t="str">
        <f t="shared" si="29"/>
        <v>N1WB E280A55 BA</v>
      </c>
      <c r="B1919" s="22" t="s">
        <v>7581</v>
      </c>
      <c r="C1919" s="22" t="s">
        <v>7582</v>
      </c>
      <c r="D1919" s="22" t="s">
        <v>2469</v>
      </c>
      <c r="E1919" s="21"/>
      <c r="F1919" s="22" t="s">
        <v>2030</v>
      </c>
      <c r="G1919" s="28" t="s">
        <v>2012</v>
      </c>
      <c r="H1919" s="22" t="s">
        <v>2080</v>
      </c>
      <c r="I1919" s="21"/>
      <c r="J1919" s="22" t="s">
        <v>261</v>
      </c>
      <c r="K1919" s="22" t="s">
        <v>924</v>
      </c>
      <c r="L1919" s="21"/>
      <c r="M1919" s="22" t="s">
        <v>2014</v>
      </c>
      <c r="N1919" s="28" t="s">
        <v>2015</v>
      </c>
      <c r="O1919" s="28" t="s">
        <v>2016</v>
      </c>
      <c r="P1919" s="29">
        <v>0</v>
      </c>
      <c r="Q1919" s="28" t="s">
        <v>2017</v>
      </c>
      <c r="R1919" s="21"/>
      <c r="S1919" s="21"/>
      <c r="T1919" s="21"/>
      <c r="U1919" s="21"/>
      <c r="V1919" s="21"/>
      <c r="W1919" s="21"/>
      <c r="X1919" s="21"/>
    </row>
    <row r="1920" spans="1:24" ht="15.75" thickBot="1" x14ac:dyDescent="0.3">
      <c r="A1920" t="str">
        <f t="shared" si="29"/>
        <v>N1WB E291A35 MAE</v>
      </c>
      <c r="B1920" s="22" t="s">
        <v>331</v>
      </c>
      <c r="C1920" s="22" t="s">
        <v>7583</v>
      </c>
      <c r="D1920" s="22" t="s">
        <v>2506</v>
      </c>
      <c r="E1920" s="21"/>
      <c r="F1920" s="22" t="s">
        <v>5324</v>
      </c>
      <c r="G1920" s="28" t="s">
        <v>2012</v>
      </c>
      <c r="H1920" s="22" t="s">
        <v>2055</v>
      </c>
      <c r="I1920" s="21"/>
      <c r="J1920" s="22" t="s">
        <v>261</v>
      </c>
      <c r="K1920" s="22" t="s">
        <v>262</v>
      </c>
      <c r="L1920" s="21"/>
      <c r="M1920" s="22" t="s">
        <v>2014</v>
      </c>
      <c r="N1920" s="28" t="s">
        <v>2015</v>
      </c>
      <c r="O1920" s="28" t="s">
        <v>2016</v>
      </c>
      <c r="P1920" s="29">
        <v>0</v>
      </c>
      <c r="Q1920" s="28" t="s">
        <v>2017</v>
      </c>
      <c r="R1920" s="41">
        <v>0</v>
      </c>
      <c r="S1920" s="29">
        <v>249</v>
      </c>
      <c r="T1920" s="32">
        <v>3.873333333333</v>
      </c>
      <c r="U1920" s="32">
        <v>0</v>
      </c>
      <c r="V1920" s="41">
        <v>0</v>
      </c>
      <c r="W1920" s="21"/>
      <c r="X1920" s="21"/>
    </row>
    <row r="1921" spans="1:24" ht="15.75" thickBot="1" x14ac:dyDescent="0.3">
      <c r="A1921" t="str">
        <f t="shared" si="29"/>
        <v>N1WB E31006 EB3ZHE</v>
      </c>
      <c r="B1921" s="22" t="s">
        <v>329</v>
      </c>
      <c r="C1921" s="22" t="s">
        <v>7584</v>
      </c>
      <c r="D1921" s="22" t="s">
        <v>7585</v>
      </c>
      <c r="E1921" s="21"/>
      <c r="F1921" s="22" t="s">
        <v>2382</v>
      </c>
      <c r="G1921" s="28" t="s">
        <v>2012</v>
      </c>
      <c r="H1921" s="22" t="s">
        <v>2055</v>
      </c>
      <c r="I1921" s="21"/>
      <c r="J1921" s="22" t="s">
        <v>261</v>
      </c>
      <c r="K1921" s="22" t="s">
        <v>262</v>
      </c>
      <c r="L1921" s="21"/>
      <c r="M1921" s="22" t="s">
        <v>2014</v>
      </c>
      <c r="N1921" s="28" t="s">
        <v>2015</v>
      </c>
      <c r="O1921" s="28" t="s">
        <v>2016</v>
      </c>
      <c r="P1921" s="29">
        <v>224</v>
      </c>
      <c r="Q1921" s="28" t="s">
        <v>2017</v>
      </c>
      <c r="R1921" s="41">
        <v>0.82896781992900004</v>
      </c>
      <c r="S1921" s="29">
        <v>17371</v>
      </c>
      <c r="T1921" s="32">
        <v>270.21555555555602</v>
      </c>
      <c r="U1921" s="32">
        <v>0</v>
      </c>
      <c r="V1921" s="41">
        <v>0.82896781992900004</v>
      </c>
      <c r="W1921" s="21"/>
      <c r="X1921" s="21"/>
    </row>
    <row r="1922" spans="1:24" ht="15.75" thickBot="1" x14ac:dyDescent="0.3">
      <c r="A1922" t="str">
        <f t="shared" si="29"/>
        <v>N1WB E31006 EBW</v>
      </c>
      <c r="B1922" s="22" t="s">
        <v>7586</v>
      </c>
      <c r="C1922" s="22" t="s">
        <v>7584</v>
      </c>
      <c r="D1922" s="22" t="s">
        <v>7585</v>
      </c>
      <c r="E1922" s="21"/>
      <c r="F1922" s="22" t="s">
        <v>2382</v>
      </c>
      <c r="G1922" s="28" t="s">
        <v>2012</v>
      </c>
      <c r="H1922" s="22" t="s">
        <v>2055</v>
      </c>
      <c r="I1922" s="21"/>
      <c r="J1922" s="22" t="s">
        <v>261</v>
      </c>
      <c r="K1922" s="22" t="s">
        <v>262</v>
      </c>
      <c r="L1922" s="21"/>
      <c r="M1922" s="22" t="s">
        <v>2014</v>
      </c>
      <c r="N1922" s="28" t="s">
        <v>2015</v>
      </c>
      <c r="O1922" s="28" t="s">
        <v>2016</v>
      </c>
      <c r="P1922" s="29">
        <v>0</v>
      </c>
      <c r="Q1922" s="28" t="s">
        <v>2017</v>
      </c>
      <c r="R1922" s="21"/>
      <c r="S1922" s="21"/>
      <c r="T1922" s="21"/>
      <c r="U1922" s="21"/>
      <c r="V1922" s="21"/>
      <c r="W1922" s="21"/>
      <c r="X1922" s="21"/>
    </row>
    <row r="1923" spans="1:24" ht="15.75" thickBot="1" x14ac:dyDescent="0.3">
      <c r="A1923" t="str">
        <f t="shared" si="29"/>
        <v>N1WB E31007 EB3ZHE</v>
      </c>
      <c r="B1923" s="22" t="s">
        <v>281</v>
      </c>
      <c r="C1923" s="22" t="s">
        <v>7587</v>
      </c>
      <c r="D1923" s="22" t="s">
        <v>7585</v>
      </c>
      <c r="E1923" s="21"/>
      <c r="F1923" s="22" t="s">
        <v>7420</v>
      </c>
      <c r="G1923" s="28" t="s">
        <v>2012</v>
      </c>
      <c r="H1923" s="22" t="s">
        <v>2055</v>
      </c>
      <c r="I1923" s="21"/>
      <c r="J1923" s="22" t="s">
        <v>261</v>
      </c>
      <c r="K1923" s="22" t="s">
        <v>262</v>
      </c>
      <c r="L1923" s="21"/>
      <c r="M1923" s="22" t="s">
        <v>2014</v>
      </c>
      <c r="N1923" s="28" t="s">
        <v>2015</v>
      </c>
      <c r="O1923" s="28" t="s">
        <v>2016</v>
      </c>
      <c r="P1923" s="29">
        <v>105</v>
      </c>
      <c r="Q1923" s="28" t="s">
        <v>2017</v>
      </c>
      <c r="R1923" s="41">
        <v>0.39248749854600001</v>
      </c>
      <c r="S1923" s="29">
        <v>17198</v>
      </c>
      <c r="T1923" s="32">
        <v>267.52444444444399</v>
      </c>
      <c r="U1923" s="32">
        <v>0</v>
      </c>
      <c r="V1923" s="41">
        <v>0.39248749854600001</v>
      </c>
      <c r="W1923" s="21"/>
      <c r="X1923" s="21"/>
    </row>
    <row r="1924" spans="1:24" ht="15.75" thickBot="1" x14ac:dyDescent="0.3">
      <c r="A1924" t="str">
        <f t="shared" si="29"/>
        <v>N1WB E31007 EBW</v>
      </c>
      <c r="B1924" s="22" t="s">
        <v>7588</v>
      </c>
      <c r="C1924" s="22" t="s">
        <v>7587</v>
      </c>
      <c r="D1924" s="22" t="s">
        <v>7585</v>
      </c>
      <c r="E1924" s="21"/>
      <c r="F1924" s="22" t="s">
        <v>7420</v>
      </c>
      <c r="G1924" s="28" t="s">
        <v>2012</v>
      </c>
      <c r="H1924" s="22" t="s">
        <v>2055</v>
      </c>
      <c r="I1924" s="21"/>
      <c r="J1924" s="22" t="s">
        <v>261</v>
      </c>
      <c r="K1924" s="22" t="s">
        <v>262</v>
      </c>
      <c r="L1924" s="21"/>
      <c r="M1924" s="22" t="s">
        <v>2014</v>
      </c>
      <c r="N1924" s="28" t="s">
        <v>2015</v>
      </c>
      <c r="O1924" s="28" t="s">
        <v>2016</v>
      </c>
      <c r="P1924" s="29">
        <v>0</v>
      </c>
      <c r="Q1924" s="28" t="s">
        <v>2017</v>
      </c>
      <c r="R1924" s="21"/>
      <c r="S1924" s="21"/>
      <c r="T1924" s="21"/>
      <c r="U1924" s="21"/>
      <c r="V1924" s="21"/>
      <c r="W1924" s="21"/>
      <c r="X1924" s="21"/>
    </row>
    <row r="1925" spans="1:24" ht="15.75" thickBot="1" x14ac:dyDescent="0.3">
      <c r="A1925" t="str">
        <f t="shared" ref="A1925:A1988" si="30">TRIM(B1925)</f>
        <v>N1WB E312A48 BB-0</v>
      </c>
      <c r="B1925" s="22" t="s">
        <v>1841</v>
      </c>
      <c r="C1925" s="22" t="s">
        <v>2817</v>
      </c>
      <c r="D1925" s="22" t="s">
        <v>2693</v>
      </c>
      <c r="E1925" s="21"/>
      <c r="F1925" s="22" t="s">
        <v>2030</v>
      </c>
      <c r="G1925" s="28" t="s">
        <v>2012</v>
      </c>
      <c r="H1925" s="22" t="s">
        <v>2080</v>
      </c>
      <c r="I1925" s="21"/>
      <c r="J1925" s="22" t="s">
        <v>261</v>
      </c>
      <c r="K1925" s="22" t="s">
        <v>924</v>
      </c>
      <c r="L1925" s="21"/>
      <c r="M1925" s="22" t="s">
        <v>2014</v>
      </c>
      <c r="N1925" s="28" t="s">
        <v>2015</v>
      </c>
      <c r="O1925" s="28" t="s">
        <v>2016</v>
      </c>
      <c r="P1925" s="29">
        <v>0</v>
      </c>
      <c r="Q1925" s="28" t="s">
        <v>2017</v>
      </c>
      <c r="R1925" s="21"/>
      <c r="S1925" s="21"/>
      <c r="T1925" s="21"/>
      <c r="U1925" s="21"/>
      <c r="V1925" s="21"/>
      <c r="W1925" s="21"/>
      <c r="X1925" s="21"/>
    </row>
    <row r="1926" spans="1:24" ht="15.75" thickBot="1" x14ac:dyDescent="0.3">
      <c r="A1926" t="str">
        <f t="shared" si="30"/>
        <v>N1WB E312A48 BB01</v>
      </c>
      <c r="B1926" s="22" t="s">
        <v>7589</v>
      </c>
      <c r="C1926" s="22" t="s">
        <v>2817</v>
      </c>
      <c r="D1926" s="22" t="s">
        <v>2693</v>
      </c>
      <c r="E1926" s="21"/>
      <c r="F1926" s="22" t="s">
        <v>2030</v>
      </c>
      <c r="G1926" s="28" t="s">
        <v>2012</v>
      </c>
      <c r="H1926" s="22" t="s">
        <v>2080</v>
      </c>
      <c r="I1926" s="21"/>
      <c r="J1926" s="22" t="s">
        <v>261</v>
      </c>
      <c r="K1926" s="22" t="s">
        <v>924</v>
      </c>
      <c r="L1926" s="21"/>
      <c r="M1926" s="22" t="s">
        <v>2014</v>
      </c>
      <c r="N1926" s="28" t="s">
        <v>2015</v>
      </c>
      <c r="O1926" s="28" t="s">
        <v>2016</v>
      </c>
      <c r="P1926" s="29">
        <v>560</v>
      </c>
      <c r="Q1926" s="28" t="s">
        <v>2017</v>
      </c>
      <c r="R1926" s="21"/>
      <c r="S1926" s="21"/>
      <c r="T1926" s="21"/>
      <c r="U1926" s="21"/>
      <c r="V1926" s="21"/>
      <c r="W1926" s="21"/>
      <c r="X1926" s="21"/>
    </row>
    <row r="1927" spans="1:24" ht="15.75" thickBot="1" x14ac:dyDescent="0.3">
      <c r="A1927" t="str">
        <f t="shared" si="30"/>
        <v>N1WB E312A49 BC-01</v>
      </c>
      <c r="B1927" s="22" t="s">
        <v>960</v>
      </c>
      <c r="C1927" s="22" t="s">
        <v>2692</v>
      </c>
      <c r="D1927" s="22" t="s">
        <v>2693</v>
      </c>
      <c r="E1927" s="21"/>
      <c r="F1927" s="22" t="s">
        <v>2030</v>
      </c>
      <c r="G1927" s="28" t="s">
        <v>2012</v>
      </c>
      <c r="H1927" s="22" t="s">
        <v>2080</v>
      </c>
      <c r="I1927" s="21"/>
      <c r="J1927" s="22" t="s">
        <v>261</v>
      </c>
      <c r="K1927" s="22" t="s">
        <v>924</v>
      </c>
      <c r="L1927" s="21"/>
      <c r="M1927" s="22" t="s">
        <v>2014</v>
      </c>
      <c r="N1927" s="28" t="s">
        <v>2015</v>
      </c>
      <c r="O1927" s="28" t="s">
        <v>2016</v>
      </c>
      <c r="P1927" s="29">
        <v>0</v>
      </c>
      <c r="Q1927" s="28" t="s">
        <v>2017</v>
      </c>
      <c r="R1927" s="21"/>
      <c r="S1927" s="21"/>
      <c r="T1927" s="21"/>
      <c r="U1927" s="21"/>
      <c r="V1927" s="21"/>
      <c r="W1927" s="21"/>
      <c r="X1927" s="21"/>
    </row>
    <row r="1928" spans="1:24" ht="15.75" thickBot="1" x14ac:dyDescent="0.3">
      <c r="A1928" t="str">
        <f t="shared" si="30"/>
        <v>N1WB E403A86 AG3ZHE</v>
      </c>
      <c r="B1928" s="22" t="s">
        <v>7590</v>
      </c>
      <c r="C1928" s="22" t="s">
        <v>7591</v>
      </c>
      <c r="D1928" s="22" t="s">
        <v>2450</v>
      </c>
      <c r="E1928" s="22" t="s">
        <v>7592</v>
      </c>
      <c r="F1928" s="22" t="s">
        <v>2385</v>
      </c>
      <c r="G1928" s="28" t="s">
        <v>5499</v>
      </c>
      <c r="H1928" s="22" t="s">
        <v>2055</v>
      </c>
      <c r="I1928" s="21"/>
      <c r="J1928" s="22" t="s">
        <v>261</v>
      </c>
      <c r="K1928" s="22" t="s">
        <v>262</v>
      </c>
      <c r="L1928" s="21"/>
      <c r="M1928" s="22" t="s">
        <v>2014</v>
      </c>
      <c r="N1928" s="28" t="s">
        <v>2015</v>
      </c>
      <c r="O1928" s="28" t="s">
        <v>2016</v>
      </c>
      <c r="P1928" s="29">
        <v>0</v>
      </c>
      <c r="Q1928" s="28" t="s">
        <v>2017</v>
      </c>
      <c r="R1928" s="21"/>
      <c r="S1928" s="21"/>
      <c r="T1928" s="21"/>
      <c r="U1928" s="21"/>
      <c r="V1928" s="21"/>
      <c r="W1928" s="21"/>
      <c r="X1928" s="21"/>
    </row>
    <row r="1929" spans="1:24" ht="15.75" thickBot="1" x14ac:dyDescent="0.3">
      <c r="A1929" t="str">
        <f t="shared" si="30"/>
        <v>N1WB E403A86 AHW</v>
      </c>
      <c r="B1929" s="22" t="s">
        <v>7593</v>
      </c>
      <c r="C1929" s="22" t="s">
        <v>7594</v>
      </c>
      <c r="D1929" s="22" t="s">
        <v>2450</v>
      </c>
      <c r="E1929" s="21"/>
      <c r="F1929" s="22" t="s">
        <v>2385</v>
      </c>
      <c r="G1929" s="28" t="s">
        <v>5499</v>
      </c>
      <c r="H1929" s="22" t="s">
        <v>2055</v>
      </c>
      <c r="I1929" s="21"/>
      <c r="J1929" s="22" t="s">
        <v>261</v>
      </c>
      <c r="K1929" s="22" t="s">
        <v>262</v>
      </c>
      <c r="L1929" s="21"/>
      <c r="M1929" s="22" t="s">
        <v>2014</v>
      </c>
      <c r="N1929" s="28" t="s">
        <v>2015</v>
      </c>
      <c r="O1929" s="28" t="s">
        <v>2016</v>
      </c>
      <c r="P1929" s="29">
        <v>0</v>
      </c>
      <c r="Q1929" s="28" t="s">
        <v>2017</v>
      </c>
      <c r="R1929" s="21"/>
      <c r="S1929" s="21"/>
      <c r="T1929" s="21"/>
      <c r="U1929" s="21"/>
      <c r="V1929" s="21"/>
      <c r="W1929" s="21"/>
      <c r="X1929" s="21"/>
    </row>
    <row r="1930" spans="1:24" ht="15.75" thickBot="1" x14ac:dyDescent="0.3">
      <c r="A1930" t="str">
        <f t="shared" si="30"/>
        <v>N1WB E403A86 HA3</v>
      </c>
      <c r="B1930" s="22" t="s">
        <v>7595</v>
      </c>
      <c r="C1930" s="22" t="s">
        <v>7596</v>
      </c>
      <c r="D1930" s="22" t="s">
        <v>2450</v>
      </c>
      <c r="E1930" s="21"/>
      <c r="F1930" s="22" t="s">
        <v>2385</v>
      </c>
      <c r="G1930" s="28" t="s">
        <v>5499</v>
      </c>
      <c r="H1930" s="22" t="s">
        <v>2055</v>
      </c>
      <c r="I1930" s="21"/>
      <c r="J1930" s="22" t="s">
        <v>261</v>
      </c>
      <c r="K1930" s="22" t="s">
        <v>262</v>
      </c>
      <c r="L1930" s="21"/>
      <c r="M1930" s="22" t="s">
        <v>2014</v>
      </c>
      <c r="N1930" s="28" t="s">
        <v>2015</v>
      </c>
      <c r="O1930" s="28" t="s">
        <v>2016</v>
      </c>
      <c r="P1930" s="29">
        <v>16</v>
      </c>
      <c r="Q1930" s="28" t="s">
        <v>2017</v>
      </c>
      <c r="R1930" s="21"/>
      <c r="S1930" s="21"/>
      <c r="T1930" s="21"/>
      <c r="U1930" s="21"/>
      <c r="V1930" s="21"/>
      <c r="W1930" s="21"/>
      <c r="X1930" s="21"/>
    </row>
    <row r="1931" spans="1:24" ht="15.75" thickBot="1" x14ac:dyDescent="0.3">
      <c r="A1931" t="str">
        <f t="shared" si="30"/>
        <v>N1WB E403A86 HB3ZHE</v>
      </c>
      <c r="B1931" s="22" t="s">
        <v>526</v>
      </c>
      <c r="C1931" s="22" t="s">
        <v>7597</v>
      </c>
      <c r="D1931" s="22" t="s">
        <v>2450</v>
      </c>
      <c r="E1931" s="21"/>
      <c r="F1931" s="22" t="s">
        <v>2385</v>
      </c>
      <c r="G1931" s="28" t="s">
        <v>2012</v>
      </c>
      <c r="H1931" s="22" t="s">
        <v>2055</v>
      </c>
      <c r="I1931" s="21"/>
      <c r="J1931" s="22" t="s">
        <v>261</v>
      </c>
      <c r="K1931" s="22" t="s">
        <v>262</v>
      </c>
      <c r="L1931" s="21"/>
      <c r="M1931" s="22" t="s">
        <v>2014</v>
      </c>
      <c r="N1931" s="28" t="s">
        <v>2015</v>
      </c>
      <c r="O1931" s="28" t="s">
        <v>2016</v>
      </c>
      <c r="P1931" s="29">
        <v>0</v>
      </c>
      <c r="Q1931" s="28" t="s">
        <v>2017</v>
      </c>
      <c r="R1931" s="41">
        <v>0</v>
      </c>
      <c r="S1931" s="29">
        <v>41</v>
      </c>
      <c r="T1931" s="32">
        <v>0.63777777777699995</v>
      </c>
      <c r="U1931" s="32">
        <v>0</v>
      </c>
      <c r="V1931" s="41">
        <v>0</v>
      </c>
      <c r="W1931" s="21"/>
      <c r="X1931" s="21"/>
    </row>
    <row r="1932" spans="1:24" ht="15.75" thickBot="1" x14ac:dyDescent="0.3">
      <c r="A1932" t="str">
        <f t="shared" si="30"/>
        <v>N1WB E40630 AE</v>
      </c>
      <c r="B1932" s="22" t="s">
        <v>1794</v>
      </c>
      <c r="C1932" s="22" t="s">
        <v>7598</v>
      </c>
      <c r="D1932" s="22" t="s">
        <v>3597</v>
      </c>
      <c r="E1932" s="22" t="s">
        <v>3598</v>
      </c>
      <c r="F1932" s="22" t="s">
        <v>2255</v>
      </c>
      <c r="G1932" s="28" t="s">
        <v>2012</v>
      </c>
      <c r="H1932" s="22" t="s">
        <v>2013</v>
      </c>
      <c r="I1932" s="21"/>
      <c r="J1932" s="22" t="s">
        <v>261</v>
      </c>
      <c r="K1932" s="22" t="s">
        <v>924</v>
      </c>
      <c r="L1932" s="21"/>
      <c r="M1932" s="22" t="s">
        <v>2014</v>
      </c>
      <c r="N1932" s="28" t="s">
        <v>2015</v>
      </c>
      <c r="O1932" s="28" t="s">
        <v>2016</v>
      </c>
      <c r="P1932" s="29">
        <v>40</v>
      </c>
      <c r="Q1932" s="28" t="s">
        <v>2017</v>
      </c>
      <c r="R1932" s="41">
        <v>0.148809523809</v>
      </c>
      <c r="S1932" s="29">
        <v>17280</v>
      </c>
      <c r="T1932" s="32">
        <v>268.8</v>
      </c>
      <c r="U1932" s="32">
        <v>0</v>
      </c>
      <c r="V1932" s="41">
        <v>0.148809523809</v>
      </c>
      <c r="W1932" s="21"/>
      <c r="X1932" s="21"/>
    </row>
    <row r="1933" spans="1:24" ht="15.75" thickBot="1" x14ac:dyDescent="0.3">
      <c r="A1933" t="str">
        <f t="shared" si="30"/>
        <v>N1WB E410A43 AA</v>
      </c>
      <c r="B1933" s="22" t="s">
        <v>965</v>
      </c>
      <c r="C1933" s="22" t="s">
        <v>4466</v>
      </c>
      <c r="D1933" s="22" t="s">
        <v>3061</v>
      </c>
      <c r="E1933" s="22" t="s">
        <v>3062</v>
      </c>
      <c r="F1933" s="22" t="s">
        <v>2030</v>
      </c>
      <c r="G1933" s="28" t="s">
        <v>2012</v>
      </c>
      <c r="H1933" s="22" t="s">
        <v>2080</v>
      </c>
      <c r="I1933" s="21"/>
      <c r="J1933" s="22" t="s">
        <v>261</v>
      </c>
      <c r="K1933" s="22" t="s">
        <v>924</v>
      </c>
      <c r="L1933" s="21"/>
      <c r="M1933" s="22" t="s">
        <v>2014</v>
      </c>
      <c r="N1933" s="28" t="s">
        <v>2015</v>
      </c>
      <c r="O1933" s="28" t="s">
        <v>2016</v>
      </c>
      <c r="P1933" s="29">
        <v>0</v>
      </c>
      <c r="Q1933" s="28" t="s">
        <v>2017</v>
      </c>
      <c r="R1933" s="41">
        <v>0</v>
      </c>
      <c r="S1933" s="29">
        <v>13440</v>
      </c>
      <c r="T1933" s="32">
        <v>209.066666666667</v>
      </c>
      <c r="U1933" s="32">
        <v>0</v>
      </c>
      <c r="V1933" s="41">
        <v>0</v>
      </c>
      <c r="W1933" s="21"/>
      <c r="X1933" s="21"/>
    </row>
    <row r="1934" spans="1:24" ht="15.75" thickBot="1" x14ac:dyDescent="0.3">
      <c r="A1934" t="str">
        <f t="shared" si="30"/>
        <v>N1WB E41623 AB</v>
      </c>
      <c r="B1934" s="22" t="s">
        <v>1842</v>
      </c>
      <c r="C1934" s="22" t="s">
        <v>7599</v>
      </c>
      <c r="D1934" s="22" t="s">
        <v>7600</v>
      </c>
      <c r="E1934" s="21"/>
      <c r="F1934" s="22" t="s">
        <v>2030</v>
      </c>
      <c r="G1934" s="28" t="s">
        <v>2012</v>
      </c>
      <c r="H1934" s="22" t="s">
        <v>2080</v>
      </c>
      <c r="I1934" s="21"/>
      <c r="J1934" s="22" t="s">
        <v>261</v>
      </c>
      <c r="K1934" s="22" t="s">
        <v>924</v>
      </c>
      <c r="L1934" s="21"/>
      <c r="M1934" s="22" t="s">
        <v>2014</v>
      </c>
      <c r="N1934" s="28" t="s">
        <v>2015</v>
      </c>
      <c r="O1934" s="28" t="s">
        <v>2016</v>
      </c>
      <c r="P1934" s="29">
        <v>87</v>
      </c>
      <c r="Q1934" s="28" t="s">
        <v>2017</v>
      </c>
      <c r="R1934" s="41">
        <v>0.43154761904700001</v>
      </c>
      <c r="S1934" s="29">
        <v>12960</v>
      </c>
      <c r="T1934" s="32">
        <v>201.6</v>
      </c>
      <c r="U1934" s="32">
        <v>0</v>
      </c>
      <c r="V1934" s="41">
        <v>0.43154761904700001</v>
      </c>
      <c r="W1934" s="21"/>
      <c r="X1934" s="21"/>
    </row>
    <row r="1935" spans="1:24" ht="15.75" thickBot="1" x14ac:dyDescent="0.3">
      <c r="A1935" t="str">
        <f t="shared" si="30"/>
        <v>N1WB E43858 AB</v>
      </c>
      <c r="B1935" s="22" t="s">
        <v>1851</v>
      </c>
      <c r="C1935" s="22" t="s">
        <v>7601</v>
      </c>
      <c r="D1935" s="22" t="s">
        <v>7602</v>
      </c>
      <c r="E1935" s="21"/>
      <c r="F1935" s="22" t="s">
        <v>7603</v>
      </c>
      <c r="G1935" s="28" t="s">
        <v>2012</v>
      </c>
      <c r="H1935" s="22" t="s">
        <v>2080</v>
      </c>
      <c r="I1935" s="21"/>
      <c r="J1935" s="22" t="s">
        <v>261</v>
      </c>
      <c r="K1935" s="22" t="s">
        <v>924</v>
      </c>
      <c r="L1935" s="21"/>
      <c r="M1935" s="22" t="s">
        <v>2014</v>
      </c>
      <c r="N1935" s="28" t="s">
        <v>2015</v>
      </c>
      <c r="O1935" s="28" t="s">
        <v>2016</v>
      </c>
      <c r="P1935" s="29">
        <v>244</v>
      </c>
      <c r="Q1935" s="28" t="s">
        <v>2017</v>
      </c>
      <c r="R1935" s="41">
        <v>0.92052313883199999</v>
      </c>
      <c r="S1935" s="29">
        <v>17040</v>
      </c>
      <c r="T1935" s="32">
        <v>265.066666666667</v>
      </c>
      <c r="U1935" s="32">
        <v>0</v>
      </c>
      <c r="V1935" s="41">
        <v>0.92052313883199999</v>
      </c>
      <c r="W1935" s="21"/>
      <c r="X1935" s="21"/>
    </row>
    <row r="1936" spans="1:24" ht="15.75" thickBot="1" x14ac:dyDescent="0.3">
      <c r="A1936" t="str">
        <f t="shared" si="30"/>
        <v>N1WB E513D20 AA</v>
      </c>
      <c r="B1936" s="22" t="s">
        <v>7604</v>
      </c>
      <c r="C1936" s="22" t="s">
        <v>7605</v>
      </c>
      <c r="D1936" s="22" t="s">
        <v>7606</v>
      </c>
      <c r="E1936" s="21"/>
      <c r="F1936" s="22" t="s">
        <v>2030</v>
      </c>
      <c r="G1936" s="28" t="s">
        <v>2012</v>
      </c>
      <c r="H1936" s="22" t="s">
        <v>2080</v>
      </c>
      <c r="I1936" s="21"/>
      <c r="J1936" s="22" t="s">
        <v>261</v>
      </c>
      <c r="K1936" s="22" t="s">
        <v>924</v>
      </c>
      <c r="L1936" s="21"/>
      <c r="M1936" s="22" t="s">
        <v>2014</v>
      </c>
      <c r="N1936" s="28" t="s">
        <v>2015</v>
      </c>
      <c r="O1936" s="28" t="s">
        <v>2016</v>
      </c>
      <c r="P1936" s="29">
        <v>300</v>
      </c>
      <c r="Q1936" s="28" t="s">
        <v>2017</v>
      </c>
      <c r="R1936" s="21"/>
      <c r="S1936" s="21"/>
      <c r="T1936" s="21"/>
      <c r="U1936" s="21"/>
      <c r="V1936" s="21"/>
      <c r="W1936" s="21"/>
      <c r="X1936" s="21"/>
    </row>
    <row r="1937" spans="1:24" ht="15.75" thickBot="1" x14ac:dyDescent="0.3">
      <c r="A1937" t="str">
        <f t="shared" si="30"/>
        <v>N1WB J422B64 AA</v>
      </c>
      <c r="B1937" s="22" t="s">
        <v>7607</v>
      </c>
      <c r="C1937" s="22" t="s">
        <v>6526</v>
      </c>
      <c r="D1937" s="22" t="s">
        <v>6527</v>
      </c>
      <c r="E1937" s="21"/>
      <c r="F1937" s="22" t="s">
        <v>2030</v>
      </c>
      <c r="G1937" s="28" t="s">
        <v>2012</v>
      </c>
      <c r="H1937" s="22" t="s">
        <v>2080</v>
      </c>
      <c r="I1937" s="21"/>
      <c r="J1937" s="22" t="s">
        <v>261</v>
      </c>
      <c r="K1937" s="22" t="s">
        <v>924</v>
      </c>
      <c r="L1937" s="21"/>
      <c r="M1937" s="22" t="s">
        <v>2014</v>
      </c>
      <c r="N1937" s="28" t="s">
        <v>2015</v>
      </c>
      <c r="O1937" s="28" t="s">
        <v>2016</v>
      </c>
      <c r="P1937" s="29">
        <v>118</v>
      </c>
      <c r="Q1937" s="28" t="s">
        <v>2017</v>
      </c>
      <c r="R1937" s="21"/>
      <c r="S1937" s="21"/>
      <c r="T1937" s="21"/>
      <c r="U1937" s="21"/>
      <c r="V1937" s="21"/>
      <c r="W1937" s="21"/>
      <c r="X1937" s="21"/>
    </row>
    <row r="1938" spans="1:24" ht="15.75" thickBot="1" x14ac:dyDescent="0.3">
      <c r="A1938" t="str">
        <f t="shared" si="30"/>
        <v>NB3V 16E166 ZA</v>
      </c>
      <c r="B1938" s="22" t="s">
        <v>7608</v>
      </c>
      <c r="C1938" s="22" t="s">
        <v>7173</v>
      </c>
      <c r="D1938" s="22" t="s">
        <v>2573</v>
      </c>
      <c r="E1938" s="21"/>
      <c r="F1938" s="22" t="s">
        <v>2574</v>
      </c>
      <c r="G1938" s="28" t="s">
        <v>2012</v>
      </c>
      <c r="H1938" s="22" t="s">
        <v>2080</v>
      </c>
      <c r="I1938" s="21"/>
      <c r="J1938" s="22" t="s">
        <v>364</v>
      </c>
      <c r="K1938" s="22" t="s">
        <v>262</v>
      </c>
      <c r="L1938" s="21"/>
      <c r="M1938" s="22" t="s">
        <v>2014</v>
      </c>
      <c r="N1938" s="28" t="s">
        <v>2015</v>
      </c>
      <c r="O1938" s="28" t="s">
        <v>2016</v>
      </c>
      <c r="P1938" s="29">
        <v>17</v>
      </c>
      <c r="Q1938" s="28" t="s">
        <v>2017</v>
      </c>
      <c r="R1938" s="21"/>
      <c r="S1938" s="21"/>
      <c r="T1938" s="21"/>
      <c r="U1938" s="21"/>
      <c r="V1938" s="21"/>
      <c r="W1938" s="21"/>
      <c r="X1938" s="21"/>
    </row>
    <row r="1939" spans="1:24" ht="15.75" thickBot="1" x14ac:dyDescent="0.3">
      <c r="A1939" t="str">
        <f t="shared" si="30"/>
        <v>P0630800</v>
      </c>
      <c r="B1939" s="22" t="s">
        <v>1153</v>
      </c>
      <c r="C1939" s="22" t="s">
        <v>7609</v>
      </c>
      <c r="D1939" s="22" t="s">
        <v>7610</v>
      </c>
      <c r="E1939" s="22" t="s">
        <v>7611</v>
      </c>
      <c r="F1939" s="22" t="s">
        <v>2463</v>
      </c>
      <c r="G1939" s="28" t="s">
        <v>2012</v>
      </c>
      <c r="H1939" s="22" t="s">
        <v>2464</v>
      </c>
      <c r="I1939" s="21"/>
      <c r="J1939" s="22" t="s">
        <v>394</v>
      </c>
      <c r="K1939" s="22" t="s">
        <v>924</v>
      </c>
      <c r="L1939" s="21"/>
      <c r="M1939" s="22" t="s">
        <v>2014</v>
      </c>
      <c r="N1939" s="28" t="s">
        <v>2015</v>
      </c>
      <c r="O1939" s="28" t="s">
        <v>2016</v>
      </c>
      <c r="P1939" s="29">
        <v>0</v>
      </c>
      <c r="Q1939" s="28" t="s">
        <v>2017</v>
      </c>
      <c r="R1939" s="41">
        <v>0</v>
      </c>
      <c r="S1939" s="29">
        <v>80000</v>
      </c>
      <c r="T1939" s="32">
        <v>1244.44444444444</v>
      </c>
      <c r="U1939" s="32">
        <v>0</v>
      </c>
      <c r="V1939" s="41">
        <v>0</v>
      </c>
      <c r="W1939" s="21"/>
      <c r="X1939" s="21"/>
    </row>
    <row r="1940" spans="1:24" ht="15.75" thickBot="1" x14ac:dyDescent="0.3">
      <c r="A1940" t="str">
        <f t="shared" si="30"/>
        <v>P2DB 16E166 AA</v>
      </c>
      <c r="B1940" s="22" t="s">
        <v>7612</v>
      </c>
      <c r="C1940" s="22" t="s">
        <v>7613</v>
      </c>
      <c r="D1940" s="22" t="s">
        <v>7119</v>
      </c>
      <c r="E1940" s="21"/>
      <c r="F1940" s="22" t="s">
        <v>2472</v>
      </c>
      <c r="G1940" s="28" t="s">
        <v>5499</v>
      </c>
      <c r="H1940" s="22" t="s">
        <v>2080</v>
      </c>
      <c r="I1940" s="21"/>
      <c r="J1940" s="22" t="s">
        <v>364</v>
      </c>
      <c r="K1940" s="22" t="s">
        <v>262</v>
      </c>
      <c r="L1940" s="21"/>
      <c r="M1940" s="22" t="s">
        <v>2014</v>
      </c>
      <c r="N1940" s="28" t="s">
        <v>2015</v>
      </c>
      <c r="O1940" s="28" t="s">
        <v>2016</v>
      </c>
      <c r="P1940" s="29">
        <v>0</v>
      </c>
      <c r="Q1940" s="28" t="s">
        <v>2017</v>
      </c>
      <c r="R1940" s="21"/>
      <c r="S1940" s="21"/>
      <c r="T1940" s="21"/>
      <c r="U1940" s="21"/>
      <c r="V1940" s="21"/>
      <c r="W1940" s="21"/>
      <c r="X1940" s="21"/>
    </row>
    <row r="1941" spans="1:24" ht="15.75" thickBot="1" x14ac:dyDescent="0.3">
      <c r="A1941" t="str">
        <f t="shared" si="30"/>
        <v>P2DB 16E166 SB</v>
      </c>
      <c r="B1941" s="22" t="s">
        <v>7614</v>
      </c>
      <c r="C1941" s="22" t="s">
        <v>7615</v>
      </c>
      <c r="D1941" s="22" t="s">
        <v>7616</v>
      </c>
      <c r="E1941" s="22" t="s">
        <v>7617</v>
      </c>
      <c r="F1941" s="22" t="s">
        <v>2574</v>
      </c>
      <c r="G1941" s="28" t="s">
        <v>2012</v>
      </c>
      <c r="H1941" s="22" t="s">
        <v>2080</v>
      </c>
      <c r="I1941" s="21"/>
      <c r="J1941" s="22" t="s">
        <v>364</v>
      </c>
      <c r="K1941" s="22" t="s">
        <v>262</v>
      </c>
      <c r="L1941" s="21"/>
      <c r="M1941" s="22" t="s">
        <v>2014</v>
      </c>
      <c r="N1941" s="28" t="s">
        <v>2015</v>
      </c>
      <c r="O1941" s="28" t="s">
        <v>2016</v>
      </c>
      <c r="P1941" s="29">
        <v>1</v>
      </c>
      <c r="Q1941" s="28" t="s">
        <v>2017</v>
      </c>
      <c r="R1941" s="41">
        <v>4.8923679060000003E-2</v>
      </c>
      <c r="S1941" s="29">
        <v>1314</v>
      </c>
      <c r="T1941" s="32">
        <v>20.440000000000001</v>
      </c>
      <c r="U1941" s="32">
        <v>0</v>
      </c>
      <c r="V1941" s="41">
        <v>4.8923679060000003E-2</v>
      </c>
      <c r="W1941" s="21"/>
      <c r="X1941" s="21"/>
    </row>
    <row r="1942" spans="1:24" ht="15.75" thickBot="1" x14ac:dyDescent="0.3">
      <c r="A1942" t="str">
        <f t="shared" si="30"/>
        <v>PB3V 16E166 ZB</v>
      </c>
      <c r="B1942" s="22" t="s">
        <v>7618</v>
      </c>
      <c r="C1942" s="22" t="s">
        <v>7619</v>
      </c>
      <c r="D1942" s="22" t="s">
        <v>2573</v>
      </c>
      <c r="E1942" s="21"/>
      <c r="F1942" s="22" t="s">
        <v>2574</v>
      </c>
      <c r="G1942" s="28" t="s">
        <v>2012</v>
      </c>
      <c r="H1942" s="22" t="s">
        <v>2080</v>
      </c>
      <c r="I1942" s="21"/>
      <c r="J1942" s="22" t="s">
        <v>364</v>
      </c>
      <c r="K1942" s="22" t="s">
        <v>262</v>
      </c>
      <c r="L1942" s="21"/>
      <c r="M1942" s="22" t="s">
        <v>2014</v>
      </c>
      <c r="N1942" s="28" t="s">
        <v>2015</v>
      </c>
      <c r="O1942" s="28" t="s">
        <v>2016</v>
      </c>
      <c r="P1942" s="29">
        <v>0</v>
      </c>
      <c r="Q1942" s="28" t="s">
        <v>2017</v>
      </c>
      <c r="R1942" s="41">
        <v>0</v>
      </c>
      <c r="S1942" s="29">
        <v>68</v>
      </c>
      <c r="T1942" s="32">
        <v>1.0577777777770001</v>
      </c>
      <c r="U1942" s="32">
        <v>0</v>
      </c>
      <c r="V1942" s="41">
        <v>0</v>
      </c>
      <c r="W1942" s="21"/>
      <c r="X1942" s="21"/>
    </row>
    <row r="1943" spans="1:24" ht="15.75" thickBot="1" x14ac:dyDescent="0.3">
      <c r="A1943" t="str">
        <f t="shared" si="30"/>
        <v>PC PP800 AA</v>
      </c>
      <c r="B1943" s="22" t="s">
        <v>7620</v>
      </c>
      <c r="C1943" s="22" t="s">
        <v>7621</v>
      </c>
      <c r="D1943" s="22" t="s">
        <v>7622</v>
      </c>
      <c r="E1943" s="21"/>
      <c r="F1943" s="22" t="s">
        <v>2476</v>
      </c>
      <c r="G1943" s="28" t="s">
        <v>5499</v>
      </c>
      <c r="H1943" s="22" t="s">
        <v>2477</v>
      </c>
      <c r="I1943" s="21"/>
      <c r="J1943" s="22" t="s">
        <v>1164</v>
      </c>
      <c r="K1943" s="22" t="s">
        <v>924</v>
      </c>
      <c r="L1943" s="21"/>
      <c r="M1943" s="22" t="s">
        <v>2014</v>
      </c>
      <c r="N1943" s="28" t="s">
        <v>2015</v>
      </c>
      <c r="O1943" s="28" t="s">
        <v>2016</v>
      </c>
      <c r="P1943" s="29">
        <v>0</v>
      </c>
      <c r="Q1943" s="28" t="s">
        <v>2017</v>
      </c>
      <c r="R1943" s="21"/>
      <c r="S1943" s="21"/>
      <c r="T1943" s="21"/>
      <c r="U1943" s="21"/>
      <c r="V1943" s="21"/>
      <c r="W1943" s="21"/>
      <c r="X1943" s="21"/>
    </row>
    <row r="1944" spans="1:24" ht="15.75" thickBot="1" x14ac:dyDescent="0.3">
      <c r="A1944" t="str">
        <f t="shared" si="30"/>
        <v>PC PP800 AB</v>
      </c>
      <c r="B1944" s="22" t="s">
        <v>7623</v>
      </c>
      <c r="C1944" s="22" t="s">
        <v>7624</v>
      </c>
      <c r="D1944" s="22" t="s">
        <v>7625</v>
      </c>
      <c r="E1944" s="21"/>
      <c r="F1944" s="22" t="s">
        <v>2476</v>
      </c>
      <c r="G1944" s="28" t="s">
        <v>5499</v>
      </c>
      <c r="H1944" s="22" t="s">
        <v>2477</v>
      </c>
      <c r="I1944" s="21"/>
      <c r="J1944" s="22" t="s">
        <v>1164</v>
      </c>
      <c r="K1944" s="22" t="s">
        <v>924</v>
      </c>
      <c r="L1944" s="21"/>
      <c r="M1944" s="22" t="s">
        <v>2014</v>
      </c>
      <c r="N1944" s="28" t="s">
        <v>2015</v>
      </c>
      <c r="O1944" s="28" t="s">
        <v>2016</v>
      </c>
      <c r="P1944" s="29">
        <v>0</v>
      </c>
      <c r="Q1944" s="28" t="s">
        <v>2017</v>
      </c>
      <c r="R1944" s="21"/>
      <c r="S1944" s="21"/>
      <c r="T1944" s="21"/>
      <c r="U1944" s="21"/>
      <c r="V1944" s="21"/>
      <c r="W1944" s="21"/>
      <c r="X1944" s="21"/>
    </row>
    <row r="1945" spans="1:24" ht="15.75" thickBot="1" x14ac:dyDescent="0.3">
      <c r="A1945" t="str">
        <f t="shared" si="30"/>
        <v>PC PP801 AA</v>
      </c>
      <c r="B1945" s="22" t="s">
        <v>7626</v>
      </c>
      <c r="C1945" s="22" t="s">
        <v>7627</v>
      </c>
      <c r="D1945" s="22" t="s">
        <v>7628</v>
      </c>
      <c r="E1945" s="21"/>
      <c r="F1945" s="22" t="s">
        <v>2479</v>
      </c>
      <c r="G1945" s="28" t="s">
        <v>2012</v>
      </c>
      <c r="H1945" s="22" t="s">
        <v>2477</v>
      </c>
      <c r="I1945" s="21"/>
      <c r="J1945" s="22" t="s">
        <v>1164</v>
      </c>
      <c r="K1945" s="22" t="s">
        <v>924</v>
      </c>
      <c r="L1945" s="21"/>
      <c r="M1945" s="22" t="s">
        <v>2014</v>
      </c>
      <c r="N1945" s="28" t="s">
        <v>2015</v>
      </c>
      <c r="O1945" s="28" t="s">
        <v>2016</v>
      </c>
      <c r="P1945" s="29">
        <v>324</v>
      </c>
      <c r="Q1945" s="28" t="s">
        <v>2017</v>
      </c>
      <c r="R1945" s="21"/>
      <c r="S1945" s="21"/>
      <c r="T1945" s="21"/>
      <c r="U1945" s="21"/>
      <c r="V1945" s="21"/>
      <c r="W1945" s="21"/>
      <c r="X1945" s="21"/>
    </row>
    <row r="1946" spans="1:24" ht="15.75" thickBot="1" x14ac:dyDescent="0.3">
      <c r="A1946" t="str">
        <f t="shared" si="30"/>
        <v>PC PP801 AB</v>
      </c>
      <c r="B1946" s="22" t="s">
        <v>7629</v>
      </c>
      <c r="C1946" s="22" t="s">
        <v>7630</v>
      </c>
      <c r="D1946" s="22" t="s">
        <v>7631</v>
      </c>
      <c r="E1946" s="21"/>
      <c r="F1946" s="22" t="s">
        <v>2479</v>
      </c>
      <c r="G1946" s="28" t="s">
        <v>2012</v>
      </c>
      <c r="H1946" s="22" t="s">
        <v>2477</v>
      </c>
      <c r="I1946" s="21"/>
      <c r="J1946" s="22" t="s">
        <v>1164</v>
      </c>
      <c r="K1946" s="22" t="s">
        <v>924</v>
      </c>
      <c r="L1946" s="21"/>
      <c r="M1946" s="22" t="s">
        <v>2014</v>
      </c>
      <c r="N1946" s="28" t="s">
        <v>2015</v>
      </c>
      <c r="O1946" s="28" t="s">
        <v>2016</v>
      </c>
      <c r="P1946" s="29">
        <v>0</v>
      </c>
      <c r="Q1946" s="28" t="s">
        <v>2017</v>
      </c>
      <c r="R1946" s="21"/>
      <c r="S1946" s="21"/>
      <c r="T1946" s="21"/>
      <c r="U1946" s="21"/>
      <c r="V1946" s="21"/>
      <c r="W1946" s="21"/>
      <c r="X1946" s="21"/>
    </row>
    <row r="1947" spans="1:24" ht="15.75" thickBot="1" x14ac:dyDescent="0.3">
      <c r="A1947" t="str">
        <f t="shared" si="30"/>
        <v>PC PP802 AA</v>
      </c>
      <c r="B1947" s="22" t="s">
        <v>7632</v>
      </c>
      <c r="C1947" s="22" t="s">
        <v>7633</v>
      </c>
      <c r="D1947" s="22" t="s">
        <v>7634</v>
      </c>
      <c r="E1947" s="21"/>
      <c r="F1947" s="22" t="s">
        <v>2819</v>
      </c>
      <c r="G1947" s="28" t="s">
        <v>2012</v>
      </c>
      <c r="H1947" s="22" t="s">
        <v>2477</v>
      </c>
      <c r="I1947" s="21"/>
      <c r="J1947" s="22" t="s">
        <v>1164</v>
      </c>
      <c r="K1947" s="22" t="s">
        <v>924</v>
      </c>
      <c r="L1947" s="21"/>
      <c r="M1947" s="22" t="s">
        <v>2014</v>
      </c>
      <c r="N1947" s="28" t="s">
        <v>2015</v>
      </c>
      <c r="O1947" s="28" t="s">
        <v>2016</v>
      </c>
      <c r="P1947" s="29">
        <v>210</v>
      </c>
      <c r="Q1947" s="28" t="s">
        <v>2017</v>
      </c>
      <c r="R1947" s="21"/>
      <c r="S1947" s="21"/>
      <c r="T1947" s="21"/>
      <c r="U1947" s="21"/>
      <c r="V1947" s="21"/>
      <c r="W1947" s="21"/>
      <c r="X1947" s="21"/>
    </row>
    <row r="1948" spans="1:24" ht="15.75" thickBot="1" x14ac:dyDescent="0.3">
      <c r="A1948" t="str">
        <f t="shared" si="30"/>
        <v>PC.WL68432378</v>
      </c>
      <c r="B1948" s="22" t="s">
        <v>7635</v>
      </c>
      <c r="C1948" s="22" t="s">
        <v>6415</v>
      </c>
      <c r="D1948" s="22" t="s">
        <v>7636</v>
      </c>
      <c r="E1948" s="22" t="s">
        <v>7637</v>
      </c>
      <c r="F1948" s="22" t="s">
        <v>2139</v>
      </c>
      <c r="G1948" s="28" t="s">
        <v>2012</v>
      </c>
      <c r="H1948" s="22" t="s">
        <v>2022</v>
      </c>
      <c r="I1948" s="21"/>
      <c r="J1948" s="22" t="s">
        <v>1117</v>
      </c>
      <c r="K1948" s="22" t="s">
        <v>924</v>
      </c>
      <c r="L1948" s="21"/>
      <c r="M1948" s="22" t="s">
        <v>2014</v>
      </c>
      <c r="N1948" s="28" t="s">
        <v>2015</v>
      </c>
      <c r="O1948" s="28" t="s">
        <v>2016</v>
      </c>
      <c r="P1948" s="29">
        <v>3924</v>
      </c>
      <c r="Q1948" s="28" t="s">
        <v>2017</v>
      </c>
      <c r="R1948" s="21"/>
      <c r="S1948" s="21"/>
      <c r="T1948" s="21"/>
      <c r="U1948" s="21"/>
      <c r="V1948" s="21"/>
      <c r="W1948" s="21"/>
      <c r="X1948" s="21"/>
    </row>
    <row r="1949" spans="1:24" ht="15.75" thickBot="1" x14ac:dyDescent="0.3">
      <c r="A1949" t="str">
        <f t="shared" si="30"/>
        <v>PC.WL68432379</v>
      </c>
      <c r="B1949" s="22" t="s">
        <v>7638</v>
      </c>
      <c r="C1949" s="22" t="s">
        <v>6419</v>
      </c>
      <c r="D1949" s="22" t="s">
        <v>7639</v>
      </c>
      <c r="E1949" s="22" t="s">
        <v>7640</v>
      </c>
      <c r="F1949" s="22" t="s">
        <v>2139</v>
      </c>
      <c r="G1949" s="28" t="s">
        <v>2012</v>
      </c>
      <c r="H1949" s="22" t="s">
        <v>2022</v>
      </c>
      <c r="I1949" s="21"/>
      <c r="J1949" s="22" t="s">
        <v>1117</v>
      </c>
      <c r="K1949" s="22" t="s">
        <v>924</v>
      </c>
      <c r="L1949" s="21"/>
      <c r="M1949" s="22" t="s">
        <v>2014</v>
      </c>
      <c r="N1949" s="28" t="s">
        <v>2015</v>
      </c>
      <c r="O1949" s="28" t="s">
        <v>2016</v>
      </c>
      <c r="P1949" s="29">
        <v>3760</v>
      </c>
      <c r="Q1949" s="28" t="s">
        <v>2017</v>
      </c>
      <c r="R1949" s="21"/>
      <c r="S1949" s="21"/>
      <c r="T1949" s="21"/>
      <c r="U1949" s="21"/>
      <c r="V1949" s="21"/>
      <c r="W1949" s="21"/>
      <c r="X1949" s="21"/>
    </row>
    <row r="1950" spans="1:24" ht="15.75" thickBot="1" x14ac:dyDescent="0.3">
      <c r="A1950" t="str">
        <f t="shared" si="30"/>
        <v>PC.WL68592413</v>
      </c>
      <c r="B1950" s="22" t="s">
        <v>7641</v>
      </c>
      <c r="C1950" s="22" t="s">
        <v>7642</v>
      </c>
      <c r="D1950" s="22" t="s">
        <v>7643</v>
      </c>
      <c r="E1950" s="22" t="s">
        <v>7644</v>
      </c>
      <c r="F1950" s="22" t="s">
        <v>2255</v>
      </c>
      <c r="G1950" s="28" t="s">
        <v>2012</v>
      </c>
      <c r="H1950" s="22" t="s">
        <v>2022</v>
      </c>
      <c r="I1950" s="21"/>
      <c r="J1950" s="22" t="s">
        <v>1117</v>
      </c>
      <c r="K1950" s="22" t="s">
        <v>924</v>
      </c>
      <c r="L1950" s="21"/>
      <c r="M1950" s="22" t="s">
        <v>2014</v>
      </c>
      <c r="N1950" s="28" t="s">
        <v>2015</v>
      </c>
      <c r="O1950" s="28" t="s">
        <v>2016</v>
      </c>
      <c r="P1950" s="29">
        <v>21175</v>
      </c>
      <c r="Q1950" s="28" t="s">
        <v>2017</v>
      </c>
      <c r="R1950" s="21"/>
      <c r="S1950" s="21"/>
      <c r="T1950" s="21"/>
      <c r="U1950" s="21"/>
      <c r="V1950" s="21"/>
      <c r="W1950" s="21"/>
      <c r="X1950" s="21"/>
    </row>
    <row r="1951" spans="1:24" ht="15.75" thickBot="1" x14ac:dyDescent="0.3">
      <c r="A1951" t="str">
        <f t="shared" si="30"/>
        <v>PC00427A</v>
      </c>
      <c r="B1951" s="22" t="s">
        <v>7645</v>
      </c>
      <c r="C1951" s="22" t="s">
        <v>7646</v>
      </c>
      <c r="D1951" s="22" t="s">
        <v>4298</v>
      </c>
      <c r="E1951" s="22" t="s">
        <v>4299</v>
      </c>
      <c r="F1951" s="22" t="s">
        <v>2139</v>
      </c>
      <c r="G1951" s="28" t="s">
        <v>2012</v>
      </c>
      <c r="H1951" s="22" t="s">
        <v>2022</v>
      </c>
      <c r="I1951" s="21"/>
      <c r="J1951" s="22" t="s">
        <v>1117</v>
      </c>
      <c r="K1951" s="22" t="s">
        <v>924</v>
      </c>
      <c r="L1951" s="21"/>
      <c r="M1951" s="22" t="s">
        <v>2014</v>
      </c>
      <c r="N1951" s="28" t="s">
        <v>2015</v>
      </c>
      <c r="O1951" s="28" t="s">
        <v>2016</v>
      </c>
      <c r="P1951" s="29">
        <v>800</v>
      </c>
      <c r="Q1951" s="28" t="s">
        <v>2017</v>
      </c>
      <c r="R1951" s="21"/>
      <c r="S1951" s="21"/>
      <c r="T1951" s="21"/>
      <c r="U1951" s="21"/>
      <c r="V1951" s="21"/>
      <c r="W1951" s="21"/>
      <c r="X1951" s="21"/>
    </row>
    <row r="1952" spans="1:24" ht="15.75" thickBot="1" x14ac:dyDescent="0.3">
      <c r="A1952" t="str">
        <f t="shared" si="30"/>
        <v>PC17627 BA</v>
      </c>
      <c r="B1952" s="22" t="s">
        <v>893</v>
      </c>
      <c r="C1952" s="22" t="s">
        <v>7647</v>
      </c>
      <c r="D1952" s="22" t="s">
        <v>7648</v>
      </c>
      <c r="E1952" s="22" t="s">
        <v>7195</v>
      </c>
      <c r="F1952" s="22" t="s">
        <v>5102</v>
      </c>
      <c r="G1952" s="28" t="s">
        <v>2012</v>
      </c>
      <c r="H1952" s="22" t="s">
        <v>2751</v>
      </c>
      <c r="I1952" s="21"/>
      <c r="J1952" s="22" t="s">
        <v>892</v>
      </c>
      <c r="K1952" s="22" t="s">
        <v>262</v>
      </c>
      <c r="L1952" s="21"/>
      <c r="M1952" s="22" t="s">
        <v>2014</v>
      </c>
      <c r="N1952" s="28" t="s">
        <v>2015</v>
      </c>
      <c r="O1952" s="28" t="s">
        <v>2016</v>
      </c>
      <c r="P1952" s="29">
        <v>0</v>
      </c>
      <c r="Q1952" s="28" t="s">
        <v>2017</v>
      </c>
      <c r="R1952" s="21"/>
      <c r="S1952" s="21"/>
      <c r="T1952" s="21"/>
      <c r="U1952" s="21"/>
      <c r="V1952" s="21"/>
      <c r="W1952" s="21"/>
      <c r="X1952" s="21"/>
    </row>
    <row r="1953" spans="1:24" ht="15.75" thickBot="1" x14ac:dyDescent="0.3">
      <c r="A1953" t="str">
        <f t="shared" si="30"/>
        <v>PC221-11-0499</v>
      </c>
      <c r="B1953" s="22" t="s">
        <v>7649</v>
      </c>
      <c r="C1953" s="22" t="s">
        <v>7650</v>
      </c>
      <c r="D1953" s="22" t="s">
        <v>7651</v>
      </c>
      <c r="E1953" s="21"/>
      <c r="F1953" s="22" t="s">
        <v>7652</v>
      </c>
      <c r="G1953" s="28" t="s">
        <v>2012</v>
      </c>
      <c r="H1953" s="22" t="s">
        <v>7653</v>
      </c>
      <c r="I1953" s="21"/>
      <c r="J1953" s="22" t="s">
        <v>494</v>
      </c>
      <c r="K1953" s="22" t="s">
        <v>262</v>
      </c>
      <c r="L1953" s="21"/>
      <c r="M1953" s="22" t="s">
        <v>2014</v>
      </c>
      <c r="N1953" s="28" t="s">
        <v>2015</v>
      </c>
      <c r="O1953" s="28" t="s">
        <v>2016</v>
      </c>
      <c r="P1953" s="29">
        <v>14598</v>
      </c>
      <c r="Q1953" s="28" t="s">
        <v>2017</v>
      </c>
      <c r="R1953" s="21"/>
      <c r="S1953" s="21"/>
      <c r="T1953" s="21"/>
      <c r="U1953" s="21"/>
      <c r="V1953" s="21"/>
      <c r="W1953" s="21"/>
      <c r="X1953" s="21"/>
    </row>
    <row r="1954" spans="1:24" ht="15.75" thickBot="1" x14ac:dyDescent="0.3">
      <c r="A1954" t="str">
        <f t="shared" si="30"/>
        <v>PC40793B</v>
      </c>
      <c r="B1954" s="22" t="s">
        <v>7654</v>
      </c>
      <c r="C1954" s="22" t="s">
        <v>7655</v>
      </c>
      <c r="D1954" s="22" t="s">
        <v>7656</v>
      </c>
      <c r="E1954" s="22" t="s">
        <v>7657</v>
      </c>
      <c r="F1954" s="22" t="s">
        <v>7658</v>
      </c>
      <c r="G1954" s="28" t="s">
        <v>2012</v>
      </c>
      <c r="H1954" s="22" t="s">
        <v>2022</v>
      </c>
      <c r="I1954" s="21"/>
      <c r="J1954" s="22" t="s">
        <v>1117</v>
      </c>
      <c r="K1954" s="22" t="s">
        <v>924</v>
      </c>
      <c r="L1954" s="21"/>
      <c r="M1954" s="22" t="s">
        <v>2014</v>
      </c>
      <c r="N1954" s="28" t="s">
        <v>2015</v>
      </c>
      <c r="O1954" s="28" t="s">
        <v>2016</v>
      </c>
      <c r="P1954" s="29">
        <v>3244</v>
      </c>
      <c r="Q1954" s="28" t="s">
        <v>2017</v>
      </c>
      <c r="R1954" s="21"/>
      <c r="S1954" s="21"/>
      <c r="T1954" s="21"/>
      <c r="U1954" s="21"/>
      <c r="V1954" s="21"/>
      <c r="W1954" s="21"/>
      <c r="X1954" s="21"/>
    </row>
    <row r="1955" spans="1:24" ht="15.75" thickBot="1" x14ac:dyDescent="0.3">
      <c r="A1955" t="str">
        <f t="shared" si="30"/>
        <v>PC68451020C00U</v>
      </c>
      <c r="B1955" s="22" t="s">
        <v>392</v>
      </c>
      <c r="C1955" s="22" t="s">
        <v>7659</v>
      </c>
      <c r="D1955" s="22" t="s">
        <v>7660</v>
      </c>
      <c r="E1955" s="21"/>
      <c r="F1955" s="22" t="s">
        <v>7310</v>
      </c>
      <c r="G1955" s="28" t="s">
        <v>2012</v>
      </c>
      <c r="H1955" s="22" t="s">
        <v>2013</v>
      </c>
      <c r="I1955" s="21"/>
      <c r="J1955" s="22" t="s">
        <v>394</v>
      </c>
      <c r="K1955" s="22" t="s">
        <v>262</v>
      </c>
      <c r="L1955" s="21"/>
      <c r="M1955" s="22" t="s">
        <v>2014</v>
      </c>
      <c r="N1955" s="28" t="s">
        <v>2015</v>
      </c>
      <c r="O1955" s="28" t="s">
        <v>2016</v>
      </c>
      <c r="P1955" s="29">
        <v>0</v>
      </c>
      <c r="Q1955" s="28" t="s">
        <v>2017</v>
      </c>
      <c r="R1955" s="41">
        <v>0</v>
      </c>
      <c r="S1955" s="29">
        <v>3960</v>
      </c>
      <c r="T1955" s="32">
        <v>61.6</v>
      </c>
      <c r="U1955" s="32">
        <v>0</v>
      </c>
      <c r="V1955" s="41">
        <v>0</v>
      </c>
      <c r="W1955" s="21"/>
      <c r="X1955" s="21"/>
    </row>
    <row r="1956" spans="1:24" ht="15.75" thickBot="1" x14ac:dyDescent="0.3">
      <c r="A1956" t="str">
        <f t="shared" si="30"/>
        <v>PC6UF36GXHAA</v>
      </c>
      <c r="B1956" s="22" t="s">
        <v>7661</v>
      </c>
      <c r="C1956" s="22" t="s">
        <v>7662</v>
      </c>
      <c r="D1956" s="22" t="s">
        <v>7663</v>
      </c>
      <c r="E1956" s="22" t="s">
        <v>2020</v>
      </c>
      <c r="F1956" s="22" t="s">
        <v>7664</v>
      </c>
      <c r="G1956" s="28" t="s">
        <v>2012</v>
      </c>
      <c r="H1956" s="22" t="s">
        <v>2022</v>
      </c>
      <c r="I1956" s="21"/>
      <c r="J1956" s="22" t="s">
        <v>698</v>
      </c>
      <c r="K1956" s="22" t="s">
        <v>262</v>
      </c>
      <c r="L1956" s="21"/>
      <c r="M1956" s="22" t="s">
        <v>2014</v>
      </c>
      <c r="N1956" s="28" t="s">
        <v>2015</v>
      </c>
      <c r="O1956" s="28" t="s">
        <v>2016</v>
      </c>
      <c r="P1956" s="29">
        <v>1130</v>
      </c>
      <c r="Q1956" s="28" t="s">
        <v>2017</v>
      </c>
      <c r="R1956" s="21"/>
      <c r="S1956" s="21"/>
      <c r="T1956" s="21"/>
      <c r="U1956" s="21"/>
      <c r="V1956" s="21"/>
      <c r="W1956" s="21"/>
      <c r="X1956" s="21"/>
    </row>
    <row r="1957" spans="1:24" ht="15.75" thickBot="1" x14ac:dyDescent="0.3">
      <c r="A1957" t="str">
        <f t="shared" si="30"/>
        <v>PC6UF37GXHAA</v>
      </c>
      <c r="B1957" s="22" t="s">
        <v>7665</v>
      </c>
      <c r="C1957" s="22" t="s">
        <v>7666</v>
      </c>
      <c r="D1957" s="22" t="s">
        <v>7667</v>
      </c>
      <c r="E1957" s="22" t="s">
        <v>2020</v>
      </c>
      <c r="F1957" s="22" t="s">
        <v>7664</v>
      </c>
      <c r="G1957" s="28" t="s">
        <v>2012</v>
      </c>
      <c r="H1957" s="22" t="s">
        <v>2022</v>
      </c>
      <c r="I1957" s="21"/>
      <c r="J1957" s="22" t="s">
        <v>698</v>
      </c>
      <c r="K1957" s="22" t="s">
        <v>262</v>
      </c>
      <c r="L1957" s="21"/>
      <c r="M1957" s="22" t="s">
        <v>2014</v>
      </c>
      <c r="N1957" s="28" t="s">
        <v>2015</v>
      </c>
      <c r="O1957" s="28" t="s">
        <v>2016</v>
      </c>
      <c r="P1957" s="29">
        <v>885</v>
      </c>
      <c r="Q1957" s="28" t="s">
        <v>2017</v>
      </c>
      <c r="R1957" s="21"/>
      <c r="S1957" s="21"/>
      <c r="T1957" s="21"/>
      <c r="U1957" s="21"/>
      <c r="V1957" s="21"/>
      <c r="W1957" s="21"/>
      <c r="X1957" s="21"/>
    </row>
    <row r="1958" spans="1:24" ht="15.75" thickBot="1" x14ac:dyDescent="0.3">
      <c r="A1958" t="str">
        <f t="shared" si="30"/>
        <v>PC6UH00GXHAA</v>
      </c>
      <c r="B1958" s="22" t="s">
        <v>7668</v>
      </c>
      <c r="C1958" s="22" t="s">
        <v>7669</v>
      </c>
      <c r="D1958" s="22" t="s">
        <v>7670</v>
      </c>
      <c r="E1958" s="22" t="s">
        <v>2020</v>
      </c>
      <c r="F1958" s="22" t="s">
        <v>7671</v>
      </c>
      <c r="G1958" s="28" t="s">
        <v>2012</v>
      </c>
      <c r="H1958" s="22" t="s">
        <v>2022</v>
      </c>
      <c r="I1958" s="21"/>
      <c r="J1958" s="22" t="s">
        <v>698</v>
      </c>
      <c r="K1958" s="22" t="s">
        <v>262</v>
      </c>
      <c r="L1958" s="21"/>
      <c r="M1958" s="22" t="s">
        <v>2014</v>
      </c>
      <c r="N1958" s="28" t="s">
        <v>2015</v>
      </c>
      <c r="O1958" s="28" t="s">
        <v>2016</v>
      </c>
      <c r="P1958" s="29">
        <v>1117</v>
      </c>
      <c r="Q1958" s="28" t="s">
        <v>2017</v>
      </c>
      <c r="R1958" s="21"/>
      <c r="S1958" s="21"/>
      <c r="T1958" s="21"/>
      <c r="U1958" s="21"/>
      <c r="V1958" s="21"/>
      <c r="W1958" s="21"/>
      <c r="X1958" s="21"/>
    </row>
    <row r="1959" spans="1:24" ht="15.75" thickBot="1" x14ac:dyDescent="0.3">
      <c r="A1959" t="str">
        <f t="shared" si="30"/>
        <v>PC6UH01GXHAA</v>
      </c>
      <c r="B1959" s="22" t="s">
        <v>7672</v>
      </c>
      <c r="C1959" s="22" t="s">
        <v>7673</v>
      </c>
      <c r="D1959" s="22" t="s">
        <v>7674</v>
      </c>
      <c r="E1959" s="22" t="s">
        <v>2020</v>
      </c>
      <c r="F1959" s="22" t="s">
        <v>7671</v>
      </c>
      <c r="G1959" s="28" t="s">
        <v>2012</v>
      </c>
      <c r="H1959" s="22" t="s">
        <v>2022</v>
      </c>
      <c r="I1959" s="21"/>
      <c r="J1959" s="22" t="s">
        <v>698</v>
      </c>
      <c r="K1959" s="22" t="s">
        <v>262</v>
      </c>
      <c r="L1959" s="21"/>
      <c r="M1959" s="22" t="s">
        <v>2014</v>
      </c>
      <c r="N1959" s="28" t="s">
        <v>2015</v>
      </c>
      <c r="O1959" s="28" t="s">
        <v>2016</v>
      </c>
      <c r="P1959" s="29">
        <v>764</v>
      </c>
      <c r="Q1959" s="28" t="s">
        <v>2017</v>
      </c>
      <c r="R1959" s="21"/>
      <c r="S1959" s="21"/>
      <c r="T1959" s="21"/>
      <c r="U1959" s="21"/>
      <c r="V1959" s="21"/>
      <c r="W1959" s="21"/>
      <c r="X1959" s="21"/>
    </row>
    <row r="1960" spans="1:24" ht="15.75" thickBot="1" x14ac:dyDescent="0.3">
      <c r="A1960" t="str">
        <f t="shared" si="30"/>
        <v>PC7DU62GXHAA</v>
      </c>
      <c r="B1960" s="22" t="s">
        <v>7675</v>
      </c>
      <c r="C1960" s="22" t="s">
        <v>7676</v>
      </c>
      <c r="D1960" s="22" t="s">
        <v>7677</v>
      </c>
      <c r="E1960" s="22" t="s">
        <v>2020</v>
      </c>
      <c r="F1960" s="22" t="s">
        <v>7678</v>
      </c>
      <c r="G1960" s="28" t="s">
        <v>2012</v>
      </c>
      <c r="H1960" s="22" t="s">
        <v>2022</v>
      </c>
      <c r="I1960" s="21"/>
      <c r="J1960" s="22" t="s">
        <v>698</v>
      </c>
      <c r="K1960" s="22" t="s">
        <v>262</v>
      </c>
      <c r="L1960" s="21"/>
      <c r="M1960" s="22" t="s">
        <v>2014</v>
      </c>
      <c r="N1960" s="28" t="s">
        <v>2015</v>
      </c>
      <c r="O1960" s="28" t="s">
        <v>2016</v>
      </c>
      <c r="P1960" s="29">
        <v>536</v>
      </c>
      <c r="Q1960" s="28" t="s">
        <v>2017</v>
      </c>
      <c r="R1960" s="21"/>
      <c r="S1960" s="21"/>
      <c r="T1960" s="21"/>
      <c r="U1960" s="21"/>
      <c r="V1960" s="21"/>
      <c r="W1960" s="21"/>
      <c r="X1960" s="21"/>
    </row>
    <row r="1961" spans="1:24" ht="15.75" thickBot="1" x14ac:dyDescent="0.3">
      <c r="A1961" t="str">
        <f t="shared" si="30"/>
        <v>PC7DU63GXHAA</v>
      </c>
      <c r="B1961" s="22" t="s">
        <v>7679</v>
      </c>
      <c r="C1961" s="22" t="s">
        <v>7680</v>
      </c>
      <c r="D1961" s="22" t="s">
        <v>7681</v>
      </c>
      <c r="E1961" s="22" t="s">
        <v>2020</v>
      </c>
      <c r="F1961" s="22" t="s">
        <v>7678</v>
      </c>
      <c r="G1961" s="28" t="s">
        <v>2012</v>
      </c>
      <c r="H1961" s="22" t="s">
        <v>2022</v>
      </c>
      <c r="I1961" s="21"/>
      <c r="J1961" s="22" t="s">
        <v>698</v>
      </c>
      <c r="K1961" s="22" t="s">
        <v>262</v>
      </c>
      <c r="L1961" s="21"/>
      <c r="M1961" s="22" t="s">
        <v>2014</v>
      </c>
      <c r="N1961" s="28" t="s">
        <v>2015</v>
      </c>
      <c r="O1961" s="28" t="s">
        <v>2016</v>
      </c>
      <c r="P1961" s="29">
        <v>868</v>
      </c>
      <c r="Q1961" s="28" t="s">
        <v>2017</v>
      </c>
      <c r="R1961" s="21"/>
      <c r="S1961" s="21"/>
      <c r="T1961" s="21"/>
      <c r="U1961" s="21"/>
      <c r="V1961" s="21"/>
      <c r="W1961" s="21"/>
      <c r="X1961" s="21"/>
    </row>
    <row r="1962" spans="1:24" ht="15.75" thickBot="1" x14ac:dyDescent="0.3">
      <c r="A1962" t="str">
        <f t="shared" si="30"/>
        <v>PC7DZ32GXHAA</v>
      </c>
      <c r="B1962" s="22" t="s">
        <v>7682</v>
      </c>
      <c r="C1962" s="22" t="s">
        <v>7683</v>
      </c>
      <c r="D1962" s="22" t="s">
        <v>2019</v>
      </c>
      <c r="E1962" s="22" t="s">
        <v>2020</v>
      </c>
      <c r="F1962" s="22" t="s">
        <v>7684</v>
      </c>
      <c r="G1962" s="28" t="s">
        <v>2012</v>
      </c>
      <c r="H1962" s="22" t="s">
        <v>2022</v>
      </c>
      <c r="I1962" s="21"/>
      <c r="J1962" s="22" t="s">
        <v>698</v>
      </c>
      <c r="K1962" s="22" t="s">
        <v>262</v>
      </c>
      <c r="L1962" s="21"/>
      <c r="M1962" s="22" t="s">
        <v>2014</v>
      </c>
      <c r="N1962" s="28" t="s">
        <v>2015</v>
      </c>
      <c r="O1962" s="28" t="s">
        <v>2016</v>
      </c>
      <c r="P1962" s="29">
        <v>573</v>
      </c>
      <c r="Q1962" s="28" t="s">
        <v>2017</v>
      </c>
      <c r="R1962" s="21"/>
      <c r="S1962" s="21"/>
      <c r="T1962" s="21"/>
      <c r="U1962" s="21"/>
      <c r="V1962" s="21"/>
      <c r="W1962" s="21"/>
      <c r="X1962" s="21"/>
    </row>
    <row r="1963" spans="1:24" ht="15.75" thickBot="1" x14ac:dyDescent="0.3">
      <c r="A1963" t="str">
        <f t="shared" si="30"/>
        <v>PC7DZ33GXHAA</v>
      </c>
      <c r="B1963" s="22" t="s">
        <v>7685</v>
      </c>
      <c r="C1963" s="22" t="s">
        <v>7686</v>
      </c>
      <c r="D1963" s="22" t="s">
        <v>2723</v>
      </c>
      <c r="E1963" s="22" t="s">
        <v>2020</v>
      </c>
      <c r="F1963" s="22" t="s">
        <v>7684</v>
      </c>
      <c r="G1963" s="28" t="s">
        <v>2012</v>
      </c>
      <c r="H1963" s="22" t="s">
        <v>2022</v>
      </c>
      <c r="I1963" s="21"/>
      <c r="J1963" s="22" t="s">
        <v>698</v>
      </c>
      <c r="K1963" s="22" t="s">
        <v>262</v>
      </c>
      <c r="L1963" s="21"/>
      <c r="M1963" s="22" t="s">
        <v>2014</v>
      </c>
      <c r="N1963" s="28" t="s">
        <v>2015</v>
      </c>
      <c r="O1963" s="28" t="s">
        <v>2016</v>
      </c>
      <c r="P1963" s="29">
        <v>594</v>
      </c>
      <c r="Q1963" s="28" t="s">
        <v>2017</v>
      </c>
      <c r="R1963" s="21"/>
      <c r="S1963" s="21"/>
      <c r="T1963" s="21"/>
      <c r="U1963" s="21"/>
      <c r="V1963" s="21"/>
      <c r="W1963" s="21"/>
      <c r="X1963" s="21"/>
    </row>
    <row r="1964" spans="1:24" ht="15.75" thickBot="1" x14ac:dyDescent="0.3">
      <c r="A1964" t="str">
        <f t="shared" si="30"/>
        <v>PCN2DV15B216AAF00R</v>
      </c>
      <c r="B1964" s="22" t="s">
        <v>7687</v>
      </c>
      <c r="C1964" s="22" t="s">
        <v>7688</v>
      </c>
      <c r="D1964" s="22" t="s">
        <v>7689</v>
      </c>
      <c r="E1964" s="22" t="s">
        <v>7690</v>
      </c>
      <c r="F1964" s="22" t="s">
        <v>7691</v>
      </c>
      <c r="G1964" s="28" t="s">
        <v>5499</v>
      </c>
      <c r="H1964" s="22" t="s">
        <v>7692</v>
      </c>
      <c r="I1964" s="21"/>
      <c r="J1964" s="22" t="s">
        <v>364</v>
      </c>
      <c r="K1964" s="22" t="s">
        <v>262</v>
      </c>
      <c r="L1964" s="21"/>
      <c r="M1964" s="22" t="s">
        <v>2014</v>
      </c>
      <c r="N1964" s="28" t="s">
        <v>2015</v>
      </c>
      <c r="O1964" s="28" t="s">
        <v>2016</v>
      </c>
      <c r="P1964" s="29">
        <v>0</v>
      </c>
      <c r="Q1964" s="28" t="s">
        <v>2017</v>
      </c>
      <c r="R1964" s="21"/>
      <c r="S1964" s="21"/>
      <c r="T1964" s="21"/>
      <c r="U1964" s="21"/>
      <c r="V1964" s="21"/>
      <c r="W1964" s="21"/>
      <c r="X1964" s="21"/>
    </row>
    <row r="1965" spans="1:24" ht="15.75" thickBot="1" x14ac:dyDescent="0.3">
      <c r="A1965" t="str">
        <f t="shared" si="30"/>
        <v>PCN2DV17626AAF00R</v>
      </c>
      <c r="B1965" s="22" t="s">
        <v>7693</v>
      </c>
      <c r="C1965" s="22" t="s">
        <v>7694</v>
      </c>
      <c r="D1965" s="22" t="s">
        <v>7695</v>
      </c>
      <c r="E1965" s="22" t="s">
        <v>7696</v>
      </c>
      <c r="F1965" s="22" t="s">
        <v>7697</v>
      </c>
      <c r="G1965" s="28" t="s">
        <v>5499</v>
      </c>
      <c r="H1965" s="22" t="s">
        <v>7692</v>
      </c>
      <c r="I1965" s="21"/>
      <c r="J1965" s="22" t="s">
        <v>364</v>
      </c>
      <c r="K1965" s="22" t="s">
        <v>262</v>
      </c>
      <c r="L1965" s="21"/>
      <c r="M1965" s="22" t="s">
        <v>2014</v>
      </c>
      <c r="N1965" s="28" t="s">
        <v>2015</v>
      </c>
      <c r="O1965" s="28" t="s">
        <v>2016</v>
      </c>
      <c r="P1965" s="29">
        <v>0</v>
      </c>
      <c r="Q1965" s="28" t="s">
        <v>2017</v>
      </c>
      <c r="R1965" s="21"/>
      <c r="S1965" s="21"/>
      <c r="T1965" s="21"/>
      <c r="U1965" s="21"/>
      <c r="V1965" s="21"/>
      <c r="W1965" s="21"/>
      <c r="X1965" s="21"/>
    </row>
    <row r="1966" spans="1:24" ht="15.75" thickBot="1" x14ac:dyDescent="0.3">
      <c r="A1966" t="str">
        <f t="shared" si="30"/>
        <v>PCN2DV17627AAF00L</v>
      </c>
      <c r="B1966" s="22" t="s">
        <v>7698</v>
      </c>
      <c r="C1966" s="22" t="s">
        <v>7699</v>
      </c>
      <c r="D1966" s="22" t="s">
        <v>7700</v>
      </c>
      <c r="E1966" s="22" t="s">
        <v>7701</v>
      </c>
      <c r="F1966" s="22" t="s">
        <v>7697</v>
      </c>
      <c r="G1966" s="28" t="s">
        <v>5499</v>
      </c>
      <c r="H1966" s="22" t="s">
        <v>7692</v>
      </c>
      <c r="I1966" s="21"/>
      <c r="J1966" s="22" t="s">
        <v>364</v>
      </c>
      <c r="K1966" s="22" t="s">
        <v>262</v>
      </c>
      <c r="L1966" s="21"/>
      <c r="M1966" s="22" t="s">
        <v>2014</v>
      </c>
      <c r="N1966" s="28" t="s">
        <v>2015</v>
      </c>
      <c r="O1966" s="28" t="s">
        <v>2016</v>
      </c>
      <c r="P1966" s="29">
        <v>0</v>
      </c>
      <c r="Q1966" s="28" t="s">
        <v>2017</v>
      </c>
      <c r="R1966" s="21"/>
      <c r="S1966" s="21"/>
      <c r="T1966" s="21"/>
      <c r="U1966" s="21"/>
      <c r="V1966" s="21"/>
      <c r="W1966" s="21"/>
      <c r="X1966" s="21"/>
    </row>
    <row r="1967" spans="1:24" ht="15.75" thickBot="1" x14ac:dyDescent="0.3">
      <c r="A1967" t="str">
        <f t="shared" si="30"/>
        <v>PCN2DV17B635ABWF00R</v>
      </c>
      <c r="B1967" s="22" t="s">
        <v>7702</v>
      </c>
      <c r="C1967" s="22" t="s">
        <v>7703</v>
      </c>
      <c r="D1967" s="22" t="s">
        <v>7704</v>
      </c>
      <c r="E1967" s="22" t="s">
        <v>7705</v>
      </c>
      <c r="F1967" s="22" t="s">
        <v>7706</v>
      </c>
      <c r="G1967" s="28" t="s">
        <v>5499</v>
      </c>
      <c r="H1967" s="22" t="s">
        <v>7692</v>
      </c>
      <c r="I1967" s="21"/>
      <c r="J1967" s="22" t="s">
        <v>364</v>
      </c>
      <c r="K1967" s="22" t="s">
        <v>262</v>
      </c>
      <c r="L1967" s="21"/>
      <c r="M1967" s="22" t="s">
        <v>2014</v>
      </c>
      <c r="N1967" s="28" t="s">
        <v>2015</v>
      </c>
      <c r="O1967" s="28" t="s">
        <v>2016</v>
      </c>
      <c r="P1967" s="29">
        <v>0</v>
      </c>
      <c r="Q1967" s="28" t="s">
        <v>2017</v>
      </c>
      <c r="R1967" s="21"/>
      <c r="S1967" s="21"/>
      <c r="T1967" s="21"/>
      <c r="U1967" s="21"/>
      <c r="V1967" s="21"/>
      <c r="W1967" s="21"/>
      <c r="X1967" s="21"/>
    </row>
    <row r="1968" spans="1:24" ht="15.75" thickBot="1" x14ac:dyDescent="0.3">
      <c r="A1968" t="str">
        <f t="shared" si="30"/>
        <v>PCN2DV17B636ABWF00L</v>
      </c>
      <c r="B1968" s="22" t="s">
        <v>7707</v>
      </c>
      <c r="C1968" s="22" t="s">
        <v>7708</v>
      </c>
      <c r="D1968" s="22" t="s">
        <v>7709</v>
      </c>
      <c r="E1968" s="22" t="s">
        <v>7710</v>
      </c>
      <c r="F1968" s="22" t="s">
        <v>7706</v>
      </c>
      <c r="G1968" s="28" t="s">
        <v>5499</v>
      </c>
      <c r="H1968" s="22" t="s">
        <v>7692</v>
      </c>
      <c r="I1968" s="21"/>
      <c r="J1968" s="22" t="s">
        <v>364</v>
      </c>
      <c r="K1968" s="22" t="s">
        <v>262</v>
      </c>
      <c r="L1968" s="21"/>
      <c r="M1968" s="22" t="s">
        <v>2014</v>
      </c>
      <c r="N1968" s="28" t="s">
        <v>2015</v>
      </c>
      <c r="O1968" s="28" t="s">
        <v>2016</v>
      </c>
      <c r="P1968" s="29">
        <v>0</v>
      </c>
      <c r="Q1968" s="28" t="s">
        <v>2017</v>
      </c>
      <c r="R1968" s="21"/>
      <c r="S1968" s="21"/>
      <c r="T1968" s="21"/>
      <c r="U1968" s="21"/>
      <c r="V1968" s="21"/>
      <c r="W1968" s="21"/>
      <c r="X1968" s="21"/>
    </row>
    <row r="1969" spans="1:24" ht="15.75" thickBot="1" x14ac:dyDescent="0.3">
      <c r="A1969" t="str">
        <f t="shared" si="30"/>
        <v>PCP14017AAW00</v>
      </c>
      <c r="B1969" s="22" t="s">
        <v>7711</v>
      </c>
      <c r="C1969" s="22" t="s">
        <v>7712</v>
      </c>
      <c r="D1969" s="22" t="s">
        <v>7713</v>
      </c>
      <c r="E1969" s="21"/>
      <c r="F1969" s="22" t="s">
        <v>2030</v>
      </c>
      <c r="G1969" s="28" t="s">
        <v>2012</v>
      </c>
      <c r="H1969" s="22" t="s">
        <v>7714</v>
      </c>
      <c r="I1969" s="22" t="s">
        <v>7715</v>
      </c>
      <c r="J1969" s="22" t="s">
        <v>494</v>
      </c>
      <c r="K1969" s="22" t="s">
        <v>262</v>
      </c>
      <c r="L1969" s="22" t="s">
        <v>3312</v>
      </c>
      <c r="M1969" s="22" t="s">
        <v>2130</v>
      </c>
      <c r="N1969" s="28" t="s">
        <v>2494</v>
      </c>
      <c r="O1969" s="28" t="s">
        <v>2016</v>
      </c>
      <c r="P1969" s="29">
        <v>2637</v>
      </c>
      <c r="Q1969" s="28" t="s">
        <v>2017</v>
      </c>
      <c r="R1969" s="40">
        <v>16952.142857142899</v>
      </c>
      <c r="S1969" s="29">
        <v>10</v>
      </c>
      <c r="T1969" s="32">
        <v>0.155555555555</v>
      </c>
      <c r="U1969" s="32">
        <v>0</v>
      </c>
      <c r="V1969" s="40">
        <v>16952.142857142899</v>
      </c>
      <c r="W1969" s="30"/>
      <c r="X1969" s="30"/>
    </row>
    <row r="1970" spans="1:24" ht="15.75" thickBot="1" x14ac:dyDescent="0.3">
      <c r="A1970" t="str">
        <f t="shared" si="30"/>
        <v>PCP14017BAW00</v>
      </c>
      <c r="B1970" s="22" t="s">
        <v>7716</v>
      </c>
      <c r="C1970" s="22" t="s">
        <v>7717</v>
      </c>
      <c r="D1970" s="22" t="s">
        <v>7718</v>
      </c>
      <c r="E1970" s="21"/>
      <c r="F1970" s="22" t="s">
        <v>2030</v>
      </c>
      <c r="G1970" s="28" t="s">
        <v>2012</v>
      </c>
      <c r="H1970" s="22" t="s">
        <v>7714</v>
      </c>
      <c r="I1970" s="22" t="s">
        <v>7715</v>
      </c>
      <c r="J1970" s="22" t="s">
        <v>494</v>
      </c>
      <c r="K1970" s="22" t="s">
        <v>262</v>
      </c>
      <c r="L1970" s="22" t="s">
        <v>3312</v>
      </c>
      <c r="M1970" s="22" t="s">
        <v>2130</v>
      </c>
      <c r="N1970" s="28" t="s">
        <v>2494</v>
      </c>
      <c r="O1970" s="28" t="s">
        <v>2016</v>
      </c>
      <c r="P1970" s="29">
        <v>1012</v>
      </c>
      <c r="Q1970" s="28" t="s">
        <v>2017</v>
      </c>
      <c r="R1970" s="40">
        <v>1807.1428571428601</v>
      </c>
      <c r="S1970" s="29">
        <v>36</v>
      </c>
      <c r="T1970" s="32">
        <v>0.56000000000000005</v>
      </c>
      <c r="U1970" s="32">
        <v>0</v>
      </c>
      <c r="V1970" s="40">
        <v>1807.1428571428601</v>
      </c>
      <c r="W1970" s="30"/>
      <c r="X1970" s="30"/>
    </row>
    <row r="1971" spans="1:24" ht="15.75" thickBot="1" x14ac:dyDescent="0.3">
      <c r="A1971" t="str">
        <f t="shared" si="30"/>
        <v>PCP14540K</v>
      </c>
      <c r="B1971" s="22" t="s">
        <v>7719</v>
      </c>
      <c r="C1971" s="21"/>
      <c r="D1971" s="22" t="s">
        <v>7720</v>
      </c>
      <c r="E1971" s="21"/>
      <c r="F1971" s="22" t="s">
        <v>2030</v>
      </c>
      <c r="G1971" s="28" t="s">
        <v>2012</v>
      </c>
      <c r="H1971" s="22" t="s">
        <v>3310</v>
      </c>
      <c r="I1971" s="22" t="s">
        <v>3311</v>
      </c>
      <c r="J1971" s="22" t="s">
        <v>261</v>
      </c>
      <c r="K1971" s="22" t="s">
        <v>262</v>
      </c>
      <c r="L1971" s="22" t="s">
        <v>3312</v>
      </c>
      <c r="M1971" s="22" t="s">
        <v>2130</v>
      </c>
      <c r="N1971" s="28" t="s">
        <v>2494</v>
      </c>
      <c r="O1971" s="28" t="s">
        <v>2016</v>
      </c>
      <c r="P1971" s="29">
        <v>0</v>
      </c>
      <c r="Q1971" s="28" t="s">
        <v>2017</v>
      </c>
      <c r="R1971" s="21"/>
      <c r="S1971" s="21"/>
      <c r="T1971" s="21"/>
      <c r="U1971" s="21"/>
      <c r="V1971" s="21"/>
      <c r="W1971" s="21"/>
      <c r="X1971" s="21"/>
    </row>
    <row r="1972" spans="1:24" ht="15.75" thickBot="1" x14ac:dyDescent="0.3">
      <c r="A1972" t="str">
        <f t="shared" si="30"/>
        <v>PCP14540R</v>
      </c>
      <c r="B1972" s="22" t="s">
        <v>7721</v>
      </c>
      <c r="C1972" s="21"/>
      <c r="D1972" s="22" t="s">
        <v>7722</v>
      </c>
      <c r="E1972" s="21"/>
      <c r="F1972" s="22" t="s">
        <v>2030</v>
      </c>
      <c r="G1972" s="28" t="s">
        <v>5499</v>
      </c>
      <c r="H1972" s="22" t="s">
        <v>3310</v>
      </c>
      <c r="I1972" s="22" t="s">
        <v>3311</v>
      </c>
      <c r="J1972" s="22" t="s">
        <v>261</v>
      </c>
      <c r="K1972" s="22" t="s">
        <v>262</v>
      </c>
      <c r="L1972" s="22" t="s">
        <v>3312</v>
      </c>
      <c r="M1972" s="22" t="s">
        <v>2130</v>
      </c>
      <c r="N1972" s="28" t="s">
        <v>2494</v>
      </c>
      <c r="O1972" s="28" t="s">
        <v>2016</v>
      </c>
      <c r="P1972" s="29">
        <v>50</v>
      </c>
      <c r="Q1972" s="28" t="s">
        <v>2017</v>
      </c>
      <c r="R1972" s="21"/>
      <c r="S1972" s="21"/>
      <c r="T1972" s="21"/>
      <c r="U1972" s="21"/>
      <c r="V1972" s="21"/>
      <c r="W1972" s="21"/>
      <c r="X1972" s="21"/>
    </row>
    <row r="1973" spans="1:24" ht="15.75" thickBot="1" x14ac:dyDescent="0.3">
      <c r="A1973" t="str">
        <f t="shared" si="30"/>
        <v>PCP14E072AA00</v>
      </c>
      <c r="B1973" s="22" t="s">
        <v>7723</v>
      </c>
      <c r="C1973" s="22" t="s">
        <v>7724</v>
      </c>
      <c r="D1973" s="22" t="s">
        <v>7725</v>
      </c>
      <c r="E1973" s="21"/>
      <c r="F1973" s="22" t="s">
        <v>2030</v>
      </c>
      <c r="G1973" s="28" t="s">
        <v>2012</v>
      </c>
      <c r="H1973" s="22" t="s">
        <v>7726</v>
      </c>
      <c r="I1973" s="22" t="s">
        <v>7727</v>
      </c>
      <c r="J1973" s="22" t="s">
        <v>494</v>
      </c>
      <c r="K1973" s="22" t="s">
        <v>262</v>
      </c>
      <c r="L1973" s="22" t="s">
        <v>4790</v>
      </c>
      <c r="M1973" s="22" t="s">
        <v>2130</v>
      </c>
      <c r="N1973" s="28" t="s">
        <v>2494</v>
      </c>
      <c r="O1973" s="28" t="s">
        <v>2016</v>
      </c>
      <c r="P1973" s="29">
        <v>4698</v>
      </c>
      <c r="Q1973" s="28" t="s">
        <v>2017</v>
      </c>
      <c r="R1973" s="40">
        <v>100671.428571429</v>
      </c>
      <c r="S1973" s="29">
        <v>3</v>
      </c>
      <c r="T1973" s="32">
        <v>4.6666666666000001E-2</v>
      </c>
      <c r="U1973" s="32">
        <v>0</v>
      </c>
      <c r="V1973" s="40">
        <v>100671.428571429</v>
      </c>
      <c r="W1973" s="30"/>
      <c r="X1973" s="30"/>
    </row>
    <row r="1974" spans="1:24" ht="15.75" thickBot="1" x14ac:dyDescent="0.3">
      <c r="A1974" t="str">
        <f t="shared" si="30"/>
        <v>PCP14E072ED</v>
      </c>
      <c r="B1974" s="22" t="s">
        <v>7728</v>
      </c>
      <c r="C1974" s="22" t="s">
        <v>7729</v>
      </c>
      <c r="D1974" s="22" t="s">
        <v>7730</v>
      </c>
      <c r="E1974" s="21"/>
      <c r="F1974" s="22" t="s">
        <v>2030</v>
      </c>
      <c r="G1974" s="28" t="s">
        <v>2012</v>
      </c>
      <c r="H1974" s="22" t="s">
        <v>4788</v>
      </c>
      <c r="I1974" s="22" t="s">
        <v>4789</v>
      </c>
      <c r="J1974" s="22" t="s">
        <v>261</v>
      </c>
      <c r="K1974" s="22" t="s">
        <v>262</v>
      </c>
      <c r="L1974" s="22" t="s">
        <v>4790</v>
      </c>
      <c r="M1974" s="22" t="s">
        <v>2130</v>
      </c>
      <c r="N1974" s="28" t="s">
        <v>2494</v>
      </c>
      <c r="O1974" s="28" t="s">
        <v>2016</v>
      </c>
      <c r="P1974" s="29">
        <v>0</v>
      </c>
      <c r="Q1974" s="28" t="s">
        <v>2017</v>
      </c>
      <c r="R1974" s="21"/>
      <c r="S1974" s="21"/>
      <c r="T1974" s="21"/>
      <c r="U1974" s="21"/>
      <c r="V1974" s="21"/>
      <c r="W1974" s="21"/>
      <c r="X1974" s="21"/>
    </row>
    <row r="1975" spans="1:24" ht="15.75" thickBot="1" x14ac:dyDescent="0.3">
      <c r="A1975" t="str">
        <f t="shared" si="30"/>
        <v>PCP14E073AA00</v>
      </c>
      <c r="B1975" s="22" t="s">
        <v>7731</v>
      </c>
      <c r="C1975" s="22" t="s">
        <v>7732</v>
      </c>
      <c r="D1975" s="22" t="s">
        <v>7733</v>
      </c>
      <c r="E1975" s="21"/>
      <c r="F1975" s="22" t="s">
        <v>2030</v>
      </c>
      <c r="G1975" s="28" t="s">
        <v>2012</v>
      </c>
      <c r="H1975" s="22" t="s">
        <v>7726</v>
      </c>
      <c r="I1975" s="22" t="s">
        <v>7727</v>
      </c>
      <c r="J1975" s="22" t="s">
        <v>494</v>
      </c>
      <c r="K1975" s="22" t="s">
        <v>262</v>
      </c>
      <c r="L1975" s="22" t="s">
        <v>4790</v>
      </c>
      <c r="M1975" s="22" t="s">
        <v>2130</v>
      </c>
      <c r="N1975" s="28" t="s">
        <v>2494</v>
      </c>
      <c r="O1975" s="28" t="s">
        <v>2016</v>
      </c>
      <c r="P1975" s="29">
        <v>2396</v>
      </c>
      <c r="Q1975" s="28" t="s">
        <v>2017</v>
      </c>
      <c r="R1975" s="40">
        <v>15402.857142857099</v>
      </c>
      <c r="S1975" s="29">
        <v>10</v>
      </c>
      <c r="T1975" s="32">
        <v>0.155555555555</v>
      </c>
      <c r="U1975" s="32">
        <v>0</v>
      </c>
      <c r="V1975" s="40">
        <v>15402.857142857099</v>
      </c>
      <c r="W1975" s="30"/>
      <c r="X1975" s="30"/>
    </row>
    <row r="1976" spans="1:24" ht="15.75" thickBot="1" x14ac:dyDescent="0.3">
      <c r="A1976" t="str">
        <f t="shared" si="30"/>
        <v>PCP14E073AE</v>
      </c>
      <c r="B1976" s="22" t="s">
        <v>7734</v>
      </c>
      <c r="C1976" s="22" t="s">
        <v>7735</v>
      </c>
      <c r="D1976" s="22" t="s">
        <v>7736</v>
      </c>
      <c r="E1976" s="21"/>
      <c r="F1976" s="22" t="s">
        <v>2030</v>
      </c>
      <c r="G1976" s="28" t="s">
        <v>2012</v>
      </c>
      <c r="H1976" s="22" t="s">
        <v>4788</v>
      </c>
      <c r="I1976" s="22" t="s">
        <v>4789</v>
      </c>
      <c r="J1976" s="22" t="s">
        <v>261</v>
      </c>
      <c r="K1976" s="22" t="s">
        <v>262</v>
      </c>
      <c r="L1976" s="22" t="s">
        <v>4790</v>
      </c>
      <c r="M1976" s="22" t="s">
        <v>2130</v>
      </c>
      <c r="N1976" s="28" t="s">
        <v>2494</v>
      </c>
      <c r="O1976" s="28" t="s">
        <v>2016</v>
      </c>
      <c r="P1976" s="29">
        <v>52</v>
      </c>
      <c r="Q1976" s="28" t="s">
        <v>2017</v>
      </c>
      <c r="R1976" s="21"/>
      <c r="S1976" s="21"/>
      <c r="T1976" s="21"/>
      <c r="U1976" s="21"/>
      <c r="V1976" s="21"/>
      <c r="W1976" s="21"/>
      <c r="X1976" s="21"/>
    </row>
    <row r="1977" spans="1:24" ht="15.75" thickBot="1" x14ac:dyDescent="0.3">
      <c r="A1977" t="str">
        <f t="shared" si="30"/>
        <v>PCP14E073ED</v>
      </c>
      <c r="B1977" s="22" t="s">
        <v>7737</v>
      </c>
      <c r="C1977" s="22" t="s">
        <v>7738</v>
      </c>
      <c r="D1977" s="22" t="s">
        <v>7739</v>
      </c>
      <c r="E1977" s="21"/>
      <c r="F1977" s="22" t="s">
        <v>2030</v>
      </c>
      <c r="G1977" s="28" t="s">
        <v>5499</v>
      </c>
      <c r="H1977" s="22" t="s">
        <v>4788</v>
      </c>
      <c r="I1977" s="22" t="s">
        <v>4789</v>
      </c>
      <c r="J1977" s="22" t="s">
        <v>261</v>
      </c>
      <c r="K1977" s="22" t="s">
        <v>262</v>
      </c>
      <c r="L1977" s="22" t="s">
        <v>4790</v>
      </c>
      <c r="M1977" s="22" t="s">
        <v>2130</v>
      </c>
      <c r="N1977" s="28" t="s">
        <v>2494</v>
      </c>
      <c r="O1977" s="28" t="s">
        <v>2016</v>
      </c>
      <c r="P1977" s="29">
        <v>0</v>
      </c>
      <c r="Q1977" s="28" t="s">
        <v>2017</v>
      </c>
      <c r="R1977" s="21"/>
      <c r="S1977" s="21"/>
      <c r="T1977" s="21"/>
      <c r="U1977" s="21"/>
      <c r="V1977" s="21"/>
      <c r="W1977" s="21"/>
      <c r="X1977" s="21"/>
    </row>
    <row r="1978" spans="1:24" ht="15.75" thickBot="1" x14ac:dyDescent="0.3">
      <c r="A1978" t="str">
        <f t="shared" si="30"/>
        <v>PCP15K859CAW</v>
      </c>
      <c r="B1978" s="22" t="s">
        <v>7740</v>
      </c>
      <c r="C1978" s="22" t="s">
        <v>7741</v>
      </c>
      <c r="D1978" s="22" t="s">
        <v>7742</v>
      </c>
      <c r="E1978" s="21"/>
      <c r="F1978" s="22" t="s">
        <v>2030</v>
      </c>
      <c r="G1978" s="28" t="s">
        <v>2012</v>
      </c>
      <c r="H1978" s="22" t="s">
        <v>4309</v>
      </c>
      <c r="I1978" s="22" t="s">
        <v>4310</v>
      </c>
      <c r="J1978" s="22" t="s">
        <v>364</v>
      </c>
      <c r="K1978" s="22" t="s">
        <v>262</v>
      </c>
      <c r="L1978" s="22" t="s">
        <v>4311</v>
      </c>
      <c r="M1978" s="22" t="s">
        <v>2830</v>
      </c>
      <c r="N1978" s="28" t="s">
        <v>2494</v>
      </c>
      <c r="O1978" s="28" t="s">
        <v>2016</v>
      </c>
      <c r="P1978" s="29">
        <v>1764</v>
      </c>
      <c r="Q1978" s="28" t="s">
        <v>2017</v>
      </c>
      <c r="R1978" s="40">
        <v>2835</v>
      </c>
      <c r="S1978" s="29">
        <v>40</v>
      </c>
      <c r="T1978" s="32">
        <v>0.62222222222199997</v>
      </c>
      <c r="U1978" s="32">
        <v>0</v>
      </c>
      <c r="V1978" s="40">
        <v>2835</v>
      </c>
      <c r="W1978" s="30"/>
      <c r="X1978" s="30"/>
    </row>
    <row r="1979" spans="1:24" ht="15.75" thickBot="1" x14ac:dyDescent="0.3">
      <c r="A1979" t="str">
        <f t="shared" si="30"/>
        <v>PCP17A386KIT00</v>
      </c>
      <c r="B1979" s="22" t="s">
        <v>7743</v>
      </c>
      <c r="C1979" s="21"/>
      <c r="D1979" s="22" t="s">
        <v>7744</v>
      </c>
      <c r="E1979" s="21"/>
      <c r="F1979" s="22" t="s">
        <v>2030</v>
      </c>
      <c r="G1979" s="28" t="s">
        <v>2012</v>
      </c>
      <c r="H1979" s="22" t="s">
        <v>7745</v>
      </c>
      <c r="I1979" s="22" t="s">
        <v>7746</v>
      </c>
      <c r="J1979" s="22" t="s">
        <v>494</v>
      </c>
      <c r="K1979" s="22" t="s">
        <v>262</v>
      </c>
      <c r="L1979" s="22" t="s">
        <v>3318</v>
      </c>
      <c r="M1979" s="22" t="s">
        <v>2130</v>
      </c>
      <c r="N1979" s="28" t="s">
        <v>2494</v>
      </c>
      <c r="O1979" s="28" t="s">
        <v>2016</v>
      </c>
      <c r="P1979" s="29">
        <v>1050</v>
      </c>
      <c r="Q1979" s="28" t="s">
        <v>2017</v>
      </c>
      <c r="R1979" s="21"/>
      <c r="S1979" s="21"/>
      <c r="T1979" s="21"/>
      <c r="U1979" s="21"/>
      <c r="V1979" s="21"/>
      <c r="W1979" s="21"/>
      <c r="X1979" s="21"/>
    </row>
    <row r="1980" spans="1:24" ht="15.75" thickBot="1" x14ac:dyDescent="0.3">
      <c r="A1980" t="str">
        <f t="shared" si="30"/>
        <v>PCP17A386RB00</v>
      </c>
      <c r="B1980" s="22" t="s">
        <v>7747</v>
      </c>
      <c r="C1980" s="21"/>
      <c r="D1980" s="22" t="s">
        <v>7748</v>
      </c>
      <c r="E1980" s="21"/>
      <c r="F1980" s="22" t="s">
        <v>2030</v>
      </c>
      <c r="G1980" s="28" t="s">
        <v>2012</v>
      </c>
      <c r="H1980" s="22" t="s">
        <v>7749</v>
      </c>
      <c r="I1980" s="22" t="s">
        <v>7750</v>
      </c>
      <c r="J1980" s="22" t="s">
        <v>494</v>
      </c>
      <c r="K1980" s="22" t="s">
        <v>262</v>
      </c>
      <c r="L1980" s="22" t="s">
        <v>3318</v>
      </c>
      <c r="M1980" s="22" t="s">
        <v>2130</v>
      </c>
      <c r="N1980" s="28" t="s">
        <v>2494</v>
      </c>
      <c r="O1980" s="28" t="s">
        <v>2016</v>
      </c>
      <c r="P1980" s="29">
        <v>137792</v>
      </c>
      <c r="Q1980" s="28" t="s">
        <v>2017</v>
      </c>
      <c r="R1980" s="40">
        <v>2581.01898101898</v>
      </c>
      <c r="S1980" s="29">
        <v>3432</v>
      </c>
      <c r="T1980" s="32">
        <v>53.386666666666002</v>
      </c>
      <c r="U1980" s="32">
        <v>0</v>
      </c>
      <c r="V1980" s="40">
        <v>2581.01898101898</v>
      </c>
      <c r="W1980" s="30"/>
      <c r="X1980" s="30"/>
    </row>
    <row r="1981" spans="1:24" ht="15.75" thickBot="1" x14ac:dyDescent="0.3">
      <c r="A1981" t="str">
        <f t="shared" si="30"/>
        <v>PCP2102222AD</v>
      </c>
      <c r="B1981" s="22" t="s">
        <v>7751</v>
      </c>
      <c r="C1981" s="22" t="s">
        <v>7752</v>
      </c>
      <c r="D1981" s="22" t="s">
        <v>7753</v>
      </c>
      <c r="E1981" s="21"/>
      <c r="F1981" s="22" t="s">
        <v>2030</v>
      </c>
      <c r="G1981" s="28" t="s">
        <v>2012</v>
      </c>
      <c r="H1981" s="22" t="s">
        <v>3856</v>
      </c>
      <c r="I1981" s="22" t="s">
        <v>3857</v>
      </c>
      <c r="J1981" s="22" t="s">
        <v>494</v>
      </c>
      <c r="K1981" s="22" t="s">
        <v>262</v>
      </c>
      <c r="L1981" s="22" t="s">
        <v>3858</v>
      </c>
      <c r="M1981" s="22" t="s">
        <v>2130</v>
      </c>
      <c r="N1981" s="28" t="s">
        <v>2494</v>
      </c>
      <c r="O1981" s="28" t="s">
        <v>2016</v>
      </c>
      <c r="P1981" s="29">
        <v>34000</v>
      </c>
      <c r="Q1981" s="28" t="s">
        <v>2017</v>
      </c>
      <c r="R1981" s="21"/>
      <c r="S1981" s="21"/>
      <c r="T1981" s="21"/>
      <c r="U1981" s="21"/>
      <c r="V1981" s="21"/>
      <c r="W1981" s="21"/>
      <c r="X1981" s="21"/>
    </row>
    <row r="1982" spans="1:24" ht="15.75" thickBot="1" x14ac:dyDescent="0.3">
      <c r="A1982" t="str">
        <f t="shared" si="30"/>
        <v>PCP2102222APIA01</v>
      </c>
      <c r="B1982" s="22" t="s">
        <v>7754</v>
      </c>
      <c r="C1982" s="22" t="s">
        <v>7752</v>
      </c>
      <c r="D1982" s="22" t="s">
        <v>7755</v>
      </c>
      <c r="E1982" s="21"/>
      <c r="F1982" s="22" t="s">
        <v>2030</v>
      </c>
      <c r="G1982" s="28" t="s">
        <v>2012</v>
      </c>
      <c r="H1982" s="22" t="s">
        <v>3856</v>
      </c>
      <c r="I1982" s="22" t="s">
        <v>3857</v>
      </c>
      <c r="J1982" s="22" t="s">
        <v>494</v>
      </c>
      <c r="K1982" s="22" t="s">
        <v>262</v>
      </c>
      <c r="L1982" s="22" t="s">
        <v>3858</v>
      </c>
      <c r="M1982" s="22" t="s">
        <v>2130</v>
      </c>
      <c r="N1982" s="28" t="s">
        <v>2494</v>
      </c>
      <c r="O1982" s="28" t="s">
        <v>2016</v>
      </c>
      <c r="P1982" s="29">
        <v>6741</v>
      </c>
      <c r="Q1982" s="28" t="s">
        <v>2017</v>
      </c>
      <c r="R1982" s="21"/>
      <c r="S1982" s="21"/>
      <c r="T1982" s="21"/>
      <c r="U1982" s="21"/>
      <c r="V1982" s="21"/>
      <c r="W1982" s="21"/>
      <c r="X1982" s="21"/>
    </row>
    <row r="1983" spans="1:24" ht="15.75" thickBot="1" x14ac:dyDescent="0.3">
      <c r="A1983" t="str">
        <f t="shared" si="30"/>
        <v>PCP2102222APIA02</v>
      </c>
      <c r="B1983" s="22" t="s">
        <v>7756</v>
      </c>
      <c r="C1983" s="22" t="s">
        <v>7757</v>
      </c>
      <c r="D1983" s="22" t="s">
        <v>7758</v>
      </c>
      <c r="E1983" s="21"/>
      <c r="F1983" s="22" t="s">
        <v>2030</v>
      </c>
      <c r="G1983" s="28" t="s">
        <v>2012</v>
      </c>
      <c r="H1983" s="22" t="s">
        <v>3856</v>
      </c>
      <c r="I1983" s="22" t="s">
        <v>3857</v>
      </c>
      <c r="J1983" s="22" t="s">
        <v>494</v>
      </c>
      <c r="K1983" s="22" t="s">
        <v>262</v>
      </c>
      <c r="L1983" s="22" t="s">
        <v>3858</v>
      </c>
      <c r="M1983" s="22" t="s">
        <v>2130</v>
      </c>
      <c r="N1983" s="28" t="s">
        <v>2494</v>
      </c>
      <c r="O1983" s="28" t="s">
        <v>2016</v>
      </c>
      <c r="P1983" s="29">
        <v>3165</v>
      </c>
      <c r="Q1983" s="28" t="s">
        <v>2017</v>
      </c>
      <c r="R1983" s="21"/>
      <c r="S1983" s="21"/>
      <c r="T1983" s="21"/>
      <c r="U1983" s="21"/>
      <c r="V1983" s="21"/>
      <c r="W1983" s="21"/>
      <c r="X1983" s="21"/>
    </row>
    <row r="1984" spans="1:24" ht="15.75" thickBot="1" x14ac:dyDescent="0.3">
      <c r="A1984" t="str">
        <f t="shared" si="30"/>
        <v>PCP2103512ANVH01</v>
      </c>
      <c r="B1984" s="22" t="s">
        <v>7759</v>
      </c>
      <c r="C1984" s="22" t="s">
        <v>7760</v>
      </c>
      <c r="D1984" s="22" t="s">
        <v>7761</v>
      </c>
      <c r="E1984" s="21"/>
      <c r="F1984" s="22" t="s">
        <v>2030</v>
      </c>
      <c r="G1984" s="28" t="s">
        <v>2012</v>
      </c>
      <c r="H1984" s="22" t="s">
        <v>3856</v>
      </c>
      <c r="I1984" s="22" t="s">
        <v>3857</v>
      </c>
      <c r="J1984" s="22" t="s">
        <v>494</v>
      </c>
      <c r="K1984" s="22" t="s">
        <v>262</v>
      </c>
      <c r="L1984" s="22" t="s">
        <v>3858</v>
      </c>
      <c r="M1984" s="22" t="s">
        <v>2130</v>
      </c>
      <c r="N1984" s="28" t="s">
        <v>2494</v>
      </c>
      <c r="O1984" s="28" t="s">
        <v>2016</v>
      </c>
      <c r="P1984" s="29">
        <v>2000</v>
      </c>
      <c r="Q1984" s="28" t="s">
        <v>2017</v>
      </c>
      <c r="R1984" s="21"/>
      <c r="S1984" s="21"/>
      <c r="T1984" s="21"/>
      <c r="U1984" s="21"/>
      <c r="V1984" s="21"/>
      <c r="W1984" s="21"/>
      <c r="X1984" s="21"/>
    </row>
    <row r="1985" spans="1:24" ht="15.75" thickBot="1" x14ac:dyDescent="0.3">
      <c r="A1985" t="str">
        <f t="shared" si="30"/>
        <v>PCP2103512APIA04</v>
      </c>
      <c r="B1985" s="22" t="s">
        <v>7762</v>
      </c>
      <c r="C1985" s="22" t="s">
        <v>7763</v>
      </c>
      <c r="D1985" s="22" t="s">
        <v>7764</v>
      </c>
      <c r="E1985" s="21"/>
      <c r="F1985" s="22" t="s">
        <v>2030</v>
      </c>
      <c r="G1985" s="28" t="s">
        <v>2012</v>
      </c>
      <c r="H1985" s="22" t="s">
        <v>3856</v>
      </c>
      <c r="I1985" s="22" t="s">
        <v>3857</v>
      </c>
      <c r="J1985" s="22" t="s">
        <v>494</v>
      </c>
      <c r="K1985" s="22" t="s">
        <v>262</v>
      </c>
      <c r="L1985" s="22" t="s">
        <v>3858</v>
      </c>
      <c r="M1985" s="22" t="s">
        <v>2130</v>
      </c>
      <c r="N1985" s="28" t="s">
        <v>2494</v>
      </c>
      <c r="O1985" s="28" t="s">
        <v>2016</v>
      </c>
      <c r="P1985" s="29">
        <v>1041902</v>
      </c>
      <c r="Q1985" s="28" t="s">
        <v>2017</v>
      </c>
      <c r="R1985" s="40">
        <v>4173.4322565713901</v>
      </c>
      <c r="S1985" s="29">
        <v>16049</v>
      </c>
      <c r="T1985" s="32">
        <v>249.65111111111099</v>
      </c>
      <c r="U1985" s="32">
        <v>0</v>
      </c>
      <c r="V1985" s="40">
        <v>4173.4322565713901</v>
      </c>
      <c r="W1985" s="30"/>
      <c r="X1985" s="30"/>
    </row>
    <row r="1986" spans="1:24" ht="15.75" thickBot="1" x14ac:dyDescent="0.3">
      <c r="A1986" t="str">
        <f t="shared" si="30"/>
        <v>PCP2103512BNVH01</v>
      </c>
      <c r="B1986" s="22" t="s">
        <v>7765</v>
      </c>
      <c r="C1986" s="22" t="s">
        <v>7766</v>
      </c>
      <c r="D1986" s="22" t="s">
        <v>7767</v>
      </c>
      <c r="E1986" s="21"/>
      <c r="F1986" s="22" t="s">
        <v>2030</v>
      </c>
      <c r="G1986" s="28" t="s">
        <v>2012</v>
      </c>
      <c r="H1986" s="22" t="s">
        <v>3856</v>
      </c>
      <c r="I1986" s="22" t="s">
        <v>3857</v>
      </c>
      <c r="J1986" s="22" t="s">
        <v>494</v>
      </c>
      <c r="K1986" s="22" t="s">
        <v>262</v>
      </c>
      <c r="L1986" s="22" t="s">
        <v>3858</v>
      </c>
      <c r="M1986" s="22" t="s">
        <v>2130</v>
      </c>
      <c r="N1986" s="28" t="s">
        <v>2494</v>
      </c>
      <c r="O1986" s="28" t="s">
        <v>2016</v>
      </c>
      <c r="P1986" s="29">
        <v>7080</v>
      </c>
      <c r="Q1986" s="28" t="s">
        <v>2017</v>
      </c>
      <c r="R1986" s="21"/>
      <c r="S1986" s="21"/>
      <c r="T1986" s="21"/>
      <c r="U1986" s="21"/>
      <c r="V1986" s="21"/>
      <c r="W1986" s="21"/>
      <c r="X1986" s="21"/>
    </row>
    <row r="1987" spans="1:24" ht="15.75" thickBot="1" x14ac:dyDescent="0.3">
      <c r="A1987" t="str">
        <f t="shared" si="30"/>
        <v>PCP2103513BNVH01</v>
      </c>
      <c r="B1987" s="22" t="s">
        <v>7768</v>
      </c>
      <c r="C1987" s="22" t="s">
        <v>7769</v>
      </c>
      <c r="D1987" s="22" t="s">
        <v>7770</v>
      </c>
      <c r="E1987" s="21"/>
      <c r="F1987" s="22" t="s">
        <v>2030</v>
      </c>
      <c r="G1987" s="28" t="s">
        <v>2012</v>
      </c>
      <c r="H1987" s="22" t="s">
        <v>3856</v>
      </c>
      <c r="I1987" s="22" t="s">
        <v>3857</v>
      </c>
      <c r="J1987" s="22" t="s">
        <v>494</v>
      </c>
      <c r="K1987" s="22" t="s">
        <v>262</v>
      </c>
      <c r="L1987" s="22" t="s">
        <v>3858</v>
      </c>
      <c r="M1987" s="22" t="s">
        <v>2130</v>
      </c>
      <c r="N1987" s="28" t="s">
        <v>2494</v>
      </c>
      <c r="O1987" s="28" t="s">
        <v>2016</v>
      </c>
      <c r="P1987" s="29">
        <v>1703</v>
      </c>
      <c r="Q1987" s="28" t="s">
        <v>2017</v>
      </c>
      <c r="R1987" s="21"/>
      <c r="S1987" s="21"/>
      <c r="T1987" s="21"/>
      <c r="U1987" s="21"/>
      <c r="V1987" s="21"/>
      <c r="W1987" s="21"/>
      <c r="X1987" s="21"/>
    </row>
    <row r="1988" spans="1:24" ht="15.75" thickBot="1" x14ac:dyDescent="0.3">
      <c r="A1988" t="str">
        <f t="shared" si="30"/>
        <v>PCP2113244APIA02</v>
      </c>
      <c r="B1988" s="22" t="s">
        <v>7771</v>
      </c>
      <c r="C1988" s="22" t="s">
        <v>7772</v>
      </c>
      <c r="D1988" s="22" t="s">
        <v>7773</v>
      </c>
      <c r="E1988" s="22" t="s">
        <v>2833</v>
      </c>
      <c r="F1988" s="22" t="s">
        <v>7774</v>
      </c>
      <c r="G1988" s="28" t="s">
        <v>2012</v>
      </c>
      <c r="H1988" s="22" t="s">
        <v>3856</v>
      </c>
      <c r="I1988" s="22" t="s">
        <v>3857</v>
      </c>
      <c r="J1988" s="22" t="s">
        <v>494</v>
      </c>
      <c r="K1988" s="22" t="s">
        <v>262</v>
      </c>
      <c r="L1988" s="22" t="s">
        <v>3858</v>
      </c>
      <c r="M1988" s="22" t="s">
        <v>2130</v>
      </c>
      <c r="N1988" s="28" t="s">
        <v>2494</v>
      </c>
      <c r="O1988" s="28" t="s">
        <v>2016</v>
      </c>
      <c r="P1988" s="29">
        <v>26202</v>
      </c>
      <c r="Q1988" s="28" t="s">
        <v>2017</v>
      </c>
      <c r="R1988" s="21"/>
      <c r="S1988" s="21"/>
      <c r="T1988" s="21"/>
      <c r="U1988" s="21"/>
      <c r="V1988" s="21"/>
      <c r="W1988" s="21"/>
      <c r="X1988" s="21"/>
    </row>
    <row r="1989" spans="1:24" ht="15.75" thickBot="1" x14ac:dyDescent="0.3">
      <c r="A1989" t="str">
        <f t="shared" ref="A1989:A2052" si="31">TRIM(B1989)</f>
        <v>PCP21226B07AA3JA6</v>
      </c>
      <c r="B1989" s="22" t="s">
        <v>7775</v>
      </c>
      <c r="C1989" s="22" t="s">
        <v>7776</v>
      </c>
      <c r="D1989" s="22" t="s">
        <v>7777</v>
      </c>
      <c r="E1989" s="22" t="s">
        <v>7617</v>
      </c>
      <c r="F1989" s="22" t="s">
        <v>2030</v>
      </c>
      <c r="G1989" s="28" t="s">
        <v>2012</v>
      </c>
      <c r="H1989" s="22" t="s">
        <v>3897</v>
      </c>
      <c r="I1989" s="22" t="s">
        <v>3898</v>
      </c>
      <c r="J1989" s="22" t="s">
        <v>494</v>
      </c>
      <c r="K1989" s="22" t="s">
        <v>262</v>
      </c>
      <c r="L1989" s="22" t="s">
        <v>3858</v>
      </c>
      <c r="M1989" s="22" t="s">
        <v>2130</v>
      </c>
      <c r="N1989" s="28" t="s">
        <v>2494</v>
      </c>
      <c r="O1989" s="28" t="s">
        <v>2016</v>
      </c>
      <c r="P1989" s="29">
        <v>2772</v>
      </c>
      <c r="Q1989" s="28" t="s">
        <v>2017</v>
      </c>
      <c r="R1989" s="21"/>
      <c r="S1989" s="21"/>
      <c r="T1989" s="21"/>
      <c r="U1989" s="21"/>
      <c r="V1989" s="21"/>
      <c r="W1989" s="21"/>
      <c r="X1989" s="21"/>
    </row>
    <row r="1990" spans="1:24" ht="15.75" thickBot="1" x14ac:dyDescent="0.3">
      <c r="A1990" t="str">
        <f t="shared" si="31"/>
        <v>PCP2123942NVH00</v>
      </c>
      <c r="B1990" s="22" t="s">
        <v>7778</v>
      </c>
      <c r="C1990" s="22" t="s">
        <v>7779</v>
      </c>
      <c r="D1990" s="22" t="s">
        <v>7780</v>
      </c>
      <c r="E1990" s="21"/>
      <c r="F1990" s="22" t="s">
        <v>2030</v>
      </c>
      <c r="G1990" s="28" t="s">
        <v>2012</v>
      </c>
      <c r="H1990" s="22" t="s">
        <v>3856</v>
      </c>
      <c r="I1990" s="22" t="s">
        <v>3857</v>
      </c>
      <c r="J1990" s="22" t="s">
        <v>494</v>
      </c>
      <c r="K1990" s="22" t="s">
        <v>262</v>
      </c>
      <c r="L1990" s="22" t="s">
        <v>3858</v>
      </c>
      <c r="M1990" s="22" t="s">
        <v>2130</v>
      </c>
      <c r="N1990" s="28" t="s">
        <v>2494</v>
      </c>
      <c r="O1990" s="28" t="s">
        <v>2016</v>
      </c>
      <c r="P1990" s="29">
        <v>1006</v>
      </c>
      <c r="Q1990" s="28" t="s">
        <v>2017</v>
      </c>
      <c r="R1990" s="40">
        <v>3403.75939849624</v>
      </c>
      <c r="S1990" s="29">
        <v>19</v>
      </c>
      <c r="T1990" s="32">
        <v>0.29555555555500002</v>
      </c>
      <c r="U1990" s="32">
        <v>0</v>
      </c>
      <c r="V1990" s="40">
        <v>3403.75939849624</v>
      </c>
      <c r="W1990" s="30"/>
      <c r="X1990" s="30"/>
    </row>
    <row r="1991" spans="1:24" ht="15.75" thickBot="1" x14ac:dyDescent="0.3">
      <c r="A1991" t="str">
        <f t="shared" si="31"/>
        <v>PCP2127406APIA03</v>
      </c>
      <c r="B1991" s="22" t="s">
        <v>7781</v>
      </c>
      <c r="C1991" s="22" t="s">
        <v>7782</v>
      </c>
      <c r="D1991" s="22" t="s">
        <v>7783</v>
      </c>
      <c r="E1991" s="21"/>
      <c r="F1991" s="22" t="s">
        <v>2030</v>
      </c>
      <c r="G1991" s="28" t="s">
        <v>2012</v>
      </c>
      <c r="H1991" s="22" t="s">
        <v>3856</v>
      </c>
      <c r="I1991" s="22" t="s">
        <v>3857</v>
      </c>
      <c r="J1991" s="22" t="s">
        <v>494</v>
      </c>
      <c r="K1991" s="22" t="s">
        <v>262</v>
      </c>
      <c r="L1991" s="22" t="s">
        <v>3858</v>
      </c>
      <c r="M1991" s="22" t="s">
        <v>2130</v>
      </c>
      <c r="N1991" s="28" t="s">
        <v>2494</v>
      </c>
      <c r="O1991" s="28" t="s">
        <v>2016</v>
      </c>
      <c r="P1991" s="29">
        <v>15291</v>
      </c>
      <c r="Q1991" s="28" t="s">
        <v>2017</v>
      </c>
      <c r="R1991" s="21"/>
      <c r="S1991" s="21"/>
      <c r="T1991" s="21"/>
      <c r="U1991" s="21"/>
      <c r="V1991" s="21"/>
      <c r="W1991" s="21"/>
      <c r="X1991" s="21"/>
    </row>
    <row r="1992" spans="1:24" ht="15.75" thickBot="1" x14ac:dyDescent="0.3">
      <c r="A1992" t="str">
        <f t="shared" si="31"/>
        <v>PCP2127406BAG00</v>
      </c>
      <c r="B1992" s="22" t="s">
        <v>7784</v>
      </c>
      <c r="C1992" s="21"/>
      <c r="D1992" s="22" t="s">
        <v>7785</v>
      </c>
      <c r="E1992" s="21"/>
      <c r="F1992" s="22" t="s">
        <v>2030</v>
      </c>
      <c r="G1992" s="28" t="s">
        <v>2012</v>
      </c>
      <c r="H1992" s="22" t="s">
        <v>3850</v>
      </c>
      <c r="I1992" s="22" t="s">
        <v>3851</v>
      </c>
      <c r="J1992" s="22" t="s">
        <v>494</v>
      </c>
      <c r="K1992" s="22" t="s">
        <v>262</v>
      </c>
      <c r="L1992" s="22" t="s">
        <v>3852</v>
      </c>
      <c r="M1992" s="22" t="s">
        <v>2130</v>
      </c>
      <c r="N1992" s="28" t="s">
        <v>2494</v>
      </c>
      <c r="O1992" s="28" t="s">
        <v>2016</v>
      </c>
      <c r="P1992" s="29">
        <v>0</v>
      </c>
      <c r="Q1992" s="28" t="s">
        <v>2017</v>
      </c>
      <c r="R1992" s="21"/>
      <c r="S1992" s="21"/>
      <c r="T1992" s="21"/>
      <c r="U1992" s="21"/>
      <c r="V1992" s="21"/>
      <c r="W1992" s="21"/>
      <c r="X1992" s="21"/>
    </row>
    <row r="1993" spans="1:24" ht="15.75" thickBot="1" x14ac:dyDescent="0.3">
      <c r="A1993" t="str">
        <f t="shared" si="31"/>
        <v>PCP2127406INR00</v>
      </c>
      <c r="B1993" s="22" t="s">
        <v>7786</v>
      </c>
      <c r="C1993" s="21"/>
      <c r="D1993" s="22" t="s">
        <v>7787</v>
      </c>
      <c r="E1993" s="21"/>
      <c r="F1993" s="22" t="s">
        <v>2030</v>
      </c>
      <c r="G1993" s="28" t="s">
        <v>2012</v>
      </c>
      <c r="H1993" s="22" t="s">
        <v>3866</v>
      </c>
      <c r="I1993" s="22" t="s">
        <v>3867</v>
      </c>
      <c r="J1993" s="22" t="s">
        <v>494</v>
      </c>
      <c r="K1993" s="22" t="s">
        <v>262</v>
      </c>
      <c r="L1993" s="22" t="s">
        <v>3868</v>
      </c>
      <c r="M1993" s="22" t="s">
        <v>2130</v>
      </c>
      <c r="N1993" s="28" t="s">
        <v>2494</v>
      </c>
      <c r="O1993" s="28" t="s">
        <v>2016</v>
      </c>
      <c r="P1993" s="29">
        <v>0</v>
      </c>
      <c r="Q1993" s="28" t="s">
        <v>2017</v>
      </c>
      <c r="R1993" s="21"/>
      <c r="S1993" s="21"/>
      <c r="T1993" s="21"/>
      <c r="U1993" s="21"/>
      <c r="V1993" s="21"/>
      <c r="W1993" s="21"/>
      <c r="X1993" s="21"/>
    </row>
    <row r="1994" spans="1:24" ht="15.75" thickBot="1" x14ac:dyDescent="0.3">
      <c r="A1994" t="str">
        <f t="shared" si="31"/>
        <v>PCP2131002ANVH00</v>
      </c>
      <c r="B1994" s="22" t="s">
        <v>7788</v>
      </c>
      <c r="C1994" s="22" t="s">
        <v>7789</v>
      </c>
      <c r="D1994" s="22" t="s">
        <v>7790</v>
      </c>
      <c r="E1994" s="21"/>
      <c r="F1994" s="22" t="s">
        <v>2030</v>
      </c>
      <c r="G1994" s="28" t="s">
        <v>5499</v>
      </c>
      <c r="H1994" s="22" t="s">
        <v>3856</v>
      </c>
      <c r="I1994" s="22" t="s">
        <v>3857</v>
      </c>
      <c r="J1994" s="22" t="s">
        <v>494</v>
      </c>
      <c r="K1994" s="22" t="s">
        <v>262</v>
      </c>
      <c r="L1994" s="22" t="s">
        <v>3858</v>
      </c>
      <c r="M1994" s="22" t="s">
        <v>2130</v>
      </c>
      <c r="N1994" s="28" t="s">
        <v>2494</v>
      </c>
      <c r="O1994" s="28" t="s">
        <v>2016</v>
      </c>
      <c r="P1994" s="29">
        <v>0</v>
      </c>
      <c r="Q1994" s="28" t="s">
        <v>2017</v>
      </c>
      <c r="R1994" s="21"/>
      <c r="S1994" s="21"/>
      <c r="T1994" s="21"/>
      <c r="U1994" s="21"/>
      <c r="V1994" s="21"/>
      <c r="W1994" s="21"/>
      <c r="X1994" s="21"/>
    </row>
    <row r="1995" spans="1:24" ht="15.75" thickBot="1" x14ac:dyDescent="0.3">
      <c r="A1995" t="str">
        <f t="shared" si="31"/>
        <v>PCP2131002BNVH00</v>
      </c>
      <c r="B1995" s="22" t="s">
        <v>7791</v>
      </c>
      <c r="C1995" s="22" t="s">
        <v>7792</v>
      </c>
      <c r="D1995" s="22" t="s">
        <v>7793</v>
      </c>
      <c r="E1995" s="21"/>
      <c r="F1995" s="22" t="s">
        <v>2030</v>
      </c>
      <c r="G1995" s="28" t="s">
        <v>2012</v>
      </c>
      <c r="H1995" s="22" t="s">
        <v>3856</v>
      </c>
      <c r="I1995" s="22" t="s">
        <v>3857</v>
      </c>
      <c r="J1995" s="22" t="s">
        <v>494</v>
      </c>
      <c r="K1995" s="22" t="s">
        <v>262</v>
      </c>
      <c r="L1995" s="22" t="s">
        <v>3858</v>
      </c>
      <c r="M1995" s="22" t="s">
        <v>2130</v>
      </c>
      <c r="N1995" s="28" t="s">
        <v>2494</v>
      </c>
      <c r="O1995" s="28" t="s">
        <v>2016</v>
      </c>
      <c r="P1995" s="29">
        <v>680</v>
      </c>
      <c r="Q1995" s="28" t="s">
        <v>2017</v>
      </c>
      <c r="R1995" s="21"/>
      <c r="S1995" s="21"/>
      <c r="T1995" s="21"/>
      <c r="U1995" s="21"/>
      <c r="V1995" s="21"/>
      <c r="W1995" s="21"/>
      <c r="X1995" s="21"/>
    </row>
    <row r="1996" spans="1:24" ht="15.75" thickBot="1" x14ac:dyDescent="0.3">
      <c r="A1996" t="str">
        <f t="shared" si="31"/>
        <v>PCP21403A86APIA02</v>
      </c>
      <c r="B1996" s="22" t="s">
        <v>7794</v>
      </c>
      <c r="C1996" s="22" t="s">
        <v>7795</v>
      </c>
      <c r="D1996" s="22" t="s">
        <v>7796</v>
      </c>
      <c r="E1996" s="21"/>
      <c r="F1996" s="22" t="s">
        <v>2030</v>
      </c>
      <c r="G1996" s="28" t="s">
        <v>2012</v>
      </c>
      <c r="H1996" s="22" t="s">
        <v>3856</v>
      </c>
      <c r="I1996" s="22" t="s">
        <v>3857</v>
      </c>
      <c r="J1996" s="22" t="s">
        <v>494</v>
      </c>
      <c r="K1996" s="22" t="s">
        <v>262</v>
      </c>
      <c r="L1996" s="22" t="s">
        <v>3858</v>
      </c>
      <c r="M1996" s="22" t="s">
        <v>2130</v>
      </c>
      <c r="N1996" s="28" t="s">
        <v>2494</v>
      </c>
      <c r="O1996" s="28" t="s">
        <v>2016</v>
      </c>
      <c r="P1996" s="29">
        <v>1000</v>
      </c>
      <c r="Q1996" s="28" t="s">
        <v>2017</v>
      </c>
      <c r="R1996" s="21"/>
      <c r="S1996" s="21"/>
      <c r="T1996" s="21"/>
      <c r="U1996" s="21"/>
      <c r="V1996" s="21"/>
      <c r="W1996" s="21"/>
      <c r="X1996" s="21"/>
    </row>
    <row r="1997" spans="1:24" ht="15.75" thickBot="1" x14ac:dyDescent="0.3">
      <c r="A1997" t="str">
        <f t="shared" si="31"/>
        <v>PCP21403A86BPIA02</v>
      </c>
      <c r="B1997" s="22" t="s">
        <v>7797</v>
      </c>
      <c r="C1997" s="22" t="s">
        <v>7798</v>
      </c>
      <c r="D1997" s="22" t="s">
        <v>7799</v>
      </c>
      <c r="E1997" s="21"/>
      <c r="F1997" s="22" t="s">
        <v>2030</v>
      </c>
      <c r="G1997" s="28" t="s">
        <v>2012</v>
      </c>
      <c r="H1997" s="22" t="s">
        <v>3856</v>
      </c>
      <c r="I1997" s="22" t="s">
        <v>3857</v>
      </c>
      <c r="J1997" s="22" t="s">
        <v>494</v>
      </c>
      <c r="K1997" s="22" t="s">
        <v>262</v>
      </c>
      <c r="L1997" s="22" t="s">
        <v>3858</v>
      </c>
      <c r="M1997" s="22" t="s">
        <v>2130</v>
      </c>
      <c r="N1997" s="28" t="s">
        <v>2494</v>
      </c>
      <c r="O1997" s="28" t="s">
        <v>2016</v>
      </c>
      <c r="P1997" s="29">
        <v>3780</v>
      </c>
      <c r="Q1997" s="28" t="s">
        <v>2017</v>
      </c>
      <c r="R1997" s="21"/>
      <c r="S1997" s="21"/>
      <c r="T1997" s="21"/>
      <c r="U1997" s="21"/>
      <c r="V1997" s="21"/>
      <c r="W1997" s="21"/>
      <c r="X1997" s="21"/>
    </row>
    <row r="1998" spans="1:24" ht="15.75" thickBot="1" x14ac:dyDescent="0.3">
      <c r="A1998" t="str">
        <f t="shared" si="31"/>
        <v>PCP2146141PIA01</v>
      </c>
      <c r="B1998" s="22" t="s">
        <v>7800</v>
      </c>
      <c r="C1998" s="22" t="s">
        <v>7801</v>
      </c>
      <c r="D1998" s="22" t="s">
        <v>7802</v>
      </c>
      <c r="E1998" s="21"/>
      <c r="F1998" s="22" t="s">
        <v>2030</v>
      </c>
      <c r="G1998" s="28" t="s">
        <v>2012</v>
      </c>
      <c r="H1998" s="22" t="s">
        <v>3866</v>
      </c>
      <c r="I1998" s="22" t="s">
        <v>3867</v>
      </c>
      <c r="J1998" s="22" t="s">
        <v>494</v>
      </c>
      <c r="K1998" s="22" t="s">
        <v>262</v>
      </c>
      <c r="L1998" s="22" t="s">
        <v>3868</v>
      </c>
      <c r="M1998" s="22" t="s">
        <v>2130</v>
      </c>
      <c r="N1998" s="28" t="s">
        <v>2494</v>
      </c>
      <c r="O1998" s="28" t="s">
        <v>2016</v>
      </c>
      <c r="P1998" s="29">
        <v>1680</v>
      </c>
      <c r="Q1998" s="28" t="s">
        <v>2017</v>
      </c>
      <c r="R1998" s="21"/>
      <c r="S1998" s="21"/>
      <c r="T1998" s="21"/>
      <c r="U1998" s="21"/>
      <c r="V1998" s="21"/>
      <c r="W1998" s="21"/>
      <c r="X1998" s="21"/>
    </row>
    <row r="1999" spans="1:24" ht="15.75" thickBot="1" x14ac:dyDescent="0.3">
      <c r="A1999" t="str">
        <f t="shared" si="31"/>
        <v>PCP2623942AR0100</v>
      </c>
      <c r="B1999" s="22" t="s">
        <v>7803</v>
      </c>
      <c r="C1999" s="21"/>
      <c r="D1999" s="22" t="s">
        <v>7804</v>
      </c>
      <c r="E1999" s="21"/>
      <c r="F1999" s="22" t="s">
        <v>2030</v>
      </c>
      <c r="G1999" s="28" t="s">
        <v>2012</v>
      </c>
      <c r="H1999" s="22" t="s">
        <v>5479</v>
      </c>
      <c r="I1999" s="22" t="s">
        <v>5480</v>
      </c>
      <c r="J1999" s="22" t="s">
        <v>494</v>
      </c>
      <c r="K1999" s="22" t="s">
        <v>262</v>
      </c>
      <c r="L1999" s="22" t="s">
        <v>3318</v>
      </c>
      <c r="M1999" s="22" t="s">
        <v>2130</v>
      </c>
      <c r="N1999" s="28" t="s">
        <v>2494</v>
      </c>
      <c r="O1999" s="28" t="s">
        <v>2016</v>
      </c>
      <c r="P1999" s="29">
        <v>3</v>
      </c>
      <c r="Q1999" s="28" t="s">
        <v>2017</v>
      </c>
      <c r="R1999" s="21"/>
      <c r="S1999" s="21"/>
      <c r="T1999" s="21"/>
      <c r="U1999" s="21"/>
      <c r="V1999" s="21"/>
      <c r="W1999" s="21"/>
      <c r="X1999" s="21"/>
    </row>
    <row r="2000" spans="1:24" ht="15.75" thickBot="1" x14ac:dyDescent="0.3">
      <c r="A2000" t="str">
        <f t="shared" si="31"/>
        <v>PCP2623942AR0102</v>
      </c>
      <c r="B2000" s="22" t="s">
        <v>7805</v>
      </c>
      <c r="C2000" s="21"/>
      <c r="D2000" s="22" t="s">
        <v>7804</v>
      </c>
      <c r="E2000" s="21"/>
      <c r="F2000" s="22" t="s">
        <v>2030</v>
      </c>
      <c r="G2000" s="28" t="s">
        <v>2012</v>
      </c>
      <c r="H2000" s="22" t="s">
        <v>5479</v>
      </c>
      <c r="I2000" s="22" t="s">
        <v>5480</v>
      </c>
      <c r="J2000" s="22" t="s">
        <v>494</v>
      </c>
      <c r="K2000" s="22" t="s">
        <v>262</v>
      </c>
      <c r="L2000" s="22" t="s">
        <v>3318</v>
      </c>
      <c r="M2000" s="22" t="s">
        <v>2130</v>
      </c>
      <c r="N2000" s="28" t="s">
        <v>2494</v>
      </c>
      <c r="O2000" s="28" t="s">
        <v>2016</v>
      </c>
      <c r="P2000" s="29">
        <v>1108</v>
      </c>
      <c r="Q2000" s="28" t="s">
        <v>2017</v>
      </c>
      <c r="R2000" s="40">
        <v>23742.857142857101</v>
      </c>
      <c r="S2000" s="29">
        <v>3</v>
      </c>
      <c r="T2000" s="32">
        <v>4.6666666666000001E-2</v>
      </c>
      <c r="U2000" s="32">
        <v>0</v>
      </c>
      <c r="V2000" s="40">
        <v>23742.857142857101</v>
      </c>
      <c r="W2000" s="30"/>
      <c r="X2000" s="30"/>
    </row>
    <row r="2001" spans="1:24" ht="15.75" thickBot="1" x14ac:dyDescent="0.3">
      <c r="A2001" t="str">
        <f t="shared" si="31"/>
        <v>PCP2623942AR0200</v>
      </c>
      <c r="B2001" s="22" t="s">
        <v>7806</v>
      </c>
      <c r="C2001" s="21"/>
      <c r="D2001" s="22" t="s">
        <v>7807</v>
      </c>
      <c r="E2001" s="21"/>
      <c r="F2001" s="22" t="s">
        <v>2030</v>
      </c>
      <c r="G2001" s="28" t="s">
        <v>2012</v>
      </c>
      <c r="H2001" s="22" t="s">
        <v>5479</v>
      </c>
      <c r="I2001" s="22" t="s">
        <v>5480</v>
      </c>
      <c r="J2001" s="22" t="s">
        <v>494</v>
      </c>
      <c r="K2001" s="22" t="s">
        <v>262</v>
      </c>
      <c r="L2001" s="22" t="s">
        <v>3318</v>
      </c>
      <c r="M2001" s="22" t="s">
        <v>2130</v>
      </c>
      <c r="N2001" s="28" t="s">
        <v>2494</v>
      </c>
      <c r="O2001" s="28" t="s">
        <v>2016</v>
      </c>
      <c r="P2001" s="29">
        <v>45</v>
      </c>
      <c r="Q2001" s="28" t="s">
        <v>2017</v>
      </c>
      <c r="R2001" s="21"/>
      <c r="S2001" s="21"/>
      <c r="T2001" s="21"/>
      <c r="U2001" s="21"/>
      <c r="V2001" s="21"/>
      <c r="W2001" s="21"/>
      <c r="X2001" s="21"/>
    </row>
    <row r="2002" spans="1:24" ht="15.75" thickBot="1" x14ac:dyDescent="0.3">
      <c r="A2002" t="str">
        <f t="shared" si="31"/>
        <v>PCP2623942AR0202</v>
      </c>
      <c r="B2002" s="22" t="s">
        <v>7808</v>
      </c>
      <c r="C2002" s="21"/>
      <c r="D2002" s="22" t="s">
        <v>7807</v>
      </c>
      <c r="E2002" s="21"/>
      <c r="F2002" s="22" t="s">
        <v>2030</v>
      </c>
      <c r="G2002" s="28" t="s">
        <v>2012</v>
      </c>
      <c r="H2002" s="22" t="s">
        <v>5479</v>
      </c>
      <c r="I2002" s="22" t="s">
        <v>5480</v>
      </c>
      <c r="J2002" s="22" t="s">
        <v>494</v>
      </c>
      <c r="K2002" s="22" t="s">
        <v>262</v>
      </c>
      <c r="L2002" s="22" t="s">
        <v>3318</v>
      </c>
      <c r="M2002" s="22" t="s">
        <v>2130</v>
      </c>
      <c r="N2002" s="28" t="s">
        <v>2494</v>
      </c>
      <c r="O2002" s="28" t="s">
        <v>2016</v>
      </c>
      <c r="P2002" s="29">
        <v>458</v>
      </c>
      <c r="Q2002" s="28" t="s">
        <v>2017</v>
      </c>
      <c r="R2002" s="40">
        <v>9814.2857142857192</v>
      </c>
      <c r="S2002" s="29">
        <v>3</v>
      </c>
      <c r="T2002" s="32">
        <v>4.6666666666000001E-2</v>
      </c>
      <c r="U2002" s="32">
        <v>0</v>
      </c>
      <c r="V2002" s="40">
        <v>9814.2857142857192</v>
      </c>
      <c r="W2002" s="30"/>
      <c r="X2002" s="30"/>
    </row>
    <row r="2003" spans="1:24" ht="15.75" thickBot="1" x14ac:dyDescent="0.3">
      <c r="A2003" t="str">
        <f t="shared" si="31"/>
        <v>PCP2623942AR0302</v>
      </c>
      <c r="B2003" s="22" t="s">
        <v>7809</v>
      </c>
      <c r="C2003" s="21"/>
      <c r="D2003" s="22" t="s">
        <v>7810</v>
      </c>
      <c r="E2003" s="21"/>
      <c r="F2003" s="22" t="s">
        <v>2030</v>
      </c>
      <c r="G2003" s="28" t="s">
        <v>2012</v>
      </c>
      <c r="H2003" s="22" t="s">
        <v>5479</v>
      </c>
      <c r="I2003" s="22" t="s">
        <v>5480</v>
      </c>
      <c r="J2003" s="22" t="s">
        <v>494</v>
      </c>
      <c r="K2003" s="22" t="s">
        <v>262</v>
      </c>
      <c r="L2003" s="22" t="s">
        <v>3318</v>
      </c>
      <c r="M2003" s="22" t="s">
        <v>2130</v>
      </c>
      <c r="N2003" s="28" t="s">
        <v>2494</v>
      </c>
      <c r="O2003" s="28" t="s">
        <v>2016</v>
      </c>
      <c r="P2003" s="29">
        <v>645</v>
      </c>
      <c r="Q2003" s="28" t="s">
        <v>2017</v>
      </c>
      <c r="R2003" s="40">
        <v>41464.285714285703</v>
      </c>
      <c r="S2003" s="29">
        <v>1</v>
      </c>
      <c r="T2003" s="32">
        <v>1.5555555555E-2</v>
      </c>
      <c r="U2003" s="32">
        <v>0</v>
      </c>
      <c r="V2003" s="40">
        <v>41464.285714285703</v>
      </c>
      <c r="W2003" s="30"/>
      <c r="X2003" s="30"/>
    </row>
    <row r="2004" spans="1:24" ht="15.75" thickBot="1" x14ac:dyDescent="0.3">
      <c r="A2004" t="str">
        <f t="shared" si="31"/>
        <v>PCP2623942AR0402</v>
      </c>
      <c r="B2004" s="22" t="s">
        <v>7811</v>
      </c>
      <c r="C2004" s="21"/>
      <c r="D2004" s="22" t="s">
        <v>7812</v>
      </c>
      <c r="E2004" s="21"/>
      <c r="F2004" s="22" t="s">
        <v>2030</v>
      </c>
      <c r="G2004" s="28" t="s">
        <v>2012</v>
      </c>
      <c r="H2004" s="22" t="s">
        <v>5479</v>
      </c>
      <c r="I2004" s="22" t="s">
        <v>5480</v>
      </c>
      <c r="J2004" s="22" t="s">
        <v>494</v>
      </c>
      <c r="K2004" s="22" t="s">
        <v>262</v>
      </c>
      <c r="L2004" s="22" t="s">
        <v>3868</v>
      </c>
      <c r="M2004" s="22" t="s">
        <v>2130</v>
      </c>
      <c r="N2004" s="28" t="s">
        <v>2494</v>
      </c>
      <c r="O2004" s="28" t="s">
        <v>2016</v>
      </c>
      <c r="P2004" s="29">
        <v>208</v>
      </c>
      <c r="Q2004" s="28" t="s">
        <v>2017</v>
      </c>
      <c r="R2004" s="21"/>
      <c r="S2004" s="21"/>
      <c r="T2004" s="21"/>
      <c r="U2004" s="21"/>
      <c r="V2004" s="21"/>
      <c r="W2004" s="21"/>
      <c r="X2004" s="21"/>
    </row>
    <row r="2005" spans="1:24" ht="15.75" thickBot="1" x14ac:dyDescent="0.3">
      <c r="A2005" t="str">
        <f t="shared" si="31"/>
        <v>PCP2623942AR0501</v>
      </c>
      <c r="B2005" s="22" t="s">
        <v>7813</v>
      </c>
      <c r="C2005" s="21"/>
      <c r="D2005" s="22" t="s">
        <v>7814</v>
      </c>
      <c r="E2005" s="21"/>
      <c r="F2005" s="22" t="s">
        <v>2030</v>
      </c>
      <c r="G2005" s="28" t="s">
        <v>2012</v>
      </c>
      <c r="H2005" s="22" t="s">
        <v>5479</v>
      </c>
      <c r="I2005" s="22" t="s">
        <v>5480</v>
      </c>
      <c r="J2005" s="22" t="s">
        <v>494</v>
      </c>
      <c r="K2005" s="22" t="s">
        <v>262</v>
      </c>
      <c r="L2005" s="22" t="s">
        <v>3868</v>
      </c>
      <c r="M2005" s="22" t="s">
        <v>2130</v>
      </c>
      <c r="N2005" s="28" t="s">
        <v>2494</v>
      </c>
      <c r="O2005" s="28" t="s">
        <v>2016</v>
      </c>
      <c r="P2005" s="29">
        <v>571</v>
      </c>
      <c r="Q2005" s="28" t="s">
        <v>2017</v>
      </c>
      <c r="R2005" s="21"/>
      <c r="S2005" s="21"/>
      <c r="T2005" s="21"/>
      <c r="U2005" s="21"/>
      <c r="V2005" s="21"/>
      <c r="W2005" s="21"/>
      <c r="X2005" s="21"/>
    </row>
    <row r="2006" spans="1:24" ht="15.75" thickBot="1" x14ac:dyDescent="0.3">
      <c r="A2006" t="str">
        <f t="shared" si="31"/>
        <v>PCP2623942IGC0101</v>
      </c>
      <c r="B2006" s="22" t="s">
        <v>7815</v>
      </c>
      <c r="C2006" s="21"/>
      <c r="D2006" s="22" t="s">
        <v>7816</v>
      </c>
      <c r="E2006" s="21"/>
      <c r="F2006" s="22" t="s">
        <v>2030</v>
      </c>
      <c r="G2006" s="28" t="s">
        <v>2012</v>
      </c>
      <c r="H2006" s="22" t="s">
        <v>7817</v>
      </c>
      <c r="I2006" s="22" t="s">
        <v>7818</v>
      </c>
      <c r="J2006" s="22" t="s">
        <v>494</v>
      </c>
      <c r="K2006" s="22" t="s">
        <v>262</v>
      </c>
      <c r="L2006" s="22" t="s">
        <v>7819</v>
      </c>
      <c r="M2006" s="22" t="s">
        <v>2130</v>
      </c>
      <c r="N2006" s="28" t="s">
        <v>2494</v>
      </c>
      <c r="O2006" s="28" t="s">
        <v>2016</v>
      </c>
      <c r="P2006" s="29">
        <v>500</v>
      </c>
      <c r="Q2006" s="28" t="s">
        <v>2017</v>
      </c>
      <c r="R2006" s="21"/>
      <c r="S2006" s="21"/>
      <c r="T2006" s="21"/>
      <c r="U2006" s="21"/>
      <c r="V2006" s="21"/>
      <c r="W2006" s="21"/>
      <c r="X2006" s="21"/>
    </row>
    <row r="2007" spans="1:24" ht="15.75" thickBot="1" x14ac:dyDescent="0.3">
      <c r="A2007" t="str">
        <f t="shared" si="31"/>
        <v>PCP2623942IGC0202</v>
      </c>
      <c r="B2007" s="22" t="s">
        <v>7820</v>
      </c>
      <c r="C2007" s="21"/>
      <c r="D2007" s="22" t="s">
        <v>7821</v>
      </c>
      <c r="E2007" s="21"/>
      <c r="F2007" s="22" t="s">
        <v>2030</v>
      </c>
      <c r="G2007" s="28" t="s">
        <v>2012</v>
      </c>
      <c r="H2007" s="22" t="s">
        <v>7817</v>
      </c>
      <c r="I2007" s="22" t="s">
        <v>7818</v>
      </c>
      <c r="J2007" s="22" t="s">
        <v>494</v>
      </c>
      <c r="K2007" s="22" t="s">
        <v>262</v>
      </c>
      <c r="L2007" s="22" t="s">
        <v>7819</v>
      </c>
      <c r="M2007" s="22" t="s">
        <v>2130</v>
      </c>
      <c r="N2007" s="28" t="s">
        <v>2494</v>
      </c>
      <c r="O2007" s="28" t="s">
        <v>2016</v>
      </c>
      <c r="P2007" s="29">
        <v>619</v>
      </c>
      <c r="Q2007" s="28" t="s">
        <v>2017</v>
      </c>
      <c r="R2007" s="40">
        <v>39792.857142857101</v>
      </c>
      <c r="S2007" s="29">
        <v>1</v>
      </c>
      <c r="T2007" s="32">
        <v>1.5555555555E-2</v>
      </c>
      <c r="U2007" s="32">
        <v>0</v>
      </c>
      <c r="V2007" s="40">
        <v>39792.857142857101</v>
      </c>
      <c r="W2007" s="30"/>
      <c r="X2007" s="30"/>
    </row>
    <row r="2008" spans="1:24" ht="15.75" thickBot="1" x14ac:dyDescent="0.3">
      <c r="A2008" t="str">
        <f t="shared" si="31"/>
        <v>PCP2623942IGC0302</v>
      </c>
      <c r="B2008" s="22" t="s">
        <v>7822</v>
      </c>
      <c r="C2008" s="21"/>
      <c r="D2008" s="22" t="s">
        <v>7823</v>
      </c>
      <c r="E2008" s="21"/>
      <c r="F2008" s="22" t="s">
        <v>2030</v>
      </c>
      <c r="G2008" s="28" t="s">
        <v>2012</v>
      </c>
      <c r="H2008" s="22" t="s">
        <v>7817</v>
      </c>
      <c r="I2008" s="22" t="s">
        <v>7818</v>
      </c>
      <c r="J2008" s="22" t="s">
        <v>494</v>
      </c>
      <c r="K2008" s="22" t="s">
        <v>262</v>
      </c>
      <c r="L2008" s="22" t="s">
        <v>7819</v>
      </c>
      <c r="M2008" s="22" t="s">
        <v>2130</v>
      </c>
      <c r="N2008" s="28" t="s">
        <v>2494</v>
      </c>
      <c r="O2008" s="28" t="s">
        <v>2016</v>
      </c>
      <c r="P2008" s="29">
        <v>980</v>
      </c>
      <c r="Q2008" s="28" t="s">
        <v>2017</v>
      </c>
      <c r="R2008" s="40">
        <v>21000</v>
      </c>
      <c r="S2008" s="29">
        <v>3</v>
      </c>
      <c r="T2008" s="32">
        <v>4.6666666666000001E-2</v>
      </c>
      <c r="U2008" s="32">
        <v>0</v>
      </c>
      <c r="V2008" s="40">
        <v>21000</v>
      </c>
      <c r="W2008" s="30"/>
      <c r="X2008" s="30"/>
    </row>
    <row r="2009" spans="1:24" ht="15.75" thickBot="1" x14ac:dyDescent="0.3">
      <c r="A2009" t="str">
        <f t="shared" si="31"/>
        <v>PCP2623942IGC04</v>
      </c>
      <c r="B2009" s="22" t="s">
        <v>7824</v>
      </c>
      <c r="C2009" s="21"/>
      <c r="D2009" s="22" t="s">
        <v>7825</v>
      </c>
      <c r="E2009" s="21"/>
      <c r="F2009" s="22" t="s">
        <v>2030</v>
      </c>
      <c r="G2009" s="28" t="s">
        <v>2012</v>
      </c>
      <c r="H2009" s="22" t="s">
        <v>7817</v>
      </c>
      <c r="I2009" s="22" t="s">
        <v>7818</v>
      </c>
      <c r="J2009" s="22" t="s">
        <v>494</v>
      </c>
      <c r="K2009" s="22" t="s">
        <v>262</v>
      </c>
      <c r="L2009" s="22" t="s">
        <v>7819</v>
      </c>
      <c r="M2009" s="22" t="s">
        <v>2130</v>
      </c>
      <c r="N2009" s="28" t="s">
        <v>2494</v>
      </c>
      <c r="O2009" s="28" t="s">
        <v>2016</v>
      </c>
      <c r="P2009" s="29">
        <v>624</v>
      </c>
      <c r="Q2009" s="28" t="s">
        <v>2017</v>
      </c>
      <c r="R2009" s="21"/>
      <c r="S2009" s="21"/>
      <c r="T2009" s="21"/>
      <c r="U2009" s="21"/>
      <c r="V2009" s="21"/>
      <c r="W2009" s="21"/>
      <c r="X2009" s="21"/>
    </row>
    <row r="2010" spans="1:24" ht="15.75" thickBot="1" x14ac:dyDescent="0.3">
      <c r="A2010" t="str">
        <f t="shared" si="31"/>
        <v>PCP2623942IGC05</v>
      </c>
      <c r="B2010" s="22" t="s">
        <v>7826</v>
      </c>
      <c r="C2010" s="21"/>
      <c r="D2010" s="22" t="s">
        <v>7827</v>
      </c>
      <c r="E2010" s="21"/>
      <c r="F2010" s="22" t="s">
        <v>2030</v>
      </c>
      <c r="G2010" s="28" t="s">
        <v>2012</v>
      </c>
      <c r="H2010" s="22" t="s">
        <v>7817</v>
      </c>
      <c r="I2010" s="22" t="s">
        <v>7818</v>
      </c>
      <c r="J2010" s="22" t="s">
        <v>494</v>
      </c>
      <c r="K2010" s="22" t="s">
        <v>262</v>
      </c>
      <c r="L2010" s="22" t="s">
        <v>7819</v>
      </c>
      <c r="M2010" s="22" t="s">
        <v>2130</v>
      </c>
      <c r="N2010" s="28" t="s">
        <v>2494</v>
      </c>
      <c r="O2010" s="28" t="s">
        <v>2016</v>
      </c>
      <c r="P2010" s="29">
        <v>526</v>
      </c>
      <c r="Q2010" s="28" t="s">
        <v>2017</v>
      </c>
      <c r="R2010" s="40">
        <v>11271.4285714286</v>
      </c>
      <c r="S2010" s="29">
        <v>3</v>
      </c>
      <c r="T2010" s="32">
        <v>4.6666666666000001E-2</v>
      </c>
      <c r="U2010" s="32">
        <v>0</v>
      </c>
      <c r="V2010" s="40">
        <v>11271.4285714286</v>
      </c>
      <c r="W2010" s="30"/>
      <c r="X2010" s="30"/>
    </row>
    <row r="2011" spans="1:24" ht="15.75" thickBot="1" x14ac:dyDescent="0.3">
      <c r="A2011" t="str">
        <f t="shared" si="31"/>
        <v>PCP2623942IP0100</v>
      </c>
      <c r="B2011" s="22" t="s">
        <v>7828</v>
      </c>
      <c r="C2011" s="21"/>
      <c r="D2011" s="22" t="s">
        <v>7829</v>
      </c>
      <c r="E2011" s="22" t="s">
        <v>7830</v>
      </c>
      <c r="F2011" s="22" t="s">
        <v>2030</v>
      </c>
      <c r="G2011" s="28" t="s">
        <v>2012</v>
      </c>
      <c r="H2011" s="22" t="s">
        <v>3866</v>
      </c>
      <c r="I2011" s="22" t="s">
        <v>3867</v>
      </c>
      <c r="J2011" s="22" t="s">
        <v>494</v>
      </c>
      <c r="K2011" s="22" t="s">
        <v>262</v>
      </c>
      <c r="L2011" s="22" t="s">
        <v>3868</v>
      </c>
      <c r="M2011" s="22" t="s">
        <v>2130</v>
      </c>
      <c r="N2011" s="28" t="s">
        <v>2494</v>
      </c>
      <c r="O2011" s="28" t="s">
        <v>2016</v>
      </c>
      <c r="P2011" s="29">
        <v>466</v>
      </c>
      <c r="Q2011" s="28" t="s">
        <v>2017</v>
      </c>
      <c r="R2011" s="40">
        <v>29957.142857142899</v>
      </c>
      <c r="S2011" s="29">
        <v>1</v>
      </c>
      <c r="T2011" s="32">
        <v>1.5555555555E-2</v>
      </c>
      <c r="U2011" s="32">
        <v>0</v>
      </c>
      <c r="V2011" s="40">
        <v>29957.142857142899</v>
      </c>
      <c r="W2011" s="30"/>
      <c r="X2011" s="30"/>
    </row>
    <row r="2012" spans="1:24" ht="15.75" thickBot="1" x14ac:dyDescent="0.3">
      <c r="A2012" t="str">
        <f t="shared" si="31"/>
        <v>PCP2623942IP0200</v>
      </c>
      <c r="B2012" s="22" t="s">
        <v>7831</v>
      </c>
      <c r="C2012" s="21"/>
      <c r="D2012" s="22" t="s">
        <v>7832</v>
      </c>
      <c r="E2012" s="22" t="s">
        <v>7830</v>
      </c>
      <c r="F2012" s="22" t="s">
        <v>2030</v>
      </c>
      <c r="G2012" s="28" t="s">
        <v>2012</v>
      </c>
      <c r="H2012" s="22" t="s">
        <v>3866</v>
      </c>
      <c r="I2012" s="22" t="s">
        <v>3867</v>
      </c>
      <c r="J2012" s="22" t="s">
        <v>494</v>
      </c>
      <c r="K2012" s="22" t="s">
        <v>262</v>
      </c>
      <c r="L2012" s="22" t="s">
        <v>3868</v>
      </c>
      <c r="M2012" s="22" t="s">
        <v>2130</v>
      </c>
      <c r="N2012" s="28" t="s">
        <v>2494</v>
      </c>
      <c r="O2012" s="28" t="s">
        <v>2016</v>
      </c>
      <c r="P2012" s="29">
        <v>273</v>
      </c>
      <c r="Q2012" s="28" t="s">
        <v>2017</v>
      </c>
      <c r="R2012" s="40">
        <v>17550</v>
      </c>
      <c r="S2012" s="29">
        <v>1</v>
      </c>
      <c r="T2012" s="32">
        <v>1.5555555555E-2</v>
      </c>
      <c r="U2012" s="32">
        <v>0</v>
      </c>
      <c r="V2012" s="40">
        <v>17550</v>
      </c>
      <c r="W2012" s="30"/>
      <c r="X2012" s="30"/>
    </row>
    <row r="2013" spans="1:24" ht="15.75" thickBot="1" x14ac:dyDescent="0.3">
      <c r="A2013" t="str">
        <f t="shared" si="31"/>
        <v>PCP2623942IP0300</v>
      </c>
      <c r="B2013" s="22" t="s">
        <v>7833</v>
      </c>
      <c r="C2013" s="21"/>
      <c r="D2013" s="22" t="s">
        <v>7834</v>
      </c>
      <c r="E2013" s="22" t="s">
        <v>7830</v>
      </c>
      <c r="F2013" s="22" t="s">
        <v>2030</v>
      </c>
      <c r="G2013" s="28" t="s">
        <v>2012</v>
      </c>
      <c r="H2013" s="22" t="s">
        <v>3866</v>
      </c>
      <c r="I2013" s="22" t="s">
        <v>3867</v>
      </c>
      <c r="J2013" s="22" t="s">
        <v>494</v>
      </c>
      <c r="K2013" s="22" t="s">
        <v>262</v>
      </c>
      <c r="L2013" s="22" t="s">
        <v>3868</v>
      </c>
      <c r="M2013" s="22" t="s">
        <v>2130</v>
      </c>
      <c r="N2013" s="28" t="s">
        <v>2494</v>
      </c>
      <c r="O2013" s="28" t="s">
        <v>2016</v>
      </c>
      <c r="P2013" s="29">
        <v>1869</v>
      </c>
      <c r="Q2013" s="28" t="s">
        <v>2017</v>
      </c>
      <c r="R2013" s="40">
        <v>40050</v>
      </c>
      <c r="S2013" s="29">
        <v>3</v>
      </c>
      <c r="T2013" s="32">
        <v>4.6666666666000001E-2</v>
      </c>
      <c r="U2013" s="32">
        <v>0</v>
      </c>
      <c r="V2013" s="40">
        <v>40050</v>
      </c>
      <c r="W2013" s="30"/>
      <c r="X2013" s="30"/>
    </row>
    <row r="2014" spans="1:24" ht="15.75" thickBot="1" x14ac:dyDescent="0.3">
      <c r="A2014" t="str">
        <f t="shared" si="31"/>
        <v>PCP2623942IP0400</v>
      </c>
      <c r="B2014" s="22" t="s">
        <v>7835</v>
      </c>
      <c r="C2014" s="21"/>
      <c r="D2014" s="22" t="s">
        <v>7836</v>
      </c>
      <c r="E2014" s="21"/>
      <c r="F2014" s="22" t="s">
        <v>2030</v>
      </c>
      <c r="G2014" s="28" t="s">
        <v>2012</v>
      </c>
      <c r="H2014" s="22" t="s">
        <v>3866</v>
      </c>
      <c r="I2014" s="22" t="s">
        <v>3867</v>
      </c>
      <c r="J2014" s="22" t="s">
        <v>494</v>
      </c>
      <c r="K2014" s="22" t="s">
        <v>262</v>
      </c>
      <c r="L2014" s="22" t="s">
        <v>3868</v>
      </c>
      <c r="M2014" s="22" t="s">
        <v>2130</v>
      </c>
      <c r="N2014" s="28" t="s">
        <v>2494</v>
      </c>
      <c r="O2014" s="28" t="s">
        <v>2016</v>
      </c>
      <c r="P2014" s="29">
        <v>962</v>
      </c>
      <c r="Q2014" s="28" t="s">
        <v>2017</v>
      </c>
      <c r="R2014" s="40">
        <v>30921.428571428602</v>
      </c>
      <c r="S2014" s="29">
        <v>2</v>
      </c>
      <c r="T2014" s="32">
        <v>3.1111111111000001E-2</v>
      </c>
      <c r="U2014" s="32">
        <v>0</v>
      </c>
      <c r="V2014" s="40">
        <v>30921.428571428602</v>
      </c>
      <c r="W2014" s="30"/>
      <c r="X2014" s="30"/>
    </row>
    <row r="2015" spans="1:24" ht="15.75" thickBot="1" x14ac:dyDescent="0.3">
      <c r="A2015" t="str">
        <f t="shared" si="31"/>
        <v>PCP2623942NVH00</v>
      </c>
      <c r="B2015" s="22" t="s">
        <v>7837</v>
      </c>
      <c r="C2015" s="22" t="s">
        <v>7838</v>
      </c>
      <c r="D2015" s="22" t="s">
        <v>7839</v>
      </c>
      <c r="E2015" s="21"/>
      <c r="F2015" s="22" t="s">
        <v>2030</v>
      </c>
      <c r="G2015" s="28" t="s">
        <v>2012</v>
      </c>
      <c r="H2015" s="22" t="s">
        <v>3856</v>
      </c>
      <c r="I2015" s="22" t="s">
        <v>3857</v>
      </c>
      <c r="J2015" s="22" t="s">
        <v>494</v>
      </c>
      <c r="K2015" s="22" t="s">
        <v>262</v>
      </c>
      <c r="L2015" s="22" t="s">
        <v>3858</v>
      </c>
      <c r="M2015" s="22" t="s">
        <v>2130</v>
      </c>
      <c r="N2015" s="28" t="s">
        <v>2494</v>
      </c>
      <c r="O2015" s="28" t="s">
        <v>2016</v>
      </c>
      <c r="P2015" s="29">
        <v>1158</v>
      </c>
      <c r="Q2015" s="28" t="s">
        <v>2017</v>
      </c>
      <c r="R2015" s="40">
        <v>4652.6785714285697</v>
      </c>
      <c r="S2015" s="29">
        <v>16</v>
      </c>
      <c r="T2015" s="32">
        <v>0.24888888888800001</v>
      </c>
      <c r="U2015" s="32">
        <v>0</v>
      </c>
      <c r="V2015" s="40">
        <v>4652.6785714285697</v>
      </c>
      <c r="W2015" s="30"/>
      <c r="X2015" s="30"/>
    </row>
    <row r="2016" spans="1:24" ht="15.75" thickBot="1" x14ac:dyDescent="0.3">
      <c r="A2016" t="str">
        <f t="shared" si="31"/>
        <v>PCP2623943AR0200</v>
      </c>
      <c r="B2016" s="22" t="s">
        <v>7840</v>
      </c>
      <c r="C2016" s="21"/>
      <c r="D2016" s="22" t="s">
        <v>7841</v>
      </c>
      <c r="E2016" s="21"/>
      <c r="F2016" s="22" t="s">
        <v>2030</v>
      </c>
      <c r="G2016" s="28" t="s">
        <v>2012</v>
      </c>
      <c r="H2016" s="22" t="s">
        <v>5479</v>
      </c>
      <c r="I2016" s="22" t="s">
        <v>5480</v>
      </c>
      <c r="J2016" s="22" t="s">
        <v>494</v>
      </c>
      <c r="K2016" s="22" t="s">
        <v>262</v>
      </c>
      <c r="L2016" s="22" t="s">
        <v>3318</v>
      </c>
      <c r="M2016" s="22" t="s">
        <v>2130</v>
      </c>
      <c r="N2016" s="28" t="s">
        <v>2494</v>
      </c>
      <c r="O2016" s="28" t="s">
        <v>2016</v>
      </c>
      <c r="P2016" s="29">
        <v>37</v>
      </c>
      <c r="Q2016" s="28" t="s">
        <v>2017</v>
      </c>
      <c r="R2016" s="21"/>
      <c r="S2016" s="21"/>
      <c r="T2016" s="21"/>
      <c r="U2016" s="21"/>
      <c r="V2016" s="21"/>
      <c r="W2016" s="21"/>
      <c r="X2016" s="21"/>
    </row>
    <row r="2017" spans="1:24" ht="15.75" thickBot="1" x14ac:dyDescent="0.3">
      <c r="A2017" t="str">
        <f t="shared" si="31"/>
        <v>PCP2623943AR0202</v>
      </c>
      <c r="B2017" s="22" t="s">
        <v>7842</v>
      </c>
      <c r="C2017" s="21"/>
      <c r="D2017" s="22" t="s">
        <v>7841</v>
      </c>
      <c r="E2017" s="21"/>
      <c r="F2017" s="22" t="s">
        <v>2030</v>
      </c>
      <c r="G2017" s="28" t="s">
        <v>2012</v>
      </c>
      <c r="H2017" s="22" t="s">
        <v>5479</v>
      </c>
      <c r="I2017" s="22" t="s">
        <v>5480</v>
      </c>
      <c r="J2017" s="22" t="s">
        <v>494</v>
      </c>
      <c r="K2017" s="22" t="s">
        <v>262</v>
      </c>
      <c r="L2017" s="22" t="s">
        <v>3318</v>
      </c>
      <c r="M2017" s="22" t="s">
        <v>2130</v>
      </c>
      <c r="N2017" s="28" t="s">
        <v>2494</v>
      </c>
      <c r="O2017" s="28" t="s">
        <v>2016</v>
      </c>
      <c r="P2017" s="29">
        <v>292</v>
      </c>
      <c r="Q2017" s="28" t="s">
        <v>2017</v>
      </c>
      <c r="R2017" s="40">
        <v>1877.1428571428601</v>
      </c>
      <c r="S2017" s="29">
        <v>10</v>
      </c>
      <c r="T2017" s="32">
        <v>0.155555555555</v>
      </c>
      <c r="U2017" s="32">
        <v>0</v>
      </c>
      <c r="V2017" s="40">
        <v>1877.1428571428601</v>
      </c>
      <c r="W2017" s="30"/>
      <c r="X2017" s="30"/>
    </row>
    <row r="2018" spans="1:24" ht="15.75" thickBot="1" x14ac:dyDescent="0.3">
      <c r="A2018" t="str">
        <f t="shared" si="31"/>
        <v>PCP2623943AR0302</v>
      </c>
      <c r="B2018" s="22" t="s">
        <v>7843</v>
      </c>
      <c r="C2018" s="21"/>
      <c r="D2018" s="22" t="s">
        <v>7844</v>
      </c>
      <c r="E2018" s="21"/>
      <c r="F2018" s="22" t="s">
        <v>2030</v>
      </c>
      <c r="G2018" s="28" t="s">
        <v>2012</v>
      </c>
      <c r="H2018" s="22" t="s">
        <v>5479</v>
      </c>
      <c r="I2018" s="22" t="s">
        <v>5480</v>
      </c>
      <c r="J2018" s="22" t="s">
        <v>494</v>
      </c>
      <c r="K2018" s="22" t="s">
        <v>262</v>
      </c>
      <c r="L2018" s="22" t="s">
        <v>3318</v>
      </c>
      <c r="M2018" s="22" t="s">
        <v>2130</v>
      </c>
      <c r="N2018" s="28" t="s">
        <v>2494</v>
      </c>
      <c r="O2018" s="28" t="s">
        <v>2016</v>
      </c>
      <c r="P2018" s="29">
        <v>462</v>
      </c>
      <c r="Q2018" s="28" t="s">
        <v>2017</v>
      </c>
      <c r="R2018" s="21"/>
      <c r="S2018" s="21"/>
      <c r="T2018" s="21"/>
      <c r="U2018" s="21"/>
      <c r="V2018" s="21"/>
      <c r="W2018" s="21"/>
      <c r="X2018" s="21"/>
    </row>
    <row r="2019" spans="1:24" ht="15.75" thickBot="1" x14ac:dyDescent="0.3">
      <c r="A2019" t="str">
        <f t="shared" si="31"/>
        <v>PCP2623943AR0402</v>
      </c>
      <c r="B2019" s="22" t="s">
        <v>7845</v>
      </c>
      <c r="C2019" s="21"/>
      <c r="D2019" s="22" t="s">
        <v>7846</v>
      </c>
      <c r="E2019" s="21"/>
      <c r="F2019" s="22" t="s">
        <v>2030</v>
      </c>
      <c r="G2019" s="28" t="s">
        <v>2012</v>
      </c>
      <c r="H2019" s="22" t="s">
        <v>5479</v>
      </c>
      <c r="I2019" s="22" t="s">
        <v>5480</v>
      </c>
      <c r="J2019" s="22" t="s">
        <v>494</v>
      </c>
      <c r="K2019" s="22" t="s">
        <v>262</v>
      </c>
      <c r="L2019" s="22" t="s">
        <v>3318</v>
      </c>
      <c r="M2019" s="22" t="s">
        <v>2130</v>
      </c>
      <c r="N2019" s="28" t="s">
        <v>2494</v>
      </c>
      <c r="O2019" s="28" t="s">
        <v>2016</v>
      </c>
      <c r="P2019" s="29">
        <v>392</v>
      </c>
      <c r="Q2019" s="28" t="s">
        <v>2017</v>
      </c>
      <c r="R2019" s="21"/>
      <c r="S2019" s="21"/>
      <c r="T2019" s="21"/>
      <c r="U2019" s="21"/>
      <c r="V2019" s="21"/>
      <c r="W2019" s="21"/>
      <c r="X2019" s="21"/>
    </row>
    <row r="2020" spans="1:24" ht="15.75" thickBot="1" x14ac:dyDescent="0.3">
      <c r="A2020" t="str">
        <f t="shared" si="31"/>
        <v>PCP2623943AR0501</v>
      </c>
      <c r="B2020" s="22" t="s">
        <v>7847</v>
      </c>
      <c r="C2020" s="21"/>
      <c r="D2020" s="22" t="s">
        <v>7848</v>
      </c>
      <c r="E2020" s="21"/>
      <c r="F2020" s="22" t="s">
        <v>2030</v>
      </c>
      <c r="G2020" s="28" t="s">
        <v>2012</v>
      </c>
      <c r="H2020" s="22" t="s">
        <v>5479</v>
      </c>
      <c r="I2020" s="22" t="s">
        <v>5480</v>
      </c>
      <c r="J2020" s="22" t="s">
        <v>494</v>
      </c>
      <c r="K2020" s="22" t="s">
        <v>262</v>
      </c>
      <c r="L2020" s="22" t="s">
        <v>3868</v>
      </c>
      <c r="M2020" s="22" t="s">
        <v>2130</v>
      </c>
      <c r="N2020" s="28" t="s">
        <v>2494</v>
      </c>
      <c r="O2020" s="28" t="s">
        <v>2016</v>
      </c>
      <c r="P2020" s="29">
        <v>463</v>
      </c>
      <c r="Q2020" s="28" t="s">
        <v>2017</v>
      </c>
      <c r="R2020" s="21"/>
      <c r="S2020" s="21"/>
      <c r="T2020" s="21"/>
      <c r="U2020" s="21"/>
      <c r="V2020" s="21"/>
      <c r="W2020" s="21"/>
      <c r="X2020" s="21"/>
    </row>
    <row r="2021" spans="1:24" ht="15.75" thickBot="1" x14ac:dyDescent="0.3">
      <c r="A2021" t="str">
        <f t="shared" si="31"/>
        <v>PCP2623943IGC0101</v>
      </c>
      <c r="B2021" s="22" t="s">
        <v>7849</v>
      </c>
      <c r="C2021" s="21"/>
      <c r="D2021" s="22" t="s">
        <v>7850</v>
      </c>
      <c r="E2021" s="21"/>
      <c r="F2021" s="22" t="s">
        <v>2030</v>
      </c>
      <c r="G2021" s="28" t="s">
        <v>2012</v>
      </c>
      <c r="H2021" s="22" t="s">
        <v>7817</v>
      </c>
      <c r="I2021" s="22" t="s">
        <v>7818</v>
      </c>
      <c r="J2021" s="22" t="s">
        <v>494</v>
      </c>
      <c r="K2021" s="22" t="s">
        <v>262</v>
      </c>
      <c r="L2021" s="22" t="s">
        <v>7819</v>
      </c>
      <c r="M2021" s="22" t="s">
        <v>2130</v>
      </c>
      <c r="N2021" s="28" t="s">
        <v>2494</v>
      </c>
      <c r="O2021" s="28" t="s">
        <v>2016</v>
      </c>
      <c r="P2021" s="29">
        <v>1196</v>
      </c>
      <c r="Q2021" s="28" t="s">
        <v>2017</v>
      </c>
      <c r="R2021" s="21"/>
      <c r="S2021" s="21"/>
      <c r="T2021" s="21"/>
      <c r="U2021" s="21"/>
      <c r="V2021" s="21"/>
      <c r="W2021" s="21"/>
      <c r="X2021" s="21"/>
    </row>
    <row r="2022" spans="1:24" ht="15.75" thickBot="1" x14ac:dyDescent="0.3">
      <c r="A2022" t="str">
        <f t="shared" si="31"/>
        <v>PCP2623943IGC0202</v>
      </c>
      <c r="B2022" s="22" t="s">
        <v>7851</v>
      </c>
      <c r="C2022" s="21"/>
      <c r="D2022" s="22" t="s">
        <v>7852</v>
      </c>
      <c r="E2022" s="21"/>
      <c r="F2022" s="22" t="s">
        <v>2030</v>
      </c>
      <c r="G2022" s="28" t="s">
        <v>2012</v>
      </c>
      <c r="H2022" s="22" t="s">
        <v>7817</v>
      </c>
      <c r="I2022" s="22" t="s">
        <v>7818</v>
      </c>
      <c r="J2022" s="22" t="s">
        <v>494</v>
      </c>
      <c r="K2022" s="22" t="s">
        <v>262</v>
      </c>
      <c r="L2022" s="22" t="s">
        <v>7819</v>
      </c>
      <c r="M2022" s="22" t="s">
        <v>2130</v>
      </c>
      <c r="N2022" s="28" t="s">
        <v>2494</v>
      </c>
      <c r="O2022" s="28" t="s">
        <v>2016</v>
      </c>
      <c r="P2022" s="29">
        <v>820</v>
      </c>
      <c r="Q2022" s="28" t="s">
        <v>2017</v>
      </c>
      <c r="R2022" s="21"/>
      <c r="S2022" s="21"/>
      <c r="T2022" s="21"/>
      <c r="U2022" s="21"/>
      <c r="V2022" s="21"/>
      <c r="W2022" s="21"/>
      <c r="X2022" s="21"/>
    </row>
    <row r="2023" spans="1:24" ht="15.75" thickBot="1" x14ac:dyDescent="0.3">
      <c r="A2023" t="str">
        <f t="shared" si="31"/>
        <v>PCP2623943IGC0302</v>
      </c>
      <c r="B2023" s="22" t="s">
        <v>7853</v>
      </c>
      <c r="C2023" s="21"/>
      <c r="D2023" s="22" t="s">
        <v>7854</v>
      </c>
      <c r="E2023" s="21"/>
      <c r="F2023" s="22" t="s">
        <v>2030</v>
      </c>
      <c r="G2023" s="28" t="s">
        <v>2012</v>
      </c>
      <c r="H2023" s="22" t="s">
        <v>7817</v>
      </c>
      <c r="I2023" s="22" t="s">
        <v>7818</v>
      </c>
      <c r="J2023" s="22" t="s">
        <v>494</v>
      </c>
      <c r="K2023" s="22" t="s">
        <v>262</v>
      </c>
      <c r="L2023" s="22" t="s">
        <v>7819</v>
      </c>
      <c r="M2023" s="22" t="s">
        <v>2130</v>
      </c>
      <c r="N2023" s="28" t="s">
        <v>2494</v>
      </c>
      <c r="O2023" s="28" t="s">
        <v>2016</v>
      </c>
      <c r="P2023" s="29">
        <v>1228</v>
      </c>
      <c r="Q2023" s="28" t="s">
        <v>2017</v>
      </c>
      <c r="R2023" s="21"/>
      <c r="S2023" s="21"/>
      <c r="T2023" s="21"/>
      <c r="U2023" s="21"/>
      <c r="V2023" s="21"/>
      <c r="W2023" s="21"/>
      <c r="X2023" s="21"/>
    </row>
    <row r="2024" spans="1:24" ht="15.75" thickBot="1" x14ac:dyDescent="0.3">
      <c r="A2024" t="str">
        <f t="shared" si="31"/>
        <v>PCP2623943IGC04</v>
      </c>
      <c r="B2024" s="22" t="s">
        <v>7855</v>
      </c>
      <c r="C2024" s="21"/>
      <c r="D2024" s="22" t="s">
        <v>7856</v>
      </c>
      <c r="E2024" s="21"/>
      <c r="F2024" s="22" t="s">
        <v>2030</v>
      </c>
      <c r="G2024" s="28" t="s">
        <v>2012</v>
      </c>
      <c r="H2024" s="22" t="s">
        <v>7817</v>
      </c>
      <c r="I2024" s="22" t="s">
        <v>7818</v>
      </c>
      <c r="J2024" s="22" t="s">
        <v>494</v>
      </c>
      <c r="K2024" s="22" t="s">
        <v>262</v>
      </c>
      <c r="L2024" s="22" t="s">
        <v>7819</v>
      </c>
      <c r="M2024" s="22" t="s">
        <v>2130</v>
      </c>
      <c r="N2024" s="28" t="s">
        <v>2494</v>
      </c>
      <c r="O2024" s="28" t="s">
        <v>2016</v>
      </c>
      <c r="P2024" s="29">
        <v>906</v>
      </c>
      <c r="Q2024" s="28" t="s">
        <v>2017</v>
      </c>
      <c r="R2024" s="21"/>
      <c r="S2024" s="21"/>
      <c r="T2024" s="21"/>
      <c r="U2024" s="21"/>
      <c r="V2024" s="21"/>
      <c r="W2024" s="21"/>
      <c r="X2024" s="21"/>
    </row>
    <row r="2025" spans="1:24" ht="15.75" thickBot="1" x14ac:dyDescent="0.3">
      <c r="A2025" t="str">
        <f t="shared" si="31"/>
        <v>PCP2623943IGC05</v>
      </c>
      <c r="B2025" s="22" t="s">
        <v>7857</v>
      </c>
      <c r="C2025" s="21"/>
      <c r="D2025" s="22" t="s">
        <v>7858</v>
      </c>
      <c r="E2025" s="21"/>
      <c r="F2025" s="22" t="s">
        <v>2030</v>
      </c>
      <c r="G2025" s="28" t="s">
        <v>2012</v>
      </c>
      <c r="H2025" s="22" t="s">
        <v>3856</v>
      </c>
      <c r="I2025" s="22" t="s">
        <v>3857</v>
      </c>
      <c r="J2025" s="22" t="s">
        <v>494</v>
      </c>
      <c r="K2025" s="22" t="s">
        <v>262</v>
      </c>
      <c r="L2025" s="22" t="s">
        <v>7819</v>
      </c>
      <c r="M2025" s="22" t="s">
        <v>2130</v>
      </c>
      <c r="N2025" s="28" t="s">
        <v>2494</v>
      </c>
      <c r="O2025" s="28" t="s">
        <v>2016</v>
      </c>
      <c r="P2025" s="29">
        <v>2141</v>
      </c>
      <c r="Q2025" s="28" t="s">
        <v>2017</v>
      </c>
      <c r="R2025" s="40">
        <v>4915.5612244898002</v>
      </c>
      <c r="S2025" s="29">
        <v>28</v>
      </c>
      <c r="T2025" s="32">
        <v>0.43555555555499997</v>
      </c>
      <c r="U2025" s="32">
        <v>0</v>
      </c>
      <c r="V2025" s="40">
        <v>4915.5612244898002</v>
      </c>
      <c r="W2025" s="30"/>
      <c r="X2025" s="30"/>
    </row>
    <row r="2026" spans="1:24" ht="15.75" thickBot="1" x14ac:dyDescent="0.3">
      <c r="A2026" t="str">
        <f t="shared" si="31"/>
        <v>PCP2623943IP0100</v>
      </c>
      <c r="B2026" s="22" t="s">
        <v>7859</v>
      </c>
      <c r="C2026" s="21"/>
      <c r="D2026" s="22" t="s">
        <v>7860</v>
      </c>
      <c r="E2026" s="22" t="s">
        <v>7830</v>
      </c>
      <c r="F2026" s="22" t="s">
        <v>2030</v>
      </c>
      <c r="G2026" s="28" t="s">
        <v>2012</v>
      </c>
      <c r="H2026" s="22" t="s">
        <v>3866</v>
      </c>
      <c r="I2026" s="22" t="s">
        <v>3867</v>
      </c>
      <c r="J2026" s="22" t="s">
        <v>494</v>
      </c>
      <c r="K2026" s="22" t="s">
        <v>262</v>
      </c>
      <c r="L2026" s="22" t="s">
        <v>3868</v>
      </c>
      <c r="M2026" s="22" t="s">
        <v>2130</v>
      </c>
      <c r="N2026" s="28" t="s">
        <v>2494</v>
      </c>
      <c r="O2026" s="28" t="s">
        <v>2016</v>
      </c>
      <c r="P2026" s="29">
        <v>806</v>
      </c>
      <c r="Q2026" s="28" t="s">
        <v>2017</v>
      </c>
      <c r="R2026" s="40">
        <v>7402.0408163265301</v>
      </c>
      <c r="S2026" s="29">
        <v>7</v>
      </c>
      <c r="T2026" s="32">
        <v>0.108888888888</v>
      </c>
      <c r="U2026" s="32">
        <v>0</v>
      </c>
      <c r="V2026" s="40">
        <v>7402.0408163265301</v>
      </c>
      <c r="W2026" s="30"/>
      <c r="X2026" s="30"/>
    </row>
    <row r="2027" spans="1:24" ht="15.75" thickBot="1" x14ac:dyDescent="0.3">
      <c r="A2027" t="str">
        <f t="shared" si="31"/>
        <v>PCP2623943IP0200</v>
      </c>
      <c r="B2027" s="22" t="s">
        <v>7861</v>
      </c>
      <c r="C2027" s="21"/>
      <c r="D2027" s="22" t="s">
        <v>7862</v>
      </c>
      <c r="E2027" s="22" t="s">
        <v>7830</v>
      </c>
      <c r="F2027" s="22" t="s">
        <v>2030</v>
      </c>
      <c r="G2027" s="28" t="s">
        <v>2012</v>
      </c>
      <c r="H2027" s="22" t="s">
        <v>3866</v>
      </c>
      <c r="I2027" s="22" t="s">
        <v>3867</v>
      </c>
      <c r="J2027" s="22" t="s">
        <v>494</v>
      </c>
      <c r="K2027" s="22" t="s">
        <v>262</v>
      </c>
      <c r="L2027" s="22" t="s">
        <v>3868</v>
      </c>
      <c r="M2027" s="22" t="s">
        <v>2130</v>
      </c>
      <c r="N2027" s="28" t="s">
        <v>2494</v>
      </c>
      <c r="O2027" s="28" t="s">
        <v>2016</v>
      </c>
      <c r="P2027" s="29">
        <v>604</v>
      </c>
      <c r="Q2027" s="28" t="s">
        <v>2017</v>
      </c>
      <c r="R2027" s="40">
        <v>2157.1428571428601</v>
      </c>
      <c r="S2027" s="29">
        <v>18</v>
      </c>
      <c r="T2027" s="32">
        <v>0.28000000000000003</v>
      </c>
      <c r="U2027" s="32">
        <v>0</v>
      </c>
      <c r="V2027" s="40">
        <v>2157.1428571428601</v>
      </c>
      <c r="W2027" s="30"/>
      <c r="X2027" s="30"/>
    </row>
    <row r="2028" spans="1:24" ht="15.75" thickBot="1" x14ac:dyDescent="0.3">
      <c r="A2028" t="str">
        <f t="shared" si="31"/>
        <v>PCP2623943IP0300</v>
      </c>
      <c r="B2028" s="22" t="s">
        <v>7863</v>
      </c>
      <c r="C2028" s="21"/>
      <c r="D2028" s="22" t="s">
        <v>7864</v>
      </c>
      <c r="E2028" s="22" t="s">
        <v>7830</v>
      </c>
      <c r="F2028" s="22" t="s">
        <v>2030</v>
      </c>
      <c r="G2028" s="28" t="s">
        <v>2012</v>
      </c>
      <c r="H2028" s="22" t="s">
        <v>3866</v>
      </c>
      <c r="I2028" s="22" t="s">
        <v>3867</v>
      </c>
      <c r="J2028" s="22" t="s">
        <v>494</v>
      </c>
      <c r="K2028" s="22" t="s">
        <v>262</v>
      </c>
      <c r="L2028" s="22" t="s">
        <v>3868</v>
      </c>
      <c r="M2028" s="22" t="s">
        <v>2130</v>
      </c>
      <c r="N2028" s="28" t="s">
        <v>2494</v>
      </c>
      <c r="O2028" s="28" t="s">
        <v>2016</v>
      </c>
      <c r="P2028" s="29">
        <v>428</v>
      </c>
      <c r="Q2028" s="28" t="s">
        <v>2017</v>
      </c>
      <c r="R2028" s="21"/>
      <c r="S2028" s="21"/>
      <c r="T2028" s="21"/>
      <c r="U2028" s="21"/>
      <c r="V2028" s="21"/>
      <c r="W2028" s="21"/>
      <c r="X2028" s="21"/>
    </row>
    <row r="2029" spans="1:24" ht="15.75" thickBot="1" x14ac:dyDescent="0.3">
      <c r="A2029" t="str">
        <f t="shared" si="31"/>
        <v>PCP2623943IP0400</v>
      </c>
      <c r="B2029" s="22" t="s">
        <v>7865</v>
      </c>
      <c r="C2029" s="21"/>
      <c r="D2029" s="22" t="s">
        <v>7866</v>
      </c>
      <c r="E2029" s="21"/>
      <c r="F2029" s="22" t="s">
        <v>2030</v>
      </c>
      <c r="G2029" s="28" t="s">
        <v>2012</v>
      </c>
      <c r="H2029" s="22" t="s">
        <v>3866</v>
      </c>
      <c r="I2029" s="22" t="s">
        <v>3867</v>
      </c>
      <c r="J2029" s="22" t="s">
        <v>494</v>
      </c>
      <c r="K2029" s="22" t="s">
        <v>262</v>
      </c>
      <c r="L2029" s="22" t="s">
        <v>3868</v>
      </c>
      <c r="M2029" s="22" t="s">
        <v>2130</v>
      </c>
      <c r="N2029" s="28" t="s">
        <v>2494</v>
      </c>
      <c r="O2029" s="28" t="s">
        <v>2016</v>
      </c>
      <c r="P2029" s="29">
        <v>1271</v>
      </c>
      <c r="Q2029" s="28" t="s">
        <v>2017</v>
      </c>
      <c r="R2029" s="40">
        <v>27235.714285714301</v>
      </c>
      <c r="S2029" s="29">
        <v>3</v>
      </c>
      <c r="T2029" s="32">
        <v>4.6666666666000001E-2</v>
      </c>
      <c r="U2029" s="32">
        <v>0</v>
      </c>
      <c r="V2029" s="40">
        <v>27235.714285714301</v>
      </c>
      <c r="W2029" s="30"/>
      <c r="X2029" s="30"/>
    </row>
    <row r="2030" spans="1:24" ht="15.75" thickBot="1" x14ac:dyDescent="0.3">
      <c r="A2030" t="str">
        <f t="shared" si="31"/>
        <v>PCP26243A52APIA02</v>
      </c>
      <c r="B2030" s="22" t="s">
        <v>7867</v>
      </c>
      <c r="C2030" s="22" t="s">
        <v>7868</v>
      </c>
      <c r="D2030" s="22" t="s">
        <v>7869</v>
      </c>
      <c r="E2030" s="21"/>
      <c r="F2030" s="22" t="s">
        <v>2030</v>
      </c>
      <c r="G2030" s="28" t="s">
        <v>2012</v>
      </c>
      <c r="H2030" s="22" t="s">
        <v>3856</v>
      </c>
      <c r="I2030" s="22" t="s">
        <v>3857</v>
      </c>
      <c r="J2030" s="22" t="s">
        <v>494</v>
      </c>
      <c r="K2030" s="22" t="s">
        <v>262</v>
      </c>
      <c r="L2030" s="22" t="s">
        <v>3858</v>
      </c>
      <c r="M2030" s="22" t="s">
        <v>2130</v>
      </c>
      <c r="N2030" s="28" t="s">
        <v>2494</v>
      </c>
      <c r="O2030" s="28" t="s">
        <v>2016</v>
      </c>
      <c r="P2030" s="29">
        <v>3150</v>
      </c>
      <c r="Q2030" s="28" t="s">
        <v>2017</v>
      </c>
      <c r="R2030" s="21"/>
      <c r="S2030" s="21"/>
      <c r="T2030" s="21"/>
      <c r="U2030" s="21"/>
      <c r="V2030" s="21"/>
      <c r="W2030" s="21"/>
      <c r="X2030" s="21"/>
    </row>
    <row r="2031" spans="1:24" ht="15.75" thickBot="1" x14ac:dyDescent="0.3">
      <c r="A2031" t="str">
        <f t="shared" si="31"/>
        <v>PCP26243A53APIA02</v>
      </c>
      <c r="B2031" s="22" t="s">
        <v>7870</v>
      </c>
      <c r="C2031" s="22" t="s">
        <v>7871</v>
      </c>
      <c r="D2031" s="22" t="s">
        <v>7872</v>
      </c>
      <c r="E2031" s="21"/>
      <c r="F2031" s="22" t="s">
        <v>2030</v>
      </c>
      <c r="G2031" s="28" t="s">
        <v>2012</v>
      </c>
      <c r="H2031" s="22" t="s">
        <v>3856</v>
      </c>
      <c r="I2031" s="22" t="s">
        <v>3857</v>
      </c>
      <c r="J2031" s="22" t="s">
        <v>494</v>
      </c>
      <c r="K2031" s="22" t="s">
        <v>262</v>
      </c>
      <c r="L2031" s="22" t="s">
        <v>3858</v>
      </c>
      <c r="M2031" s="22" t="s">
        <v>2130</v>
      </c>
      <c r="N2031" s="28" t="s">
        <v>2494</v>
      </c>
      <c r="O2031" s="28" t="s">
        <v>2016</v>
      </c>
      <c r="P2031" s="29">
        <v>1050</v>
      </c>
      <c r="Q2031" s="28" t="s">
        <v>2017</v>
      </c>
      <c r="R2031" s="21"/>
      <c r="S2031" s="21"/>
      <c r="T2031" s="21"/>
      <c r="U2031" s="21"/>
      <c r="V2031" s="21"/>
      <c r="W2031" s="21"/>
      <c r="X2031" s="21"/>
    </row>
    <row r="2032" spans="1:24" ht="15.75" thickBot="1" x14ac:dyDescent="0.3">
      <c r="A2032" t="str">
        <f t="shared" si="31"/>
        <v>PCP26254A16ASY01</v>
      </c>
      <c r="B2032" s="22" t="s">
        <v>7873</v>
      </c>
      <c r="C2032" s="21"/>
      <c r="D2032" s="22" t="s">
        <v>7874</v>
      </c>
      <c r="E2032" s="22" t="s">
        <v>7875</v>
      </c>
      <c r="F2032" s="22" t="s">
        <v>2030</v>
      </c>
      <c r="G2032" s="28" t="s">
        <v>2012</v>
      </c>
      <c r="H2032" s="22" t="s">
        <v>3866</v>
      </c>
      <c r="I2032" s="22" t="s">
        <v>3867</v>
      </c>
      <c r="J2032" s="22" t="s">
        <v>494</v>
      </c>
      <c r="K2032" s="22" t="s">
        <v>262</v>
      </c>
      <c r="L2032" s="22" t="s">
        <v>3868</v>
      </c>
      <c r="M2032" s="22" t="s">
        <v>2130</v>
      </c>
      <c r="N2032" s="28" t="s">
        <v>2494</v>
      </c>
      <c r="O2032" s="28" t="s">
        <v>2016</v>
      </c>
      <c r="P2032" s="29">
        <v>280</v>
      </c>
      <c r="Q2032" s="28" t="s">
        <v>2017</v>
      </c>
      <c r="R2032" s="21"/>
      <c r="S2032" s="21"/>
      <c r="T2032" s="21"/>
      <c r="U2032" s="21"/>
      <c r="V2032" s="21"/>
      <c r="W2032" s="21"/>
      <c r="X2032" s="21"/>
    </row>
    <row r="2033" spans="1:24" ht="15.75" thickBot="1" x14ac:dyDescent="0.3">
      <c r="A2033" t="str">
        <f t="shared" si="31"/>
        <v>PCP26254A17ASY01</v>
      </c>
      <c r="B2033" s="22" t="s">
        <v>7876</v>
      </c>
      <c r="C2033" s="21"/>
      <c r="D2033" s="22" t="s">
        <v>7877</v>
      </c>
      <c r="E2033" s="22" t="s">
        <v>7878</v>
      </c>
      <c r="F2033" s="22" t="s">
        <v>2030</v>
      </c>
      <c r="G2033" s="28" t="s">
        <v>2012</v>
      </c>
      <c r="H2033" s="22" t="s">
        <v>3866</v>
      </c>
      <c r="I2033" s="22" t="s">
        <v>3867</v>
      </c>
      <c r="J2033" s="22" t="s">
        <v>494</v>
      </c>
      <c r="K2033" s="22" t="s">
        <v>262</v>
      </c>
      <c r="L2033" s="22" t="s">
        <v>3868</v>
      </c>
      <c r="M2033" s="22" t="s">
        <v>2130</v>
      </c>
      <c r="N2033" s="28" t="s">
        <v>2494</v>
      </c>
      <c r="O2033" s="28" t="s">
        <v>2016</v>
      </c>
      <c r="P2033" s="29">
        <v>229</v>
      </c>
      <c r="Q2033" s="28" t="s">
        <v>2017</v>
      </c>
      <c r="R2033" s="21"/>
      <c r="S2033" s="21"/>
      <c r="T2033" s="21"/>
      <c r="U2033" s="21"/>
      <c r="V2033" s="21"/>
      <c r="W2033" s="21"/>
      <c r="X2033" s="21"/>
    </row>
    <row r="2034" spans="1:24" ht="15.75" thickBot="1" x14ac:dyDescent="0.3">
      <c r="A2034" t="str">
        <f t="shared" si="31"/>
        <v>PCP2627406AR0103</v>
      </c>
      <c r="B2034" s="22" t="s">
        <v>7879</v>
      </c>
      <c r="C2034" s="21"/>
      <c r="D2034" s="22" t="s">
        <v>7880</v>
      </c>
      <c r="E2034" s="21"/>
      <c r="F2034" s="22" t="s">
        <v>2030</v>
      </c>
      <c r="G2034" s="28" t="s">
        <v>2012</v>
      </c>
      <c r="H2034" s="22" t="s">
        <v>5479</v>
      </c>
      <c r="I2034" s="22" t="s">
        <v>5480</v>
      </c>
      <c r="J2034" s="22" t="s">
        <v>494</v>
      </c>
      <c r="K2034" s="22" t="s">
        <v>262</v>
      </c>
      <c r="L2034" s="22" t="s">
        <v>3318</v>
      </c>
      <c r="M2034" s="22" t="s">
        <v>2130</v>
      </c>
      <c r="N2034" s="28" t="s">
        <v>2494</v>
      </c>
      <c r="O2034" s="28" t="s">
        <v>2016</v>
      </c>
      <c r="P2034" s="29">
        <v>575</v>
      </c>
      <c r="Q2034" s="28" t="s">
        <v>2017</v>
      </c>
      <c r="R2034" s="21"/>
      <c r="S2034" s="21"/>
      <c r="T2034" s="21"/>
      <c r="U2034" s="21"/>
      <c r="V2034" s="21"/>
      <c r="W2034" s="21"/>
      <c r="X2034" s="21"/>
    </row>
    <row r="2035" spans="1:24" ht="15.75" thickBot="1" x14ac:dyDescent="0.3">
      <c r="A2035" t="str">
        <f t="shared" si="31"/>
        <v>PCP2627406AR0203</v>
      </c>
      <c r="B2035" s="22" t="s">
        <v>7881</v>
      </c>
      <c r="C2035" s="21"/>
      <c r="D2035" s="22" t="s">
        <v>7882</v>
      </c>
      <c r="E2035" s="21"/>
      <c r="F2035" s="22" t="s">
        <v>2030</v>
      </c>
      <c r="G2035" s="28" t="s">
        <v>2012</v>
      </c>
      <c r="H2035" s="22" t="s">
        <v>5479</v>
      </c>
      <c r="I2035" s="22" t="s">
        <v>5480</v>
      </c>
      <c r="J2035" s="22" t="s">
        <v>494</v>
      </c>
      <c r="K2035" s="22" t="s">
        <v>262</v>
      </c>
      <c r="L2035" s="22" t="s">
        <v>3318</v>
      </c>
      <c r="M2035" s="22" t="s">
        <v>2130</v>
      </c>
      <c r="N2035" s="28" t="s">
        <v>2494</v>
      </c>
      <c r="O2035" s="28" t="s">
        <v>2016</v>
      </c>
      <c r="P2035" s="29">
        <v>224</v>
      </c>
      <c r="Q2035" s="28" t="s">
        <v>2017</v>
      </c>
      <c r="R2035" s="21"/>
      <c r="S2035" s="21"/>
      <c r="T2035" s="21"/>
      <c r="U2035" s="21"/>
      <c r="V2035" s="21"/>
      <c r="W2035" s="21"/>
      <c r="X2035" s="21"/>
    </row>
    <row r="2036" spans="1:24" ht="15.75" thickBot="1" x14ac:dyDescent="0.3">
      <c r="A2036" t="str">
        <f t="shared" si="31"/>
        <v>PCP2627406AR0303</v>
      </c>
      <c r="B2036" s="22" t="s">
        <v>7883</v>
      </c>
      <c r="C2036" s="21"/>
      <c r="D2036" s="22" t="s">
        <v>7884</v>
      </c>
      <c r="E2036" s="21"/>
      <c r="F2036" s="22" t="s">
        <v>2030</v>
      </c>
      <c r="G2036" s="28" t="s">
        <v>2012</v>
      </c>
      <c r="H2036" s="22" t="s">
        <v>5479</v>
      </c>
      <c r="I2036" s="22" t="s">
        <v>5480</v>
      </c>
      <c r="J2036" s="22" t="s">
        <v>494</v>
      </c>
      <c r="K2036" s="22" t="s">
        <v>262</v>
      </c>
      <c r="L2036" s="22" t="s">
        <v>3318</v>
      </c>
      <c r="M2036" s="22" t="s">
        <v>2130</v>
      </c>
      <c r="N2036" s="28" t="s">
        <v>2494</v>
      </c>
      <c r="O2036" s="28" t="s">
        <v>2016</v>
      </c>
      <c r="P2036" s="29">
        <v>656</v>
      </c>
      <c r="Q2036" s="28" t="s">
        <v>2017</v>
      </c>
      <c r="R2036" s="40">
        <v>14057.142857142901</v>
      </c>
      <c r="S2036" s="29">
        <v>3</v>
      </c>
      <c r="T2036" s="32">
        <v>4.6666666666000001E-2</v>
      </c>
      <c r="U2036" s="32">
        <v>0</v>
      </c>
      <c r="V2036" s="40">
        <v>14057.142857142901</v>
      </c>
      <c r="W2036" s="30"/>
      <c r="X2036" s="30"/>
    </row>
    <row r="2037" spans="1:24" ht="15.75" thickBot="1" x14ac:dyDescent="0.3">
      <c r="A2037" t="str">
        <f t="shared" si="31"/>
        <v>PCP2627406AR0403</v>
      </c>
      <c r="B2037" s="22" t="s">
        <v>7885</v>
      </c>
      <c r="C2037" s="21"/>
      <c r="D2037" s="22" t="s">
        <v>7886</v>
      </c>
      <c r="E2037" s="21"/>
      <c r="F2037" s="22" t="s">
        <v>2030</v>
      </c>
      <c r="G2037" s="28" t="s">
        <v>2012</v>
      </c>
      <c r="H2037" s="22" t="s">
        <v>5479</v>
      </c>
      <c r="I2037" s="22" t="s">
        <v>5480</v>
      </c>
      <c r="J2037" s="22" t="s">
        <v>494</v>
      </c>
      <c r="K2037" s="22" t="s">
        <v>262</v>
      </c>
      <c r="L2037" s="22" t="s">
        <v>3318</v>
      </c>
      <c r="M2037" s="22" t="s">
        <v>2130</v>
      </c>
      <c r="N2037" s="28" t="s">
        <v>2494</v>
      </c>
      <c r="O2037" s="28" t="s">
        <v>2016</v>
      </c>
      <c r="P2037" s="29">
        <v>332</v>
      </c>
      <c r="Q2037" s="28" t="s">
        <v>2017</v>
      </c>
      <c r="R2037" s="21"/>
      <c r="S2037" s="21"/>
      <c r="T2037" s="21"/>
      <c r="U2037" s="21"/>
      <c r="V2037" s="21"/>
      <c r="W2037" s="21"/>
      <c r="X2037" s="21"/>
    </row>
    <row r="2038" spans="1:24" ht="15.75" thickBot="1" x14ac:dyDescent="0.3">
      <c r="A2038" t="str">
        <f t="shared" si="31"/>
        <v>PCP2627406AR0501</v>
      </c>
      <c r="B2038" s="22" t="s">
        <v>7887</v>
      </c>
      <c r="C2038" s="21"/>
      <c r="D2038" s="22" t="s">
        <v>7888</v>
      </c>
      <c r="E2038" s="21"/>
      <c r="F2038" s="22" t="s">
        <v>2030</v>
      </c>
      <c r="G2038" s="28" t="s">
        <v>2012</v>
      </c>
      <c r="H2038" s="22" t="s">
        <v>5479</v>
      </c>
      <c r="I2038" s="22" t="s">
        <v>5480</v>
      </c>
      <c r="J2038" s="22" t="s">
        <v>494</v>
      </c>
      <c r="K2038" s="22" t="s">
        <v>262</v>
      </c>
      <c r="L2038" s="22" t="s">
        <v>3318</v>
      </c>
      <c r="M2038" s="22" t="s">
        <v>2130</v>
      </c>
      <c r="N2038" s="28" t="s">
        <v>2494</v>
      </c>
      <c r="O2038" s="28" t="s">
        <v>2016</v>
      </c>
      <c r="P2038" s="29">
        <v>361</v>
      </c>
      <c r="Q2038" s="28" t="s">
        <v>2017</v>
      </c>
      <c r="R2038" s="21"/>
      <c r="S2038" s="21"/>
      <c r="T2038" s="21"/>
      <c r="U2038" s="21"/>
      <c r="V2038" s="21"/>
      <c r="W2038" s="21"/>
      <c r="X2038" s="21"/>
    </row>
    <row r="2039" spans="1:24" ht="15.75" thickBot="1" x14ac:dyDescent="0.3">
      <c r="A2039" t="str">
        <f t="shared" si="31"/>
        <v>PCP2627406ID0101</v>
      </c>
      <c r="B2039" s="22" t="s">
        <v>7889</v>
      </c>
      <c r="C2039" s="21"/>
      <c r="D2039" s="22" t="s">
        <v>7890</v>
      </c>
      <c r="E2039" s="21"/>
      <c r="F2039" s="22" t="s">
        <v>2030</v>
      </c>
      <c r="G2039" s="28" t="s">
        <v>2012</v>
      </c>
      <c r="H2039" s="22" t="s">
        <v>3866</v>
      </c>
      <c r="I2039" s="22" t="s">
        <v>3867</v>
      </c>
      <c r="J2039" s="22" t="s">
        <v>494</v>
      </c>
      <c r="K2039" s="22" t="s">
        <v>262</v>
      </c>
      <c r="L2039" s="22" t="s">
        <v>3868</v>
      </c>
      <c r="M2039" s="22" t="s">
        <v>2130</v>
      </c>
      <c r="N2039" s="28" t="s">
        <v>2494</v>
      </c>
      <c r="O2039" s="28" t="s">
        <v>2016</v>
      </c>
      <c r="P2039" s="29">
        <v>1671</v>
      </c>
      <c r="Q2039" s="28" t="s">
        <v>2017</v>
      </c>
      <c r="R2039" s="21"/>
      <c r="S2039" s="21"/>
      <c r="T2039" s="21"/>
      <c r="U2039" s="21"/>
      <c r="V2039" s="21"/>
      <c r="W2039" s="21"/>
      <c r="X2039" s="21"/>
    </row>
    <row r="2040" spans="1:24" ht="15.75" thickBot="1" x14ac:dyDescent="0.3">
      <c r="A2040" t="str">
        <f t="shared" si="31"/>
        <v>PCP2627406ID0201</v>
      </c>
      <c r="B2040" s="22" t="s">
        <v>7891</v>
      </c>
      <c r="C2040" s="21"/>
      <c r="D2040" s="22" t="s">
        <v>7892</v>
      </c>
      <c r="E2040" s="21"/>
      <c r="F2040" s="22" t="s">
        <v>2030</v>
      </c>
      <c r="G2040" s="28" t="s">
        <v>2012</v>
      </c>
      <c r="H2040" s="22" t="s">
        <v>3866</v>
      </c>
      <c r="I2040" s="22" t="s">
        <v>3867</v>
      </c>
      <c r="J2040" s="22" t="s">
        <v>494</v>
      </c>
      <c r="K2040" s="22" t="s">
        <v>262</v>
      </c>
      <c r="L2040" s="22" t="s">
        <v>3868</v>
      </c>
      <c r="M2040" s="22" t="s">
        <v>2130</v>
      </c>
      <c r="N2040" s="28" t="s">
        <v>2494</v>
      </c>
      <c r="O2040" s="28" t="s">
        <v>2016</v>
      </c>
      <c r="P2040" s="29">
        <v>2085</v>
      </c>
      <c r="Q2040" s="28" t="s">
        <v>2017</v>
      </c>
      <c r="R2040" s="21"/>
      <c r="S2040" s="21"/>
      <c r="T2040" s="21"/>
      <c r="U2040" s="21"/>
      <c r="V2040" s="21"/>
      <c r="W2040" s="21"/>
      <c r="X2040" s="21"/>
    </row>
    <row r="2041" spans="1:24" ht="15.75" thickBot="1" x14ac:dyDescent="0.3">
      <c r="A2041" t="str">
        <f t="shared" si="31"/>
        <v>PCP2627406ID0301</v>
      </c>
      <c r="B2041" s="22" t="s">
        <v>7893</v>
      </c>
      <c r="C2041" s="21"/>
      <c r="D2041" s="22" t="s">
        <v>7894</v>
      </c>
      <c r="E2041" s="21"/>
      <c r="F2041" s="22" t="s">
        <v>2030</v>
      </c>
      <c r="G2041" s="28" t="s">
        <v>2012</v>
      </c>
      <c r="H2041" s="22" t="s">
        <v>3866</v>
      </c>
      <c r="I2041" s="22" t="s">
        <v>3867</v>
      </c>
      <c r="J2041" s="22" t="s">
        <v>494</v>
      </c>
      <c r="K2041" s="22" t="s">
        <v>262</v>
      </c>
      <c r="L2041" s="22" t="s">
        <v>3868</v>
      </c>
      <c r="M2041" s="22" t="s">
        <v>2130</v>
      </c>
      <c r="N2041" s="28" t="s">
        <v>2494</v>
      </c>
      <c r="O2041" s="28" t="s">
        <v>2016</v>
      </c>
      <c r="P2041" s="29">
        <v>675</v>
      </c>
      <c r="Q2041" s="28" t="s">
        <v>2017</v>
      </c>
      <c r="R2041" s="40">
        <v>14464.285714285699</v>
      </c>
      <c r="S2041" s="29">
        <v>3</v>
      </c>
      <c r="T2041" s="32">
        <v>4.6666666666000001E-2</v>
      </c>
      <c r="U2041" s="32">
        <v>0</v>
      </c>
      <c r="V2041" s="40">
        <v>14464.285714285699</v>
      </c>
      <c r="W2041" s="30"/>
      <c r="X2041" s="30"/>
    </row>
    <row r="2042" spans="1:24" ht="15.75" thickBot="1" x14ac:dyDescent="0.3">
      <c r="A2042" t="str">
        <f t="shared" si="31"/>
        <v>PCP2627406ID0400</v>
      </c>
      <c r="B2042" s="22" t="s">
        <v>7895</v>
      </c>
      <c r="C2042" s="21"/>
      <c r="D2042" s="22" t="s">
        <v>7896</v>
      </c>
      <c r="E2042" s="21"/>
      <c r="F2042" s="22" t="s">
        <v>2030</v>
      </c>
      <c r="G2042" s="28" t="s">
        <v>2012</v>
      </c>
      <c r="H2042" s="22" t="s">
        <v>3866</v>
      </c>
      <c r="I2042" s="22" t="s">
        <v>3867</v>
      </c>
      <c r="J2042" s="22" t="s">
        <v>494</v>
      </c>
      <c r="K2042" s="22" t="s">
        <v>262</v>
      </c>
      <c r="L2042" s="22" t="s">
        <v>3868</v>
      </c>
      <c r="M2042" s="22" t="s">
        <v>2130</v>
      </c>
      <c r="N2042" s="28" t="s">
        <v>2494</v>
      </c>
      <c r="O2042" s="28" t="s">
        <v>2016</v>
      </c>
      <c r="P2042" s="29">
        <v>1250</v>
      </c>
      <c r="Q2042" s="28" t="s">
        <v>2017</v>
      </c>
      <c r="R2042" s="21"/>
      <c r="S2042" s="21"/>
      <c r="T2042" s="21"/>
      <c r="U2042" s="21"/>
      <c r="V2042" s="21"/>
      <c r="W2042" s="21"/>
      <c r="X2042" s="21"/>
    </row>
    <row r="2043" spans="1:24" ht="15.75" thickBot="1" x14ac:dyDescent="0.3">
      <c r="A2043" t="str">
        <f t="shared" si="31"/>
        <v>PCP2627406IGC0101</v>
      </c>
      <c r="B2043" s="22" t="s">
        <v>7897</v>
      </c>
      <c r="C2043" s="21"/>
      <c r="D2043" s="22" t="s">
        <v>7898</v>
      </c>
      <c r="E2043" s="21"/>
      <c r="F2043" s="22" t="s">
        <v>2030</v>
      </c>
      <c r="G2043" s="28" t="s">
        <v>2012</v>
      </c>
      <c r="H2043" s="22" t="s">
        <v>7817</v>
      </c>
      <c r="I2043" s="22" t="s">
        <v>7818</v>
      </c>
      <c r="J2043" s="22" t="s">
        <v>494</v>
      </c>
      <c r="K2043" s="22" t="s">
        <v>262</v>
      </c>
      <c r="L2043" s="22" t="s">
        <v>7819</v>
      </c>
      <c r="M2043" s="22" t="s">
        <v>2130</v>
      </c>
      <c r="N2043" s="28" t="s">
        <v>2494</v>
      </c>
      <c r="O2043" s="28" t="s">
        <v>2016</v>
      </c>
      <c r="P2043" s="29">
        <v>336</v>
      </c>
      <c r="Q2043" s="28" t="s">
        <v>2017</v>
      </c>
      <c r="R2043" s="21"/>
      <c r="S2043" s="21"/>
      <c r="T2043" s="21"/>
      <c r="U2043" s="21"/>
      <c r="V2043" s="21"/>
      <c r="W2043" s="21"/>
      <c r="X2043" s="21"/>
    </row>
    <row r="2044" spans="1:24" ht="15.75" thickBot="1" x14ac:dyDescent="0.3">
      <c r="A2044" t="str">
        <f t="shared" si="31"/>
        <v>PCP2627406IGC0202</v>
      </c>
      <c r="B2044" s="22" t="s">
        <v>7899</v>
      </c>
      <c r="C2044" s="21"/>
      <c r="D2044" s="22" t="s">
        <v>7900</v>
      </c>
      <c r="E2044" s="21"/>
      <c r="F2044" s="22" t="s">
        <v>2030</v>
      </c>
      <c r="G2044" s="28" t="s">
        <v>2012</v>
      </c>
      <c r="H2044" s="22" t="s">
        <v>7817</v>
      </c>
      <c r="I2044" s="22" t="s">
        <v>7818</v>
      </c>
      <c r="J2044" s="22" t="s">
        <v>494</v>
      </c>
      <c r="K2044" s="22" t="s">
        <v>262</v>
      </c>
      <c r="L2044" s="22" t="s">
        <v>7819</v>
      </c>
      <c r="M2044" s="22" t="s">
        <v>2130</v>
      </c>
      <c r="N2044" s="28" t="s">
        <v>2494</v>
      </c>
      <c r="O2044" s="28" t="s">
        <v>2016</v>
      </c>
      <c r="P2044" s="29">
        <v>569</v>
      </c>
      <c r="Q2044" s="28" t="s">
        <v>2017</v>
      </c>
      <c r="R2044" s="40">
        <v>12192.857142857099</v>
      </c>
      <c r="S2044" s="29">
        <v>3</v>
      </c>
      <c r="T2044" s="32">
        <v>4.6666666666000001E-2</v>
      </c>
      <c r="U2044" s="32">
        <v>0</v>
      </c>
      <c r="V2044" s="40">
        <v>12192.857142857099</v>
      </c>
      <c r="W2044" s="30"/>
      <c r="X2044" s="30"/>
    </row>
    <row r="2045" spans="1:24" ht="15.75" thickBot="1" x14ac:dyDescent="0.3">
      <c r="A2045" t="str">
        <f t="shared" si="31"/>
        <v>PCP2627406IGC0302</v>
      </c>
      <c r="B2045" s="22" t="s">
        <v>7901</v>
      </c>
      <c r="C2045" s="21"/>
      <c r="D2045" s="22" t="s">
        <v>7902</v>
      </c>
      <c r="E2045" s="21"/>
      <c r="F2045" s="22" t="s">
        <v>2030</v>
      </c>
      <c r="G2045" s="28" t="s">
        <v>2012</v>
      </c>
      <c r="H2045" s="22" t="s">
        <v>7817</v>
      </c>
      <c r="I2045" s="22" t="s">
        <v>7818</v>
      </c>
      <c r="J2045" s="22" t="s">
        <v>494</v>
      </c>
      <c r="K2045" s="22" t="s">
        <v>262</v>
      </c>
      <c r="L2045" s="22" t="s">
        <v>7819</v>
      </c>
      <c r="M2045" s="22" t="s">
        <v>2130</v>
      </c>
      <c r="N2045" s="28" t="s">
        <v>2494</v>
      </c>
      <c r="O2045" s="28" t="s">
        <v>2016</v>
      </c>
      <c r="P2045" s="29">
        <v>1247</v>
      </c>
      <c r="Q2045" s="28" t="s">
        <v>2017</v>
      </c>
      <c r="R2045" s="21"/>
      <c r="S2045" s="21"/>
      <c r="T2045" s="21"/>
      <c r="U2045" s="21"/>
      <c r="V2045" s="21"/>
      <c r="W2045" s="21"/>
      <c r="X2045" s="21"/>
    </row>
    <row r="2046" spans="1:24" ht="15.75" thickBot="1" x14ac:dyDescent="0.3">
      <c r="A2046" t="str">
        <f t="shared" si="31"/>
        <v>PCP2627406IGC04</v>
      </c>
      <c r="B2046" s="22" t="s">
        <v>7903</v>
      </c>
      <c r="C2046" s="21"/>
      <c r="D2046" s="22" t="s">
        <v>7904</v>
      </c>
      <c r="E2046" s="21"/>
      <c r="F2046" s="22" t="s">
        <v>2030</v>
      </c>
      <c r="G2046" s="28" t="s">
        <v>2012</v>
      </c>
      <c r="H2046" s="22" t="s">
        <v>7817</v>
      </c>
      <c r="I2046" s="22" t="s">
        <v>7818</v>
      </c>
      <c r="J2046" s="22" t="s">
        <v>494</v>
      </c>
      <c r="K2046" s="22" t="s">
        <v>262</v>
      </c>
      <c r="L2046" s="22" t="s">
        <v>7819</v>
      </c>
      <c r="M2046" s="22" t="s">
        <v>2130</v>
      </c>
      <c r="N2046" s="28" t="s">
        <v>2494</v>
      </c>
      <c r="O2046" s="28" t="s">
        <v>2016</v>
      </c>
      <c r="P2046" s="29">
        <v>0</v>
      </c>
      <c r="Q2046" s="28" t="s">
        <v>2017</v>
      </c>
      <c r="R2046" s="21"/>
      <c r="S2046" s="21"/>
      <c r="T2046" s="21"/>
      <c r="U2046" s="21"/>
      <c r="V2046" s="21"/>
      <c r="W2046" s="21"/>
      <c r="X2046" s="21"/>
    </row>
    <row r="2047" spans="1:24" ht="15.75" thickBot="1" x14ac:dyDescent="0.3">
      <c r="A2047" t="str">
        <f t="shared" si="31"/>
        <v>PCP2627406IGC05</v>
      </c>
      <c r="B2047" s="22" t="s">
        <v>7905</v>
      </c>
      <c r="C2047" s="21"/>
      <c r="D2047" s="22" t="s">
        <v>7906</v>
      </c>
      <c r="E2047" s="21"/>
      <c r="F2047" s="22" t="s">
        <v>2030</v>
      </c>
      <c r="G2047" s="28" t="s">
        <v>2012</v>
      </c>
      <c r="H2047" s="22" t="s">
        <v>7817</v>
      </c>
      <c r="I2047" s="22" t="s">
        <v>7818</v>
      </c>
      <c r="J2047" s="22" t="s">
        <v>494</v>
      </c>
      <c r="K2047" s="22" t="s">
        <v>262</v>
      </c>
      <c r="L2047" s="22" t="s">
        <v>7819</v>
      </c>
      <c r="M2047" s="22" t="s">
        <v>2130</v>
      </c>
      <c r="N2047" s="28" t="s">
        <v>2494</v>
      </c>
      <c r="O2047" s="28" t="s">
        <v>2016</v>
      </c>
      <c r="P2047" s="29">
        <v>1157</v>
      </c>
      <c r="Q2047" s="28" t="s">
        <v>2017</v>
      </c>
      <c r="R2047" s="21"/>
      <c r="S2047" s="21"/>
      <c r="T2047" s="21"/>
      <c r="U2047" s="21"/>
      <c r="V2047" s="21"/>
      <c r="W2047" s="21"/>
      <c r="X2047" s="21"/>
    </row>
    <row r="2048" spans="1:24" ht="15.75" thickBot="1" x14ac:dyDescent="0.3">
      <c r="A2048" t="str">
        <f t="shared" si="31"/>
        <v>PCP2627406LS00</v>
      </c>
      <c r="B2048" s="22" t="s">
        <v>7907</v>
      </c>
      <c r="C2048" s="22" t="s">
        <v>7908</v>
      </c>
      <c r="D2048" s="22" t="s">
        <v>7909</v>
      </c>
      <c r="E2048" s="21"/>
      <c r="F2048" s="22" t="s">
        <v>2030</v>
      </c>
      <c r="G2048" s="28" t="s">
        <v>2012</v>
      </c>
      <c r="H2048" s="22" t="s">
        <v>3856</v>
      </c>
      <c r="I2048" s="22" t="s">
        <v>3857</v>
      </c>
      <c r="J2048" s="22" t="s">
        <v>494</v>
      </c>
      <c r="K2048" s="22" t="s">
        <v>262</v>
      </c>
      <c r="L2048" s="22" t="s">
        <v>3858</v>
      </c>
      <c r="M2048" s="22" t="s">
        <v>2130</v>
      </c>
      <c r="N2048" s="28" t="s">
        <v>2494</v>
      </c>
      <c r="O2048" s="28" t="s">
        <v>2016</v>
      </c>
      <c r="P2048" s="29">
        <v>23282</v>
      </c>
      <c r="Q2048" s="28" t="s">
        <v>2017</v>
      </c>
      <c r="R2048" s="40">
        <v>16268.4782608696</v>
      </c>
      <c r="S2048" s="29">
        <v>92</v>
      </c>
      <c r="T2048" s="32">
        <v>1.431111111111</v>
      </c>
      <c r="U2048" s="32">
        <v>0</v>
      </c>
      <c r="V2048" s="40">
        <v>16268.4782608696</v>
      </c>
      <c r="W2048" s="30"/>
      <c r="X2048" s="30"/>
    </row>
    <row r="2049" spans="1:24" ht="15.75" thickBot="1" x14ac:dyDescent="0.3">
      <c r="A2049" t="str">
        <f t="shared" si="31"/>
        <v>PCP2627406NVH01</v>
      </c>
      <c r="B2049" s="22" t="s">
        <v>7910</v>
      </c>
      <c r="C2049" s="22" t="s">
        <v>7911</v>
      </c>
      <c r="D2049" s="22" t="s">
        <v>7912</v>
      </c>
      <c r="E2049" s="21"/>
      <c r="F2049" s="22" t="s">
        <v>2030</v>
      </c>
      <c r="G2049" s="28" t="s">
        <v>2012</v>
      </c>
      <c r="H2049" s="22" t="s">
        <v>3856</v>
      </c>
      <c r="I2049" s="22" t="s">
        <v>3857</v>
      </c>
      <c r="J2049" s="22" t="s">
        <v>494</v>
      </c>
      <c r="K2049" s="22" t="s">
        <v>262</v>
      </c>
      <c r="L2049" s="22" t="s">
        <v>3858</v>
      </c>
      <c r="M2049" s="22" t="s">
        <v>2130</v>
      </c>
      <c r="N2049" s="28" t="s">
        <v>2494</v>
      </c>
      <c r="O2049" s="28" t="s">
        <v>2016</v>
      </c>
      <c r="P2049" s="29">
        <v>147</v>
      </c>
      <c r="Q2049" s="28" t="s">
        <v>2017</v>
      </c>
      <c r="R2049" s="21"/>
      <c r="S2049" s="21"/>
      <c r="T2049" s="21"/>
      <c r="U2049" s="21"/>
      <c r="V2049" s="21"/>
      <c r="W2049" s="21"/>
      <c r="X2049" s="21"/>
    </row>
    <row r="2050" spans="1:24" ht="15.75" thickBot="1" x14ac:dyDescent="0.3">
      <c r="A2050" t="str">
        <f t="shared" si="31"/>
        <v>PCP2627406NVH02</v>
      </c>
      <c r="B2050" s="22" t="s">
        <v>7913</v>
      </c>
      <c r="C2050" s="22" t="s">
        <v>7911</v>
      </c>
      <c r="D2050" s="22" t="s">
        <v>7912</v>
      </c>
      <c r="E2050" s="21"/>
      <c r="F2050" s="22" t="s">
        <v>2030</v>
      </c>
      <c r="G2050" s="28" t="s">
        <v>2012</v>
      </c>
      <c r="H2050" s="22" t="s">
        <v>3856</v>
      </c>
      <c r="I2050" s="22" t="s">
        <v>3857</v>
      </c>
      <c r="J2050" s="22" t="s">
        <v>494</v>
      </c>
      <c r="K2050" s="22" t="s">
        <v>262</v>
      </c>
      <c r="L2050" s="22" t="s">
        <v>3858</v>
      </c>
      <c r="M2050" s="22" t="s">
        <v>2130</v>
      </c>
      <c r="N2050" s="28" t="s">
        <v>2494</v>
      </c>
      <c r="O2050" s="28" t="s">
        <v>2016</v>
      </c>
      <c r="P2050" s="29">
        <v>1918</v>
      </c>
      <c r="Q2050" s="28" t="s">
        <v>2017</v>
      </c>
      <c r="R2050" s="40">
        <v>11209.090909090901</v>
      </c>
      <c r="S2050" s="29">
        <v>11</v>
      </c>
      <c r="T2050" s="32">
        <v>0.171111111111</v>
      </c>
      <c r="U2050" s="32">
        <v>0</v>
      </c>
      <c r="V2050" s="40">
        <v>11209.090909090901</v>
      </c>
      <c r="W2050" s="30"/>
      <c r="X2050" s="30"/>
    </row>
    <row r="2051" spans="1:24" ht="15.75" thickBot="1" x14ac:dyDescent="0.3">
      <c r="A2051" t="str">
        <f t="shared" si="31"/>
        <v>PCP2627407AR0103</v>
      </c>
      <c r="B2051" s="22" t="s">
        <v>7914</v>
      </c>
      <c r="C2051" s="21"/>
      <c r="D2051" s="22" t="s">
        <v>7915</v>
      </c>
      <c r="E2051" s="21"/>
      <c r="F2051" s="22" t="s">
        <v>2030</v>
      </c>
      <c r="G2051" s="28" t="s">
        <v>2012</v>
      </c>
      <c r="H2051" s="22" t="s">
        <v>5479</v>
      </c>
      <c r="I2051" s="22" t="s">
        <v>5480</v>
      </c>
      <c r="J2051" s="22" t="s">
        <v>494</v>
      </c>
      <c r="K2051" s="22" t="s">
        <v>262</v>
      </c>
      <c r="L2051" s="22" t="s">
        <v>3318</v>
      </c>
      <c r="M2051" s="22" t="s">
        <v>2130</v>
      </c>
      <c r="N2051" s="28" t="s">
        <v>2494</v>
      </c>
      <c r="O2051" s="28" t="s">
        <v>2016</v>
      </c>
      <c r="P2051" s="29">
        <v>566</v>
      </c>
      <c r="Q2051" s="28" t="s">
        <v>2017</v>
      </c>
      <c r="R2051" s="40">
        <v>4548.2142857142899</v>
      </c>
      <c r="S2051" s="29">
        <v>8</v>
      </c>
      <c r="T2051" s="32">
        <v>0.124444444444</v>
      </c>
      <c r="U2051" s="32">
        <v>0</v>
      </c>
      <c r="V2051" s="40">
        <v>4548.2142857142899</v>
      </c>
      <c r="W2051" s="30"/>
      <c r="X2051" s="30"/>
    </row>
    <row r="2052" spans="1:24" ht="15.75" thickBot="1" x14ac:dyDescent="0.3">
      <c r="A2052" t="str">
        <f t="shared" si="31"/>
        <v>PCP2627407AR0203</v>
      </c>
      <c r="B2052" s="22" t="s">
        <v>7916</v>
      </c>
      <c r="C2052" s="21"/>
      <c r="D2052" s="22" t="s">
        <v>7917</v>
      </c>
      <c r="E2052" s="21"/>
      <c r="F2052" s="22" t="s">
        <v>2030</v>
      </c>
      <c r="G2052" s="28" t="s">
        <v>2012</v>
      </c>
      <c r="H2052" s="22" t="s">
        <v>5479</v>
      </c>
      <c r="I2052" s="22" t="s">
        <v>5480</v>
      </c>
      <c r="J2052" s="22" t="s">
        <v>494</v>
      </c>
      <c r="K2052" s="22" t="s">
        <v>262</v>
      </c>
      <c r="L2052" s="22" t="s">
        <v>3318</v>
      </c>
      <c r="M2052" s="22" t="s">
        <v>2130</v>
      </c>
      <c r="N2052" s="28" t="s">
        <v>2494</v>
      </c>
      <c r="O2052" s="28" t="s">
        <v>2016</v>
      </c>
      <c r="P2052" s="29">
        <v>342</v>
      </c>
      <c r="Q2052" s="28" t="s">
        <v>2017</v>
      </c>
      <c r="R2052" s="21"/>
      <c r="S2052" s="21"/>
      <c r="T2052" s="21"/>
      <c r="U2052" s="21"/>
      <c r="V2052" s="21"/>
      <c r="W2052" s="21"/>
      <c r="X2052" s="21"/>
    </row>
    <row r="2053" spans="1:24" ht="15.75" thickBot="1" x14ac:dyDescent="0.3">
      <c r="A2053" t="str">
        <f t="shared" ref="A2053:A2116" si="32">TRIM(B2053)</f>
        <v>PCP2627407AR0303</v>
      </c>
      <c r="B2053" s="22" t="s">
        <v>7918</v>
      </c>
      <c r="C2053" s="21"/>
      <c r="D2053" s="22" t="s">
        <v>7919</v>
      </c>
      <c r="E2053" s="21"/>
      <c r="F2053" s="22" t="s">
        <v>2030</v>
      </c>
      <c r="G2053" s="28" t="s">
        <v>2012</v>
      </c>
      <c r="H2053" s="22" t="s">
        <v>5479</v>
      </c>
      <c r="I2053" s="22" t="s">
        <v>5480</v>
      </c>
      <c r="J2053" s="22" t="s">
        <v>494</v>
      </c>
      <c r="K2053" s="22" t="s">
        <v>262</v>
      </c>
      <c r="L2053" s="22" t="s">
        <v>3318</v>
      </c>
      <c r="M2053" s="22" t="s">
        <v>2130</v>
      </c>
      <c r="N2053" s="28" t="s">
        <v>2494</v>
      </c>
      <c r="O2053" s="28" t="s">
        <v>2016</v>
      </c>
      <c r="P2053" s="29">
        <v>504</v>
      </c>
      <c r="Q2053" s="28" t="s">
        <v>2017</v>
      </c>
      <c r="R2053" s="21"/>
      <c r="S2053" s="21"/>
      <c r="T2053" s="21"/>
      <c r="U2053" s="21"/>
      <c r="V2053" s="21"/>
      <c r="W2053" s="21"/>
      <c r="X2053" s="21"/>
    </row>
    <row r="2054" spans="1:24" ht="15.75" thickBot="1" x14ac:dyDescent="0.3">
      <c r="A2054" t="str">
        <f t="shared" si="32"/>
        <v>PCP2627407AR0403</v>
      </c>
      <c r="B2054" s="22" t="s">
        <v>7920</v>
      </c>
      <c r="C2054" s="21"/>
      <c r="D2054" s="22" t="s">
        <v>7921</v>
      </c>
      <c r="E2054" s="21"/>
      <c r="F2054" s="22" t="s">
        <v>2030</v>
      </c>
      <c r="G2054" s="28" t="s">
        <v>2012</v>
      </c>
      <c r="H2054" s="22" t="s">
        <v>5479</v>
      </c>
      <c r="I2054" s="22" t="s">
        <v>5480</v>
      </c>
      <c r="J2054" s="22" t="s">
        <v>494</v>
      </c>
      <c r="K2054" s="22" t="s">
        <v>262</v>
      </c>
      <c r="L2054" s="22" t="s">
        <v>3318</v>
      </c>
      <c r="M2054" s="22" t="s">
        <v>2130</v>
      </c>
      <c r="N2054" s="28" t="s">
        <v>2494</v>
      </c>
      <c r="O2054" s="28" t="s">
        <v>2016</v>
      </c>
      <c r="P2054" s="29">
        <v>276</v>
      </c>
      <c r="Q2054" s="28" t="s">
        <v>2017</v>
      </c>
      <c r="R2054" s="21"/>
      <c r="S2054" s="21"/>
      <c r="T2054" s="21"/>
      <c r="U2054" s="21"/>
      <c r="V2054" s="21"/>
      <c r="W2054" s="21"/>
      <c r="X2054" s="21"/>
    </row>
    <row r="2055" spans="1:24" ht="15.75" thickBot="1" x14ac:dyDescent="0.3">
      <c r="A2055" t="str">
        <f t="shared" si="32"/>
        <v>PCP2627407AR0501</v>
      </c>
      <c r="B2055" s="22" t="s">
        <v>7922</v>
      </c>
      <c r="C2055" s="21"/>
      <c r="D2055" s="22" t="s">
        <v>7923</v>
      </c>
      <c r="E2055" s="21"/>
      <c r="F2055" s="22" t="s">
        <v>2030</v>
      </c>
      <c r="G2055" s="28" t="s">
        <v>2012</v>
      </c>
      <c r="H2055" s="22" t="s">
        <v>5479</v>
      </c>
      <c r="I2055" s="22" t="s">
        <v>5480</v>
      </c>
      <c r="J2055" s="22" t="s">
        <v>494</v>
      </c>
      <c r="K2055" s="22" t="s">
        <v>262</v>
      </c>
      <c r="L2055" s="22" t="s">
        <v>3318</v>
      </c>
      <c r="M2055" s="22" t="s">
        <v>2130</v>
      </c>
      <c r="N2055" s="28" t="s">
        <v>2494</v>
      </c>
      <c r="O2055" s="28" t="s">
        <v>2016</v>
      </c>
      <c r="P2055" s="29">
        <v>409</v>
      </c>
      <c r="Q2055" s="28" t="s">
        <v>2017</v>
      </c>
      <c r="R2055" s="21"/>
      <c r="S2055" s="21"/>
      <c r="T2055" s="21"/>
      <c r="U2055" s="21"/>
      <c r="V2055" s="21"/>
      <c r="W2055" s="21"/>
      <c r="X2055" s="21"/>
    </row>
    <row r="2056" spans="1:24" ht="15.75" thickBot="1" x14ac:dyDescent="0.3">
      <c r="A2056" t="str">
        <f t="shared" si="32"/>
        <v>PCP2627407ID0101</v>
      </c>
      <c r="B2056" s="22" t="s">
        <v>7924</v>
      </c>
      <c r="C2056" s="21"/>
      <c r="D2056" s="22" t="s">
        <v>7925</v>
      </c>
      <c r="E2056" s="21"/>
      <c r="F2056" s="22" t="s">
        <v>2030</v>
      </c>
      <c r="G2056" s="28" t="s">
        <v>2012</v>
      </c>
      <c r="H2056" s="22" t="s">
        <v>3866</v>
      </c>
      <c r="I2056" s="22" t="s">
        <v>3867</v>
      </c>
      <c r="J2056" s="22" t="s">
        <v>494</v>
      </c>
      <c r="K2056" s="22" t="s">
        <v>262</v>
      </c>
      <c r="L2056" s="22" t="s">
        <v>3868</v>
      </c>
      <c r="M2056" s="22" t="s">
        <v>2130</v>
      </c>
      <c r="N2056" s="28" t="s">
        <v>2494</v>
      </c>
      <c r="O2056" s="28" t="s">
        <v>2016</v>
      </c>
      <c r="P2056" s="29">
        <v>1400</v>
      </c>
      <c r="Q2056" s="28" t="s">
        <v>2017</v>
      </c>
      <c r="R2056" s="21"/>
      <c r="S2056" s="21"/>
      <c r="T2056" s="21"/>
      <c r="U2056" s="21"/>
      <c r="V2056" s="21"/>
      <c r="W2056" s="21"/>
      <c r="X2056" s="21"/>
    </row>
    <row r="2057" spans="1:24" ht="15.75" thickBot="1" x14ac:dyDescent="0.3">
      <c r="A2057" t="str">
        <f t="shared" si="32"/>
        <v>PCP2627407ID0201</v>
      </c>
      <c r="B2057" s="22" t="s">
        <v>7926</v>
      </c>
      <c r="C2057" s="21"/>
      <c r="D2057" s="22" t="s">
        <v>7927</v>
      </c>
      <c r="E2057" s="21"/>
      <c r="F2057" s="22" t="s">
        <v>2030</v>
      </c>
      <c r="G2057" s="28" t="s">
        <v>2012</v>
      </c>
      <c r="H2057" s="22" t="s">
        <v>3866</v>
      </c>
      <c r="I2057" s="22" t="s">
        <v>3867</v>
      </c>
      <c r="J2057" s="22" t="s">
        <v>494</v>
      </c>
      <c r="K2057" s="22" t="s">
        <v>262</v>
      </c>
      <c r="L2057" s="22" t="s">
        <v>3868</v>
      </c>
      <c r="M2057" s="22" t="s">
        <v>2130</v>
      </c>
      <c r="N2057" s="28" t="s">
        <v>2494</v>
      </c>
      <c r="O2057" s="28" t="s">
        <v>2016</v>
      </c>
      <c r="P2057" s="29">
        <v>1624</v>
      </c>
      <c r="Q2057" s="28" t="s">
        <v>2017</v>
      </c>
      <c r="R2057" s="21"/>
      <c r="S2057" s="21"/>
      <c r="T2057" s="21"/>
      <c r="U2057" s="21"/>
      <c r="V2057" s="21"/>
      <c r="W2057" s="21"/>
      <c r="X2057" s="21"/>
    </row>
    <row r="2058" spans="1:24" ht="15.75" thickBot="1" x14ac:dyDescent="0.3">
      <c r="A2058" t="str">
        <f t="shared" si="32"/>
        <v>PCP2627407ID0301</v>
      </c>
      <c r="B2058" s="22" t="s">
        <v>7928</v>
      </c>
      <c r="C2058" s="21"/>
      <c r="D2058" s="22" t="s">
        <v>7929</v>
      </c>
      <c r="E2058" s="21"/>
      <c r="F2058" s="22" t="s">
        <v>2030</v>
      </c>
      <c r="G2058" s="28" t="s">
        <v>2012</v>
      </c>
      <c r="H2058" s="22" t="s">
        <v>3866</v>
      </c>
      <c r="I2058" s="22" t="s">
        <v>3867</v>
      </c>
      <c r="J2058" s="22" t="s">
        <v>494</v>
      </c>
      <c r="K2058" s="22" t="s">
        <v>262</v>
      </c>
      <c r="L2058" s="22" t="s">
        <v>3868</v>
      </c>
      <c r="M2058" s="22" t="s">
        <v>2130</v>
      </c>
      <c r="N2058" s="28" t="s">
        <v>2494</v>
      </c>
      <c r="O2058" s="28" t="s">
        <v>2016</v>
      </c>
      <c r="P2058" s="29">
        <v>1077</v>
      </c>
      <c r="Q2058" s="28" t="s">
        <v>2017</v>
      </c>
      <c r="R2058" s="40">
        <v>8654.4642857142899</v>
      </c>
      <c r="S2058" s="29">
        <v>8</v>
      </c>
      <c r="T2058" s="32">
        <v>0.124444444444</v>
      </c>
      <c r="U2058" s="32">
        <v>0</v>
      </c>
      <c r="V2058" s="40">
        <v>8654.4642857142899</v>
      </c>
      <c r="W2058" s="30"/>
      <c r="X2058" s="30"/>
    </row>
    <row r="2059" spans="1:24" ht="15.75" thickBot="1" x14ac:dyDescent="0.3">
      <c r="A2059" t="str">
        <f t="shared" si="32"/>
        <v>PCP2627407ID0400</v>
      </c>
      <c r="B2059" s="22" t="s">
        <v>7930</v>
      </c>
      <c r="C2059" s="21"/>
      <c r="D2059" s="22" t="s">
        <v>7931</v>
      </c>
      <c r="E2059" s="21"/>
      <c r="F2059" s="22" t="s">
        <v>2030</v>
      </c>
      <c r="G2059" s="28" t="s">
        <v>2012</v>
      </c>
      <c r="H2059" s="22" t="s">
        <v>3866</v>
      </c>
      <c r="I2059" s="22" t="s">
        <v>3867</v>
      </c>
      <c r="J2059" s="22" t="s">
        <v>494</v>
      </c>
      <c r="K2059" s="22" t="s">
        <v>262</v>
      </c>
      <c r="L2059" s="22" t="s">
        <v>3868</v>
      </c>
      <c r="M2059" s="22" t="s">
        <v>2130</v>
      </c>
      <c r="N2059" s="28" t="s">
        <v>2494</v>
      </c>
      <c r="O2059" s="28" t="s">
        <v>2016</v>
      </c>
      <c r="P2059" s="29">
        <v>1569</v>
      </c>
      <c r="Q2059" s="28" t="s">
        <v>2017</v>
      </c>
      <c r="R2059" s="21"/>
      <c r="S2059" s="21"/>
      <c r="T2059" s="21"/>
      <c r="U2059" s="21"/>
      <c r="V2059" s="21"/>
      <c r="W2059" s="21"/>
      <c r="X2059" s="21"/>
    </row>
    <row r="2060" spans="1:24" ht="15.75" thickBot="1" x14ac:dyDescent="0.3">
      <c r="A2060" t="str">
        <f t="shared" si="32"/>
        <v>PCP2627407IGC0101</v>
      </c>
      <c r="B2060" s="22" t="s">
        <v>7932</v>
      </c>
      <c r="C2060" s="21"/>
      <c r="D2060" s="22" t="s">
        <v>7933</v>
      </c>
      <c r="E2060" s="21"/>
      <c r="F2060" s="22" t="s">
        <v>2030</v>
      </c>
      <c r="G2060" s="28" t="s">
        <v>2012</v>
      </c>
      <c r="H2060" s="22" t="s">
        <v>7817</v>
      </c>
      <c r="I2060" s="22" t="s">
        <v>7818</v>
      </c>
      <c r="J2060" s="22" t="s">
        <v>494</v>
      </c>
      <c r="K2060" s="22" t="s">
        <v>262</v>
      </c>
      <c r="L2060" s="22" t="s">
        <v>7819</v>
      </c>
      <c r="M2060" s="22" t="s">
        <v>2130</v>
      </c>
      <c r="N2060" s="28" t="s">
        <v>2494</v>
      </c>
      <c r="O2060" s="28" t="s">
        <v>2016</v>
      </c>
      <c r="P2060" s="29">
        <v>810</v>
      </c>
      <c r="Q2060" s="28" t="s">
        <v>2017</v>
      </c>
      <c r="R2060" s="21"/>
      <c r="S2060" s="21"/>
      <c r="T2060" s="21"/>
      <c r="U2060" s="21"/>
      <c r="V2060" s="21"/>
      <c r="W2060" s="21"/>
      <c r="X2060" s="21"/>
    </row>
    <row r="2061" spans="1:24" ht="15.75" thickBot="1" x14ac:dyDescent="0.3">
      <c r="A2061" t="str">
        <f t="shared" si="32"/>
        <v>PCP2627407IGC0202</v>
      </c>
      <c r="B2061" s="22" t="s">
        <v>7934</v>
      </c>
      <c r="C2061" s="21"/>
      <c r="D2061" s="22" t="s">
        <v>7935</v>
      </c>
      <c r="E2061" s="21"/>
      <c r="F2061" s="22" t="s">
        <v>2030</v>
      </c>
      <c r="G2061" s="28" t="s">
        <v>2012</v>
      </c>
      <c r="H2061" s="22" t="s">
        <v>7817</v>
      </c>
      <c r="I2061" s="22" t="s">
        <v>7818</v>
      </c>
      <c r="J2061" s="22" t="s">
        <v>494</v>
      </c>
      <c r="K2061" s="22" t="s">
        <v>262</v>
      </c>
      <c r="L2061" s="22" t="s">
        <v>7819</v>
      </c>
      <c r="M2061" s="22" t="s">
        <v>2130</v>
      </c>
      <c r="N2061" s="28" t="s">
        <v>2494</v>
      </c>
      <c r="O2061" s="28" t="s">
        <v>2016</v>
      </c>
      <c r="P2061" s="29">
        <v>724</v>
      </c>
      <c r="Q2061" s="28" t="s">
        <v>2017</v>
      </c>
      <c r="R2061" s="21"/>
      <c r="S2061" s="21"/>
      <c r="T2061" s="21"/>
      <c r="U2061" s="21"/>
      <c r="V2061" s="21"/>
      <c r="W2061" s="21"/>
      <c r="X2061" s="21"/>
    </row>
    <row r="2062" spans="1:24" ht="15.75" thickBot="1" x14ac:dyDescent="0.3">
      <c r="A2062" t="str">
        <f t="shared" si="32"/>
        <v>PCP2627407IGC0302</v>
      </c>
      <c r="B2062" s="22" t="s">
        <v>7936</v>
      </c>
      <c r="C2062" s="21"/>
      <c r="D2062" s="22" t="s">
        <v>7937</v>
      </c>
      <c r="E2062" s="21"/>
      <c r="F2062" s="22" t="s">
        <v>2030</v>
      </c>
      <c r="G2062" s="28" t="s">
        <v>2012</v>
      </c>
      <c r="H2062" s="22" t="s">
        <v>7817</v>
      </c>
      <c r="I2062" s="22" t="s">
        <v>7818</v>
      </c>
      <c r="J2062" s="22" t="s">
        <v>494</v>
      </c>
      <c r="K2062" s="22" t="s">
        <v>262</v>
      </c>
      <c r="L2062" s="22" t="s">
        <v>7819</v>
      </c>
      <c r="M2062" s="22" t="s">
        <v>2130</v>
      </c>
      <c r="N2062" s="28" t="s">
        <v>2494</v>
      </c>
      <c r="O2062" s="28" t="s">
        <v>2016</v>
      </c>
      <c r="P2062" s="29">
        <v>387</v>
      </c>
      <c r="Q2062" s="28" t="s">
        <v>2017</v>
      </c>
      <c r="R2062" s="40">
        <v>3109.8214285714298</v>
      </c>
      <c r="S2062" s="29">
        <v>8</v>
      </c>
      <c r="T2062" s="32">
        <v>0.124444444444</v>
      </c>
      <c r="U2062" s="32">
        <v>0</v>
      </c>
      <c r="V2062" s="40">
        <v>3109.8214285714298</v>
      </c>
      <c r="W2062" s="30"/>
      <c r="X2062" s="30"/>
    </row>
    <row r="2063" spans="1:24" ht="15.75" thickBot="1" x14ac:dyDescent="0.3">
      <c r="A2063" t="str">
        <f t="shared" si="32"/>
        <v>PCP2627407IGC04</v>
      </c>
      <c r="B2063" s="22" t="s">
        <v>7938</v>
      </c>
      <c r="C2063" s="21"/>
      <c r="D2063" s="22" t="s">
        <v>7939</v>
      </c>
      <c r="E2063" s="21"/>
      <c r="F2063" s="22" t="s">
        <v>2030</v>
      </c>
      <c r="G2063" s="28" t="s">
        <v>2012</v>
      </c>
      <c r="H2063" s="22" t="s">
        <v>7817</v>
      </c>
      <c r="I2063" s="22" t="s">
        <v>7818</v>
      </c>
      <c r="J2063" s="22" t="s">
        <v>494</v>
      </c>
      <c r="K2063" s="22" t="s">
        <v>262</v>
      </c>
      <c r="L2063" s="22" t="s">
        <v>7819</v>
      </c>
      <c r="M2063" s="22" t="s">
        <v>2130</v>
      </c>
      <c r="N2063" s="28" t="s">
        <v>2494</v>
      </c>
      <c r="O2063" s="28" t="s">
        <v>2016</v>
      </c>
      <c r="P2063" s="29">
        <v>800</v>
      </c>
      <c r="Q2063" s="28" t="s">
        <v>2017</v>
      </c>
      <c r="R2063" s="21"/>
      <c r="S2063" s="21"/>
      <c r="T2063" s="21"/>
      <c r="U2063" s="21"/>
      <c r="V2063" s="21"/>
      <c r="W2063" s="21"/>
      <c r="X2063" s="21"/>
    </row>
    <row r="2064" spans="1:24" ht="15.75" thickBot="1" x14ac:dyDescent="0.3">
      <c r="A2064" t="str">
        <f t="shared" si="32"/>
        <v>PCP2627407IGC05</v>
      </c>
      <c r="B2064" s="22" t="s">
        <v>7940</v>
      </c>
      <c r="C2064" s="21"/>
      <c r="D2064" s="22" t="s">
        <v>7941</v>
      </c>
      <c r="E2064" s="21"/>
      <c r="F2064" s="22" t="s">
        <v>2030</v>
      </c>
      <c r="G2064" s="28" t="s">
        <v>2012</v>
      </c>
      <c r="H2064" s="22" t="s">
        <v>7817</v>
      </c>
      <c r="I2064" s="22" t="s">
        <v>7818</v>
      </c>
      <c r="J2064" s="22" t="s">
        <v>494</v>
      </c>
      <c r="K2064" s="22" t="s">
        <v>262</v>
      </c>
      <c r="L2064" s="22" t="s">
        <v>7819</v>
      </c>
      <c r="M2064" s="22" t="s">
        <v>2130</v>
      </c>
      <c r="N2064" s="28" t="s">
        <v>2494</v>
      </c>
      <c r="O2064" s="28" t="s">
        <v>2016</v>
      </c>
      <c r="P2064" s="29">
        <v>700</v>
      </c>
      <c r="Q2064" s="28" t="s">
        <v>2017</v>
      </c>
      <c r="R2064" s="21"/>
      <c r="S2064" s="21"/>
      <c r="T2064" s="21"/>
      <c r="U2064" s="21"/>
      <c r="V2064" s="21"/>
      <c r="W2064" s="21"/>
      <c r="X2064" s="21"/>
    </row>
    <row r="2065" spans="1:24" ht="15.75" thickBot="1" x14ac:dyDescent="0.3">
      <c r="A2065" t="str">
        <f t="shared" si="32"/>
        <v>PCP2631002BNVH00</v>
      </c>
      <c r="B2065" s="22" t="s">
        <v>7942</v>
      </c>
      <c r="C2065" s="22" t="s">
        <v>7943</v>
      </c>
      <c r="D2065" s="22" t="s">
        <v>7944</v>
      </c>
      <c r="E2065" s="21"/>
      <c r="F2065" s="22" t="s">
        <v>2030</v>
      </c>
      <c r="G2065" s="28" t="s">
        <v>2012</v>
      </c>
      <c r="H2065" s="22" t="s">
        <v>3856</v>
      </c>
      <c r="I2065" s="22" t="s">
        <v>3857</v>
      </c>
      <c r="J2065" s="22" t="s">
        <v>494</v>
      </c>
      <c r="K2065" s="22" t="s">
        <v>262</v>
      </c>
      <c r="L2065" s="22" t="s">
        <v>3858</v>
      </c>
      <c r="M2065" s="22" t="s">
        <v>2130</v>
      </c>
      <c r="N2065" s="28" t="s">
        <v>2494</v>
      </c>
      <c r="O2065" s="28" t="s">
        <v>2016</v>
      </c>
      <c r="P2065" s="29">
        <v>1008</v>
      </c>
      <c r="Q2065" s="28" t="s">
        <v>2017</v>
      </c>
      <c r="R2065" s="21"/>
      <c r="S2065" s="21"/>
      <c r="T2065" s="21"/>
      <c r="U2065" s="21"/>
      <c r="V2065" s="21"/>
      <c r="W2065" s="21"/>
      <c r="X2065" s="21"/>
    </row>
    <row r="2066" spans="1:24" ht="15.75" thickBot="1" x14ac:dyDescent="0.3">
      <c r="A2066" t="str">
        <f t="shared" si="32"/>
        <v>PCP26680AA00</v>
      </c>
      <c r="B2066" s="22" t="s">
        <v>7945</v>
      </c>
      <c r="C2066" s="22" t="s">
        <v>7946</v>
      </c>
      <c r="D2066" s="22" t="s">
        <v>7947</v>
      </c>
      <c r="E2066" s="21"/>
      <c r="F2066" s="22" t="s">
        <v>2030</v>
      </c>
      <c r="G2066" s="28" t="s">
        <v>2012</v>
      </c>
      <c r="H2066" s="22" t="s">
        <v>5428</v>
      </c>
      <c r="I2066" s="22" t="s">
        <v>5429</v>
      </c>
      <c r="J2066" s="22" t="s">
        <v>494</v>
      </c>
      <c r="K2066" s="22" t="s">
        <v>262</v>
      </c>
      <c r="L2066" s="22" t="s">
        <v>3318</v>
      </c>
      <c r="M2066" s="22" t="s">
        <v>2130</v>
      </c>
      <c r="N2066" s="28" t="s">
        <v>2494</v>
      </c>
      <c r="O2066" s="28" t="s">
        <v>2016</v>
      </c>
      <c r="P2066" s="29">
        <v>602</v>
      </c>
      <c r="Q2066" s="28" t="s">
        <v>2017</v>
      </c>
      <c r="R2066" s="40">
        <v>38700</v>
      </c>
      <c r="S2066" s="29">
        <v>1</v>
      </c>
      <c r="T2066" s="32">
        <v>1.5555555555E-2</v>
      </c>
      <c r="U2066" s="32">
        <v>0</v>
      </c>
      <c r="V2066" s="40">
        <v>38700</v>
      </c>
      <c r="W2066" s="30"/>
      <c r="X2066" s="30"/>
    </row>
    <row r="2067" spans="1:24" ht="15.75" thickBot="1" x14ac:dyDescent="0.3">
      <c r="A2067" t="str">
        <f t="shared" si="32"/>
        <v>PCP26680BA00</v>
      </c>
      <c r="B2067" s="22" t="s">
        <v>7948</v>
      </c>
      <c r="C2067" s="22" t="s">
        <v>7949</v>
      </c>
      <c r="D2067" s="22" t="s">
        <v>7950</v>
      </c>
      <c r="E2067" s="21"/>
      <c r="F2067" s="22" t="s">
        <v>2030</v>
      </c>
      <c r="G2067" s="28" t="s">
        <v>2012</v>
      </c>
      <c r="H2067" s="22" t="s">
        <v>5428</v>
      </c>
      <c r="I2067" s="22" t="s">
        <v>5429</v>
      </c>
      <c r="J2067" s="22" t="s">
        <v>494</v>
      </c>
      <c r="K2067" s="22" t="s">
        <v>262</v>
      </c>
      <c r="L2067" s="22" t="s">
        <v>3318</v>
      </c>
      <c r="M2067" s="22" t="s">
        <v>2130</v>
      </c>
      <c r="N2067" s="28" t="s">
        <v>2494</v>
      </c>
      <c r="O2067" s="28" t="s">
        <v>2016</v>
      </c>
      <c r="P2067" s="29">
        <v>1898</v>
      </c>
      <c r="Q2067" s="28" t="s">
        <v>2017</v>
      </c>
      <c r="R2067" s="40">
        <v>20335.714285714301</v>
      </c>
      <c r="S2067" s="29">
        <v>6</v>
      </c>
      <c r="T2067" s="32">
        <v>9.3333333332999993E-2</v>
      </c>
      <c r="U2067" s="32">
        <v>0</v>
      </c>
      <c r="V2067" s="40">
        <v>20335.714285714301</v>
      </c>
      <c r="W2067" s="30"/>
      <c r="X2067" s="30"/>
    </row>
    <row r="2068" spans="1:24" ht="15.75" thickBot="1" x14ac:dyDescent="0.3">
      <c r="A2068" t="str">
        <f t="shared" si="32"/>
        <v>PCP26680CA00</v>
      </c>
      <c r="B2068" s="22" t="s">
        <v>7951</v>
      </c>
      <c r="C2068" s="22" t="s">
        <v>7952</v>
      </c>
      <c r="D2068" s="22" t="s">
        <v>7953</v>
      </c>
      <c r="E2068" s="21"/>
      <c r="F2068" s="22" t="s">
        <v>2030</v>
      </c>
      <c r="G2068" s="28" t="s">
        <v>2012</v>
      </c>
      <c r="H2068" s="22" t="s">
        <v>5428</v>
      </c>
      <c r="I2068" s="22" t="s">
        <v>5429</v>
      </c>
      <c r="J2068" s="22" t="s">
        <v>494</v>
      </c>
      <c r="K2068" s="22" t="s">
        <v>262</v>
      </c>
      <c r="L2068" s="22" t="s">
        <v>3318</v>
      </c>
      <c r="M2068" s="22" t="s">
        <v>2130</v>
      </c>
      <c r="N2068" s="28" t="s">
        <v>2494</v>
      </c>
      <c r="O2068" s="28" t="s">
        <v>2016</v>
      </c>
      <c r="P2068" s="29">
        <v>422</v>
      </c>
      <c r="Q2068" s="28" t="s">
        <v>2017</v>
      </c>
      <c r="R2068" s="40">
        <v>9042.8571428571395</v>
      </c>
      <c r="S2068" s="29">
        <v>3</v>
      </c>
      <c r="T2068" s="32">
        <v>4.6666666666000001E-2</v>
      </c>
      <c r="U2068" s="32">
        <v>0</v>
      </c>
      <c r="V2068" s="40">
        <v>9042.8571428571395</v>
      </c>
      <c r="W2068" s="30"/>
      <c r="X2068" s="30"/>
    </row>
    <row r="2069" spans="1:24" ht="15.75" thickBot="1" x14ac:dyDescent="0.3">
      <c r="A2069" t="str">
        <f t="shared" si="32"/>
        <v>PCP26681BA00</v>
      </c>
      <c r="B2069" s="22" t="s">
        <v>7954</v>
      </c>
      <c r="C2069" s="22" t="s">
        <v>7955</v>
      </c>
      <c r="D2069" s="22" t="s">
        <v>7956</v>
      </c>
      <c r="E2069" s="21"/>
      <c r="F2069" s="22" t="s">
        <v>2030</v>
      </c>
      <c r="G2069" s="28" t="s">
        <v>2012</v>
      </c>
      <c r="H2069" s="22" t="s">
        <v>5428</v>
      </c>
      <c r="I2069" s="22" t="s">
        <v>5429</v>
      </c>
      <c r="J2069" s="22" t="s">
        <v>494</v>
      </c>
      <c r="K2069" s="22" t="s">
        <v>262</v>
      </c>
      <c r="L2069" s="22" t="s">
        <v>3318</v>
      </c>
      <c r="M2069" s="22" t="s">
        <v>2130</v>
      </c>
      <c r="N2069" s="28" t="s">
        <v>2494</v>
      </c>
      <c r="O2069" s="28" t="s">
        <v>2016</v>
      </c>
      <c r="P2069" s="29">
        <v>1534</v>
      </c>
      <c r="Q2069" s="28" t="s">
        <v>2017</v>
      </c>
      <c r="R2069" s="40">
        <v>12326.785714285699</v>
      </c>
      <c r="S2069" s="29">
        <v>8</v>
      </c>
      <c r="T2069" s="32">
        <v>0.124444444444</v>
      </c>
      <c r="U2069" s="32">
        <v>0</v>
      </c>
      <c r="V2069" s="40">
        <v>12326.785714285699</v>
      </c>
      <c r="W2069" s="30"/>
      <c r="X2069" s="30"/>
    </row>
    <row r="2070" spans="1:24" ht="15.75" thickBot="1" x14ac:dyDescent="0.3">
      <c r="A2070" t="str">
        <f t="shared" si="32"/>
        <v>PCP26681CA00</v>
      </c>
      <c r="B2070" s="22" t="s">
        <v>7957</v>
      </c>
      <c r="C2070" s="22" t="s">
        <v>7958</v>
      </c>
      <c r="D2070" s="22" t="s">
        <v>7959</v>
      </c>
      <c r="E2070" s="21"/>
      <c r="F2070" s="22" t="s">
        <v>2030</v>
      </c>
      <c r="G2070" s="28" t="s">
        <v>2012</v>
      </c>
      <c r="H2070" s="22" t="s">
        <v>5428</v>
      </c>
      <c r="I2070" s="22" t="s">
        <v>5429</v>
      </c>
      <c r="J2070" s="22" t="s">
        <v>494</v>
      </c>
      <c r="K2070" s="22" t="s">
        <v>262</v>
      </c>
      <c r="L2070" s="22" t="s">
        <v>3318</v>
      </c>
      <c r="M2070" s="22" t="s">
        <v>2130</v>
      </c>
      <c r="N2070" s="28" t="s">
        <v>2494</v>
      </c>
      <c r="O2070" s="28" t="s">
        <v>2016</v>
      </c>
      <c r="P2070" s="29">
        <v>489</v>
      </c>
      <c r="Q2070" s="28" t="s">
        <v>2017</v>
      </c>
      <c r="R2070" s="40">
        <v>3143.5714285714298</v>
      </c>
      <c r="S2070" s="29">
        <v>10</v>
      </c>
      <c r="T2070" s="32">
        <v>0.155555555555</v>
      </c>
      <c r="U2070" s="32">
        <v>0</v>
      </c>
      <c r="V2070" s="40">
        <v>3143.5714285714298</v>
      </c>
      <c r="W2070" s="30"/>
      <c r="X2070" s="30"/>
    </row>
    <row r="2071" spans="1:24" ht="15.75" thickBot="1" x14ac:dyDescent="0.3">
      <c r="A2071" t="str">
        <f t="shared" si="32"/>
        <v>PCP8312ZA</v>
      </c>
      <c r="B2071" s="22" t="s">
        <v>7960</v>
      </c>
      <c r="C2071" s="21"/>
      <c r="D2071" s="22" t="s">
        <v>3088</v>
      </c>
      <c r="E2071" s="21"/>
      <c r="F2071" s="22" t="s">
        <v>2030</v>
      </c>
      <c r="G2071" s="28" t="s">
        <v>5499</v>
      </c>
      <c r="H2071" s="22" t="s">
        <v>2827</v>
      </c>
      <c r="I2071" s="22" t="s">
        <v>2828</v>
      </c>
      <c r="J2071" s="22" t="s">
        <v>364</v>
      </c>
      <c r="K2071" s="22" t="s">
        <v>262</v>
      </c>
      <c r="L2071" s="22" t="s">
        <v>2829</v>
      </c>
      <c r="M2071" s="22" t="s">
        <v>2830</v>
      </c>
      <c r="N2071" s="28" t="s">
        <v>2494</v>
      </c>
      <c r="O2071" s="28" t="s">
        <v>2016</v>
      </c>
      <c r="P2071" s="29">
        <v>0</v>
      </c>
      <c r="Q2071" s="28" t="s">
        <v>2017</v>
      </c>
      <c r="R2071" s="21"/>
      <c r="S2071" s="21"/>
      <c r="T2071" s="21"/>
      <c r="U2071" s="21"/>
      <c r="V2071" s="21"/>
      <c r="W2071" s="21"/>
      <c r="X2071" s="21"/>
    </row>
    <row r="2072" spans="1:24" ht="15.75" thickBot="1" x14ac:dyDescent="0.3">
      <c r="A2072" t="str">
        <f t="shared" si="32"/>
        <v>PCP8C291AB</v>
      </c>
      <c r="B2072" s="22" t="s">
        <v>7961</v>
      </c>
      <c r="C2072" s="22" t="s">
        <v>7962</v>
      </c>
      <c r="D2072" s="22" t="s">
        <v>7963</v>
      </c>
      <c r="E2072" s="21"/>
      <c r="F2072" s="22" t="s">
        <v>2030</v>
      </c>
      <c r="G2072" s="28" t="s">
        <v>2012</v>
      </c>
      <c r="H2072" s="22" t="s">
        <v>3897</v>
      </c>
      <c r="I2072" s="22" t="s">
        <v>3898</v>
      </c>
      <c r="J2072" s="22" t="s">
        <v>494</v>
      </c>
      <c r="K2072" s="22" t="s">
        <v>262</v>
      </c>
      <c r="L2072" s="22" t="s">
        <v>3858</v>
      </c>
      <c r="M2072" s="22" t="s">
        <v>2130</v>
      </c>
      <c r="N2072" s="28" t="s">
        <v>2494</v>
      </c>
      <c r="O2072" s="28" t="s">
        <v>2016</v>
      </c>
      <c r="P2072" s="29">
        <v>5471</v>
      </c>
      <c r="Q2072" s="28" t="s">
        <v>2017</v>
      </c>
      <c r="R2072" s="40">
        <v>175853.57142857101</v>
      </c>
      <c r="S2072" s="29">
        <v>2</v>
      </c>
      <c r="T2072" s="32">
        <v>3.1111111111000001E-2</v>
      </c>
      <c r="U2072" s="32">
        <v>0</v>
      </c>
      <c r="V2072" s="40">
        <v>175853.57142857101</v>
      </c>
      <c r="W2072" s="30"/>
      <c r="X2072" s="30"/>
    </row>
    <row r="2073" spans="1:24" ht="15.75" thickBot="1" x14ac:dyDescent="0.3">
      <c r="A2073" t="str">
        <f t="shared" si="32"/>
        <v>PCP9181GLUE</v>
      </c>
      <c r="B2073" s="22" t="s">
        <v>7964</v>
      </c>
      <c r="C2073" s="22" t="s">
        <v>7965</v>
      </c>
      <c r="D2073" s="22" t="s">
        <v>7966</v>
      </c>
      <c r="E2073" s="21"/>
      <c r="F2073" s="22" t="s">
        <v>2030</v>
      </c>
      <c r="G2073" s="28" t="s">
        <v>2012</v>
      </c>
      <c r="H2073" s="22" t="s">
        <v>7967</v>
      </c>
      <c r="I2073" s="22" t="s">
        <v>7968</v>
      </c>
      <c r="J2073" s="22" t="s">
        <v>494</v>
      </c>
      <c r="K2073" s="22" t="s">
        <v>262</v>
      </c>
      <c r="L2073" s="22" t="s">
        <v>4359</v>
      </c>
      <c r="M2073" s="22" t="s">
        <v>2130</v>
      </c>
      <c r="N2073" s="28" t="s">
        <v>2494</v>
      </c>
      <c r="O2073" s="28" t="s">
        <v>2016</v>
      </c>
      <c r="P2073" s="29">
        <v>1037.8399999999999</v>
      </c>
      <c r="Q2073" s="28" t="s">
        <v>5108</v>
      </c>
      <c r="R2073" s="40">
        <v>181299.689440994</v>
      </c>
      <c r="S2073" s="34">
        <v>0.36799999999999999</v>
      </c>
      <c r="T2073" s="32">
        <v>5.7244444440000004E-3</v>
      </c>
      <c r="U2073" s="32">
        <v>0</v>
      </c>
      <c r="V2073" s="40">
        <v>181299.689440994</v>
      </c>
      <c r="W2073" s="30"/>
      <c r="X2073" s="30"/>
    </row>
    <row r="2074" spans="1:24" ht="15.75" thickBot="1" x14ac:dyDescent="0.3">
      <c r="A2074" t="str">
        <f t="shared" si="32"/>
        <v>PCPE237W28APIA91</v>
      </c>
      <c r="B2074" s="22" t="s">
        <v>7969</v>
      </c>
      <c r="C2074" s="21"/>
      <c r="D2074" s="22" t="s">
        <v>3863</v>
      </c>
      <c r="E2074" s="22" t="s">
        <v>7970</v>
      </c>
      <c r="F2074" s="22" t="s">
        <v>2030</v>
      </c>
      <c r="G2074" s="28" t="s">
        <v>2012</v>
      </c>
      <c r="H2074" s="22" t="s">
        <v>3866</v>
      </c>
      <c r="I2074" s="22" t="s">
        <v>3867</v>
      </c>
      <c r="J2074" s="22" t="s">
        <v>261</v>
      </c>
      <c r="K2074" s="22" t="s">
        <v>262</v>
      </c>
      <c r="L2074" s="22" t="s">
        <v>3868</v>
      </c>
      <c r="M2074" s="22" t="s">
        <v>2130</v>
      </c>
      <c r="N2074" s="28" t="s">
        <v>2494</v>
      </c>
      <c r="O2074" s="28" t="s">
        <v>2016</v>
      </c>
      <c r="P2074" s="29">
        <v>312</v>
      </c>
      <c r="Q2074" s="28" t="s">
        <v>2017</v>
      </c>
      <c r="R2074" s="40">
        <v>10028.5714285714</v>
      </c>
      <c r="S2074" s="29">
        <v>2</v>
      </c>
      <c r="T2074" s="32">
        <v>3.1111111111000001E-2</v>
      </c>
      <c r="U2074" s="32">
        <v>0</v>
      </c>
      <c r="V2074" s="40">
        <v>10028.5714285714</v>
      </c>
      <c r="W2074" s="30"/>
      <c r="X2074" s="30"/>
    </row>
    <row r="2075" spans="1:24" ht="15.75" thickBot="1" x14ac:dyDescent="0.3">
      <c r="A2075" t="str">
        <f t="shared" si="32"/>
        <v>PCPE237W29APIA91</v>
      </c>
      <c r="B2075" s="22" t="s">
        <v>7971</v>
      </c>
      <c r="C2075" s="21"/>
      <c r="D2075" s="22" t="s">
        <v>4326</v>
      </c>
      <c r="E2075" s="22" t="s">
        <v>7970</v>
      </c>
      <c r="F2075" s="22" t="s">
        <v>2030</v>
      </c>
      <c r="G2075" s="28" t="s">
        <v>2012</v>
      </c>
      <c r="H2075" s="22" t="s">
        <v>3866</v>
      </c>
      <c r="I2075" s="22" t="s">
        <v>3867</v>
      </c>
      <c r="J2075" s="22" t="s">
        <v>261</v>
      </c>
      <c r="K2075" s="22" t="s">
        <v>262</v>
      </c>
      <c r="L2075" s="22" t="s">
        <v>3868</v>
      </c>
      <c r="M2075" s="22" t="s">
        <v>2130</v>
      </c>
      <c r="N2075" s="28" t="s">
        <v>2494</v>
      </c>
      <c r="O2075" s="28" t="s">
        <v>2016</v>
      </c>
      <c r="P2075" s="29">
        <v>115</v>
      </c>
      <c r="Q2075" s="28" t="s">
        <v>2017</v>
      </c>
      <c r="R2075" s="40">
        <v>3696.4285714285702</v>
      </c>
      <c r="S2075" s="29">
        <v>2</v>
      </c>
      <c r="T2075" s="32">
        <v>3.1111111111000001E-2</v>
      </c>
      <c r="U2075" s="32">
        <v>0</v>
      </c>
      <c r="V2075" s="40">
        <v>3696.4285714285702</v>
      </c>
      <c r="W2075" s="30"/>
      <c r="X2075" s="30"/>
    </row>
    <row r="2076" spans="1:24" ht="15.75" thickBot="1" x14ac:dyDescent="0.3">
      <c r="A2076" t="str">
        <f t="shared" si="32"/>
        <v>PCPE23900TOP04.H</v>
      </c>
      <c r="B2076" s="22" t="s">
        <v>7972</v>
      </c>
      <c r="C2076" s="21"/>
      <c r="D2076" s="22" t="s">
        <v>7973</v>
      </c>
      <c r="E2076" s="22" t="s">
        <v>7974</v>
      </c>
      <c r="F2076" s="22" t="s">
        <v>2030</v>
      </c>
      <c r="G2076" s="28" t="s">
        <v>2012</v>
      </c>
      <c r="H2076" s="22" t="s">
        <v>3459</v>
      </c>
      <c r="I2076" s="22" t="s">
        <v>3460</v>
      </c>
      <c r="J2076" s="22" t="s">
        <v>261</v>
      </c>
      <c r="K2076" s="22" t="s">
        <v>262</v>
      </c>
      <c r="L2076" s="22" t="s">
        <v>3318</v>
      </c>
      <c r="M2076" s="22" t="s">
        <v>2130</v>
      </c>
      <c r="N2076" s="28" t="s">
        <v>2494</v>
      </c>
      <c r="O2076" s="28" t="s">
        <v>2016</v>
      </c>
      <c r="P2076" s="29">
        <v>0</v>
      </c>
      <c r="Q2076" s="28" t="s">
        <v>2017</v>
      </c>
      <c r="R2076" s="41">
        <v>0</v>
      </c>
      <c r="S2076" s="29">
        <v>18</v>
      </c>
      <c r="T2076" s="32">
        <v>0.28000000000000003</v>
      </c>
      <c r="U2076" s="32">
        <v>0</v>
      </c>
      <c r="V2076" s="41">
        <v>0</v>
      </c>
      <c r="W2076" s="21"/>
      <c r="X2076" s="21"/>
    </row>
    <row r="2077" spans="1:24" ht="15.75" thickBot="1" x14ac:dyDescent="0.3">
      <c r="A2077" t="str">
        <f t="shared" si="32"/>
        <v>PCPE23942.1AR02</v>
      </c>
      <c r="B2077" s="22" t="s">
        <v>7975</v>
      </c>
      <c r="C2077" s="21"/>
      <c r="D2077" s="22" t="s">
        <v>4038</v>
      </c>
      <c r="E2077" s="21"/>
      <c r="F2077" s="22" t="s">
        <v>2030</v>
      </c>
      <c r="G2077" s="28" t="s">
        <v>5499</v>
      </c>
      <c r="H2077" s="22" t="s">
        <v>7976</v>
      </c>
      <c r="I2077" s="22" t="s">
        <v>7977</v>
      </c>
      <c r="J2077" s="22" t="s">
        <v>261</v>
      </c>
      <c r="K2077" s="22" t="s">
        <v>262</v>
      </c>
      <c r="L2077" s="22" t="s">
        <v>3318</v>
      </c>
      <c r="M2077" s="22" t="s">
        <v>2130</v>
      </c>
      <c r="N2077" s="28" t="s">
        <v>2494</v>
      </c>
      <c r="O2077" s="28" t="s">
        <v>2016</v>
      </c>
      <c r="P2077" s="29">
        <v>0</v>
      </c>
      <c r="Q2077" s="28" t="s">
        <v>2017</v>
      </c>
      <c r="R2077" s="21"/>
      <c r="S2077" s="21"/>
      <c r="T2077" s="21"/>
      <c r="U2077" s="21"/>
      <c r="V2077" s="21"/>
      <c r="W2077" s="21"/>
      <c r="X2077" s="21"/>
    </row>
    <row r="2078" spans="1:24" ht="15.75" thickBot="1" x14ac:dyDescent="0.3">
      <c r="A2078" t="str">
        <f t="shared" si="32"/>
        <v>PCPE23942.1AR03</v>
      </c>
      <c r="B2078" s="22" t="s">
        <v>7978</v>
      </c>
      <c r="C2078" s="21"/>
      <c r="D2078" s="22" t="s">
        <v>7979</v>
      </c>
      <c r="E2078" s="21"/>
      <c r="F2078" s="22" t="s">
        <v>2030</v>
      </c>
      <c r="G2078" s="28" t="s">
        <v>2012</v>
      </c>
      <c r="H2078" s="22" t="s">
        <v>7976</v>
      </c>
      <c r="I2078" s="22" t="s">
        <v>7977</v>
      </c>
      <c r="J2078" s="22" t="s">
        <v>261</v>
      </c>
      <c r="K2078" s="22" t="s">
        <v>262</v>
      </c>
      <c r="L2078" s="22" t="s">
        <v>3318</v>
      </c>
      <c r="M2078" s="22" t="s">
        <v>2130</v>
      </c>
      <c r="N2078" s="28" t="s">
        <v>2494</v>
      </c>
      <c r="O2078" s="28" t="s">
        <v>2016</v>
      </c>
      <c r="P2078" s="29">
        <v>224</v>
      </c>
      <c r="Q2078" s="28" t="s">
        <v>2017</v>
      </c>
      <c r="R2078" s="21"/>
      <c r="S2078" s="21"/>
      <c r="T2078" s="21"/>
      <c r="U2078" s="21"/>
      <c r="V2078" s="21"/>
      <c r="W2078" s="21"/>
      <c r="X2078" s="21"/>
    </row>
    <row r="2079" spans="1:24" ht="15.75" thickBot="1" x14ac:dyDescent="0.3">
      <c r="A2079" t="str">
        <f t="shared" si="32"/>
        <v>PCPE23942APIA30A</v>
      </c>
      <c r="B2079" s="22" t="s">
        <v>7980</v>
      </c>
      <c r="C2079" s="21"/>
      <c r="D2079" s="22" t="s">
        <v>7981</v>
      </c>
      <c r="E2079" s="21"/>
      <c r="F2079" s="22" t="s">
        <v>2030</v>
      </c>
      <c r="G2079" s="28" t="s">
        <v>5499</v>
      </c>
      <c r="H2079" s="22" t="s">
        <v>7982</v>
      </c>
      <c r="I2079" s="22" t="s">
        <v>7983</v>
      </c>
      <c r="J2079" s="22" t="s">
        <v>261</v>
      </c>
      <c r="K2079" s="22" t="s">
        <v>262</v>
      </c>
      <c r="L2079" s="22" t="s">
        <v>3868</v>
      </c>
      <c r="M2079" s="22" t="s">
        <v>2130</v>
      </c>
      <c r="N2079" s="28" t="s">
        <v>2494</v>
      </c>
      <c r="O2079" s="28" t="s">
        <v>2016</v>
      </c>
      <c r="P2079" s="29">
        <v>0</v>
      </c>
      <c r="Q2079" s="28" t="s">
        <v>2017</v>
      </c>
      <c r="R2079" s="21"/>
      <c r="S2079" s="21"/>
      <c r="T2079" s="21"/>
      <c r="U2079" s="21"/>
      <c r="V2079" s="21"/>
      <c r="W2079" s="21"/>
      <c r="X2079" s="21"/>
    </row>
    <row r="2080" spans="1:24" ht="15.75" thickBot="1" x14ac:dyDescent="0.3">
      <c r="A2080" t="str">
        <f t="shared" si="32"/>
        <v>PCPE23942AR06.H</v>
      </c>
      <c r="B2080" s="22" t="s">
        <v>7984</v>
      </c>
      <c r="C2080" s="21"/>
      <c r="D2080" s="22" t="s">
        <v>7985</v>
      </c>
      <c r="E2080" s="22" t="s">
        <v>4120</v>
      </c>
      <c r="F2080" s="22" t="s">
        <v>2030</v>
      </c>
      <c r="G2080" s="28" t="s">
        <v>2012</v>
      </c>
      <c r="H2080" s="22" t="s">
        <v>3459</v>
      </c>
      <c r="I2080" s="22" t="s">
        <v>3460</v>
      </c>
      <c r="J2080" s="22" t="s">
        <v>261</v>
      </c>
      <c r="K2080" s="22" t="s">
        <v>262</v>
      </c>
      <c r="L2080" s="22" t="s">
        <v>3318</v>
      </c>
      <c r="M2080" s="22" t="s">
        <v>2130</v>
      </c>
      <c r="N2080" s="28" t="s">
        <v>2494</v>
      </c>
      <c r="O2080" s="28" t="s">
        <v>2016</v>
      </c>
      <c r="P2080" s="29">
        <v>0</v>
      </c>
      <c r="Q2080" s="28" t="s">
        <v>2017</v>
      </c>
      <c r="R2080" s="41">
        <v>0</v>
      </c>
      <c r="S2080" s="29">
        <v>8</v>
      </c>
      <c r="T2080" s="32">
        <v>0.124444444444</v>
      </c>
      <c r="U2080" s="32">
        <v>0</v>
      </c>
      <c r="V2080" s="41">
        <v>0</v>
      </c>
      <c r="W2080" s="21"/>
      <c r="X2080" s="21"/>
    </row>
    <row r="2081" spans="1:24" ht="15.75" thickBot="1" x14ac:dyDescent="0.3">
      <c r="A2081" t="str">
        <f t="shared" si="32"/>
        <v>PCPE23942IN02.H</v>
      </c>
      <c r="B2081" s="22" t="s">
        <v>7986</v>
      </c>
      <c r="C2081" s="21"/>
      <c r="D2081" s="22" t="s">
        <v>7987</v>
      </c>
      <c r="E2081" s="21"/>
      <c r="F2081" s="22" t="s">
        <v>2030</v>
      </c>
      <c r="G2081" s="28" t="s">
        <v>2012</v>
      </c>
      <c r="H2081" s="22" t="s">
        <v>3459</v>
      </c>
      <c r="I2081" s="22" t="s">
        <v>3460</v>
      </c>
      <c r="J2081" s="22" t="s">
        <v>261</v>
      </c>
      <c r="K2081" s="22" t="s">
        <v>262</v>
      </c>
      <c r="L2081" s="22" t="s">
        <v>3318</v>
      </c>
      <c r="M2081" s="22" t="s">
        <v>2130</v>
      </c>
      <c r="N2081" s="28" t="s">
        <v>2494</v>
      </c>
      <c r="O2081" s="28" t="s">
        <v>2016</v>
      </c>
      <c r="P2081" s="29">
        <v>160</v>
      </c>
      <c r="Q2081" s="28" t="s">
        <v>2017</v>
      </c>
      <c r="R2081" s="21"/>
      <c r="S2081" s="21"/>
      <c r="T2081" s="21"/>
      <c r="U2081" s="21"/>
      <c r="V2081" s="21"/>
      <c r="W2081" s="21"/>
      <c r="X2081" s="21"/>
    </row>
    <row r="2082" spans="1:24" ht="15.75" thickBot="1" x14ac:dyDescent="0.3">
      <c r="A2082" t="str">
        <f t="shared" si="32"/>
        <v>PCPE23943.1AR02</v>
      </c>
      <c r="B2082" s="22" t="s">
        <v>7988</v>
      </c>
      <c r="C2082" s="21"/>
      <c r="D2082" s="22" t="s">
        <v>7989</v>
      </c>
      <c r="E2082" s="21"/>
      <c r="F2082" s="22" t="s">
        <v>2030</v>
      </c>
      <c r="G2082" s="28" t="s">
        <v>5499</v>
      </c>
      <c r="H2082" s="22" t="s">
        <v>7976</v>
      </c>
      <c r="I2082" s="22" t="s">
        <v>7977</v>
      </c>
      <c r="J2082" s="22" t="s">
        <v>261</v>
      </c>
      <c r="K2082" s="22" t="s">
        <v>262</v>
      </c>
      <c r="L2082" s="22" t="s">
        <v>3318</v>
      </c>
      <c r="M2082" s="22" t="s">
        <v>2130</v>
      </c>
      <c r="N2082" s="28" t="s">
        <v>2494</v>
      </c>
      <c r="O2082" s="28" t="s">
        <v>2016</v>
      </c>
      <c r="P2082" s="29">
        <v>0</v>
      </c>
      <c r="Q2082" s="28" t="s">
        <v>2017</v>
      </c>
      <c r="R2082" s="21"/>
      <c r="S2082" s="21"/>
      <c r="T2082" s="21"/>
      <c r="U2082" s="21"/>
      <c r="V2082" s="21"/>
      <c r="W2082" s="21"/>
      <c r="X2082" s="21"/>
    </row>
    <row r="2083" spans="1:24" ht="15.75" thickBot="1" x14ac:dyDescent="0.3">
      <c r="A2083" t="str">
        <f t="shared" si="32"/>
        <v>PCPE23943.1AR04</v>
      </c>
      <c r="B2083" s="22" t="s">
        <v>7990</v>
      </c>
      <c r="C2083" s="21"/>
      <c r="D2083" s="22" t="s">
        <v>7991</v>
      </c>
      <c r="E2083" s="22" t="s">
        <v>7992</v>
      </c>
      <c r="F2083" s="22" t="s">
        <v>2030</v>
      </c>
      <c r="G2083" s="28" t="s">
        <v>5499</v>
      </c>
      <c r="H2083" s="22" t="s">
        <v>7976</v>
      </c>
      <c r="I2083" s="22" t="s">
        <v>7977</v>
      </c>
      <c r="J2083" s="22" t="s">
        <v>261</v>
      </c>
      <c r="K2083" s="22" t="s">
        <v>262</v>
      </c>
      <c r="L2083" s="22" t="s">
        <v>3318</v>
      </c>
      <c r="M2083" s="22" t="s">
        <v>2130</v>
      </c>
      <c r="N2083" s="28" t="s">
        <v>2494</v>
      </c>
      <c r="O2083" s="28" t="s">
        <v>2016</v>
      </c>
      <c r="P2083" s="29">
        <v>0</v>
      </c>
      <c r="Q2083" s="28" t="s">
        <v>2017</v>
      </c>
      <c r="R2083" s="21"/>
      <c r="S2083" s="21"/>
      <c r="T2083" s="21"/>
      <c r="U2083" s="21"/>
      <c r="V2083" s="21"/>
      <c r="W2083" s="21"/>
      <c r="X2083" s="21"/>
    </row>
    <row r="2084" spans="1:24" ht="15.75" thickBot="1" x14ac:dyDescent="0.3">
      <c r="A2084" t="str">
        <f t="shared" si="32"/>
        <v>PCPE23943APIA30A</v>
      </c>
      <c r="B2084" s="22" t="s">
        <v>7993</v>
      </c>
      <c r="C2084" s="21"/>
      <c r="D2084" s="22" t="s">
        <v>7994</v>
      </c>
      <c r="E2084" s="21"/>
      <c r="F2084" s="22" t="s">
        <v>2030</v>
      </c>
      <c r="G2084" s="28" t="s">
        <v>5499</v>
      </c>
      <c r="H2084" s="22" t="s">
        <v>7982</v>
      </c>
      <c r="I2084" s="22" t="s">
        <v>7983</v>
      </c>
      <c r="J2084" s="22" t="s">
        <v>261</v>
      </c>
      <c r="K2084" s="22" t="s">
        <v>262</v>
      </c>
      <c r="L2084" s="22" t="s">
        <v>3868</v>
      </c>
      <c r="M2084" s="22" t="s">
        <v>2130</v>
      </c>
      <c r="N2084" s="28" t="s">
        <v>2494</v>
      </c>
      <c r="O2084" s="28" t="s">
        <v>2016</v>
      </c>
      <c r="P2084" s="29">
        <v>0</v>
      </c>
      <c r="Q2084" s="28" t="s">
        <v>2017</v>
      </c>
      <c r="R2084" s="21"/>
      <c r="S2084" s="21"/>
      <c r="T2084" s="21"/>
      <c r="U2084" s="21"/>
      <c r="V2084" s="21"/>
      <c r="W2084" s="21"/>
      <c r="X2084" s="21"/>
    </row>
    <row r="2085" spans="1:24" ht="15.75" thickBot="1" x14ac:dyDescent="0.3">
      <c r="A2085" t="str">
        <f t="shared" si="32"/>
        <v>PCPE23943AR02.H</v>
      </c>
      <c r="B2085" s="22" t="s">
        <v>7995</v>
      </c>
      <c r="C2085" s="21"/>
      <c r="D2085" s="22" t="s">
        <v>3883</v>
      </c>
      <c r="E2085" s="21"/>
      <c r="F2085" s="22" t="s">
        <v>2030</v>
      </c>
      <c r="G2085" s="28" t="s">
        <v>5499</v>
      </c>
      <c r="H2085" s="22" t="s">
        <v>3459</v>
      </c>
      <c r="I2085" s="22" t="s">
        <v>3460</v>
      </c>
      <c r="J2085" s="22" t="s">
        <v>261</v>
      </c>
      <c r="K2085" s="22" t="s">
        <v>262</v>
      </c>
      <c r="L2085" s="22" t="s">
        <v>3318</v>
      </c>
      <c r="M2085" s="22" t="s">
        <v>2130</v>
      </c>
      <c r="N2085" s="28" t="s">
        <v>2494</v>
      </c>
      <c r="O2085" s="28" t="s">
        <v>2016</v>
      </c>
      <c r="P2085" s="29">
        <v>0</v>
      </c>
      <c r="Q2085" s="28" t="s">
        <v>2017</v>
      </c>
      <c r="R2085" s="21"/>
      <c r="S2085" s="21"/>
      <c r="T2085" s="21"/>
      <c r="U2085" s="21"/>
      <c r="V2085" s="21"/>
      <c r="W2085" s="21"/>
      <c r="X2085" s="21"/>
    </row>
    <row r="2086" spans="1:24" ht="15.75" thickBot="1" x14ac:dyDescent="0.3">
      <c r="A2086" t="str">
        <f t="shared" si="32"/>
        <v>PCPE23943AR06.H</v>
      </c>
      <c r="B2086" s="22" t="s">
        <v>7996</v>
      </c>
      <c r="C2086" s="21"/>
      <c r="D2086" s="22" t="s">
        <v>7997</v>
      </c>
      <c r="E2086" s="22" t="s">
        <v>4120</v>
      </c>
      <c r="F2086" s="22" t="s">
        <v>2030</v>
      </c>
      <c r="G2086" s="28" t="s">
        <v>2012</v>
      </c>
      <c r="H2086" s="22" t="s">
        <v>3459</v>
      </c>
      <c r="I2086" s="22" t="s">
        <v>3460</v>
      </c>
      <c r="J2086" s="22" t="s">
        <v>261</v>
      </c>
      <c r="K2086" s="22" t="s">
        <v>262</v>
      </c>
      <c r="L2086" s="22" t="s">
        <v>3318</v>
      </c>
      <c r="M2086" s="22" t="s">
        <v>2130</v>
      </c>
      <c r="N2086" s="28" t="s">
        <v>2494</v>
      </c>
      <c r="O2086" s="28" t="s">
        <v>2016</v>
      </c>
      <c r="P2086" s="29">
        <v>0</v>
      </c>
      <c r="Q2086" s="28" t="s">
        <v>2017</v>
      </c>
      <c r="R2086" s="41">
        <v>0</v>
      </c>
      <c r="S2086" s="29">
        <v>4</v>
      </c>
      <c r="T2086" s="32">
        <v>6.2222222222000002E-2</v>
      </c>
      <c r="U2086" s="32">
        <v>0</v>
      </c>
      <c r="V2086" s="41">
        <v>0</v>
      </c>
      <c r="W2086" s="21"/>
      <c r="X2086" s="21"/>
    </row>
    <row r="2087" spans="1:24" ht="15.75" thickBot="1" x14ac:dyDescent="0.3">
      <c r="A2087" t="str">
        <f t="shared" si="32"/>
        <v>PCPE23943IN02.H</v>
      </c>
      <c r="B2087" s="22" t="s">
        <v>7998</v>
      </c>
      <c r="C2087" s="21"/>
      <c r="D2087" s="22" t="s">
        <v>7999</v>
      </c>
      <c r="E2087" s="21"/>
      <c r="F2087" s="22" t="s">
        <v>2030</v>
      </c>
      <c r="G2087" s="28" t="s">
        <v>2012</v>
      </c>
      <c r="H2087" s="22" t="s">
        <v>3459</v>
      </c>
      <c r="I2087" s="22" t="s">
        <v>3460</v>
      </c>
      <c r="J2087" s="22" t="s">
        <v>261</v>
      </c>
      <c r="K2087" s="22" t="s">
        <v>262</v>
      </c>
      <c r="L2087" s="22" t="s">
        <v>3318</v>
      </c>
      <c r="M2087" s="22" t="s">
        <v>2130</v>
      </c>
      <c r="N2087" s="28" t="s">
        <v>2494</v>
      </c>
      <c r="O2087" s="28" t="s">
        <v>2016</v>
      </c>
      <c r="P2087" s="29">
        <v>144</v>
      </c>
      <c r="Q2087" s="28" t="s">
        <v>2017</v>
      </c>
      <c r="R2087" s="21"/>
      <c r="S2087" s="21"/>
      <c r="T2087" s="21"/>
      <c r="U2087" s="21"/>
      <c r="V2087" s="21"/>
      <c r="W2087" s="21"/>
      <c r="X2087" s="21"/>
    </row>
    <row r="2088" spans="1:24" ht="15.75" thickBot="1" x14ac:dyDescent="0.3">
      <c r="A2088" t="str">
        <f t="shared" si="32"/>
        <v>PCPE23943IN03</v>
      </c>
      <c r="B2088" s="22" t="s">
        <v>8000</v>
      </c>
      <c r="C2088" s="21"/>
      <c r="D2088" s="22" t="s">
        <v>3537</v>
      </c>
      <c r="E2088" s="21"/>
      <c r="F2088" s="22" t="s">
        <v>2030</v>
      </c>
      <c r="G2088" s="28" t="s">
        <v>5499</v>
      </c>
      <c r="H2088" s="22" t="s">
        <v>7976</v>
      </c>
      <c r="I2088" s="22" t="s">
        <v>7977</v>
      </c>
      <c r="J2088" s="22" t="s">
        <v>261</v>
      </c>
      <c r="K2088" s="22" t="s">
        <v>262</v>
      </c>
      <c r="L2088" s="22" t="s">
        <v>3318</v>
      </c>
      <c r="M2088" s="22" t="s">
        <v>2130</v>
      </c>
      <c r="N2088" s="28" t="s">
        <v>2494</v>
      </c>
      <c r="O2088" s="28" t="s">
        <v>2016</v>
      </c>
      <c r="P2088" s="29">
        <v>0</v>
      </c>
      <c r="Q2088" s="28" t="s">
        <v>2017</v>
      </c>
      <c r="R2088" s="21"/>
      <c r="S2088" s="21"/>
      <c r="T2088" s="21"/>
      <c r="U2088" s="21"/>
      <c r="V2088" s="21"/>
      <c r="W2088" s="21"/>
      <c r="X2088" s="21"/>
    </row>
    <row r="2089" spans="1:24" ht="15.75" thickBot="1" x14ac:dyDescent="0.3">
      <c r="A2089" t="str">
        <f t="shared" si="32"/>
        <v>PCPE26657APIA01</v>
      </c>
      <c r="B2089" s="22" t="s">
        <v>8001</v>
      </c>
      <c r="C2089" s="21"/>
      <c r="D2089" s="22" t="s">
        <v>8002</v>
      </c>
      <c r="E2089" s="21"/>
      <c r="F2089" s="22" t="s">
        <v>2030</v>
      </c>
      <c r="G2089" s="28" t="s">
        <v>5499</v>
      </c>
      <c r="H2089" s="22" t="s">
        <v>7982</v>
      </c>
      <c r="I2089" s="22" t="s">
        <v>7983</v>
      </c>
      <c r="J2089" s="22" t="s">
        <v>261</v>
      </c>
      <c r="K2089" s="22" t="s">
        <v>262</v>
      </c>
      <c r="L2089" s="22" t="s">
        <v>3868</v>
      </c>
      <c r="M2089" s="22" t="s">
        <v>2130</v>
      </c>
      <c r="N2089" s="28" t="s">
        <v>2494</v>
      </c>
      <c r="O2089" s="28" t="s">
        <v>2016</v>
      </c>
      <c r="P2089" s="29">
        <v>0</v>
      </c>
      <c r="Q2089" s="28" t="s">
        <v>2017</v>
      </c>
      <c r="R2089" s="21"/>
      <c r="S2089" s="21"/>
      <c r="T2089" s="21"/>
      <c r="U2089" s="21"/>
      <c r="V2089" s="21"/>
      <c r="W2089" s="21"/>
      <c r="X2089" s="21"/>
    </row>
    <row r="2090" spans="1:24" ht="15.75" thickBot="1" x14ac:dyDescent="0.3">
      <c r="A2090" t="str">
        <f t="shared" si="32"/>
        <v>PCPE266A64APIA01A</v>
      </c>
      <c r="B2090" s="22" t="s">
        <v>8003</v>
      </c>
      <c r="C2090" s="21"/>
      <c r="D2090" s="22" t="s">
        <v>8004</v>
      </c>
      <c r="E2090" s="21"/>
      <c r="F2090" s="22" t="s">
        <v>2030</v>
      </c>
      <c r="G2090" s="28" t="s">
        <v>5499</v>
      </c>
      <c r="H2090" s="22" t="s">
        <v>7982</v>
      </c>
      <c r="I2090" s="22" t="s">
        <v>7983</v>
      </c>
      <c r="J2090" s="22" t="s">
        <v>261</v>
      </c>
      <c r="K2090" s="22" t="s">
        <v>262</v>
      </c>
      <c r="L2090" s="22" t="s">
        <v>3868</v>
      </c>
      <c r="M2090" s="22" t="s">
        <v>2130</v>
      </c>
      <c r="N2090" s="28" t="s">
        <v>2494</v>
      </c>
      <c r="O2090" s="28" t="s">
        <v>2016</v>
      </c>
      <c r="P2090" s="29">
        <v>0</v>
      </c>
      <c r="Q2090" s="28" t="s">
        <v>2017</v>
      </c>
      <c r="R2090" s="21"/>
      <c r="S2090" s="21"/>
      <c r="T2090" s="21"/>
      <c r="U2090" s="21"/>
      <c r="V2090" s="21"/>
      <c r="W2090" s="21"/>
      <c r="X2090" s="21"/>
    </row>
    <row r="2091" spans="1:24" ht="15.75" thickBot="1" x14ac:dyDescent="0.3">
      <c r="A2091" t="str">
        <f t="shared" si="32"/>
        <v>PCPE266A65APIA01A</v>
      </c>
      <c r="B2091" s="22" t="s">
        <v>8005</v>
      </c>
      <c r="C2091" s="21"/>
      <c r="D2091" s="22" t="s">
        <v>8006</v>
      </c>
      <c r="E2091" s="21"/>
      <c r="F2091" s="22" t="s">
        <v>2030</v>
      </c>
      <c r="G2091" s="28" t="s">
        <v>5499</v>
      </c>
      <c r="H2091" s="22" t="s">
        <v>7982</v>
      </c>
      <c r="I2091" s="22" t="s">
        <v>7983</v>
      </c>
      <c r="J2091" s="22" t="s">
        <v>261</v>
      </c>
      <c r="K2091" s="22" t="s">
        <v>262</v>
      </c>
      <c r="L2091" s="22" t="s">
        <v>3868</v>
      </c>
      <c r="M2091" s="22" t="s">
        <v>2130</v>
      </c>
      <c r="N2091" s="28" t="s">
        <v>2494</v>
      </c>
      <c r="O2091" s="28" t="s">
        <v>2016</v>
      </c>
      <c r="P2091" s="29">
        <v>0</v>
      </c>
      <c r="Q2091" s="28" t="s">
        <v>2017</v>
      </c>
      <c r="R2091" s="21"/>
      <c r="S2091" s="21"/>
      <c r="T2091" s="21"/>
      <c r="U2091" s="21"/>
      <c r="V2091" s="21"/>
      <c r="W2091" s="21"/>
      <c r="X2091" s="21"/>
    </row>
    <row r="2092" spans="1:24" ht="15.75" thickBot="1" x14ac:dyDescent="0.3">
      <c r="A2092" t="str">
        <f t="shared" si="32"/>
        <v>PCPE27406AR06.H</v>
      </c>
      <c r="B2092" s="22" t="s">
        <v>8007</v>
      </c>
      <c r="C2092" s="21"/>
      <c r="D2092" s="22" t="s">
        <v>8008</v>
      </c>
      <c r="E2092" s="22" t="s">
        <v>4120</v>
      </c>
      <c r="F2092" s="22" t="s">
        <v>2030</v>
      </c>
      <c r="G2092" s="28" t="s">
        <v>2012</v>
      </c>
      <c r="H2092" s="22" t="s">
        <v>3459</v>
      </c>
      <c r="I2092" s="22" t="s">
        <v>3460</v>
      </c>
      <c r="J2092" s="22" t="s">
        <v>261</v>
      </c>
      <c r="K2092" s="22" t="s">
        <v>262</v>
      </c>
      <c r="L2092" s="22" t="s">
        <v>3318</v>
      </c>
      <c r="M2092" s="22" t="s">
        <v>2130</v>
      </c>
      <c r="N2092" s="28" t="s">
        <v>2494</v>
      </c>
      <c r="O2092" s="28" t="s">
        <v>2016</v>
      </c>
      <c r="P2092" s="29">
        <v>0</v>
      </c>
      <c r="Q2092" s="28" t="s">
        <v>2017</v>
      </c>
      <c r="R2092" s="41">
        <v>0</v>
      </c>
      <c r="S2092" s="29">
        <v>7</v>
      </c>
      <c r="T2092" s="32">
        <v>0.108888888888</v>
      </c>
      <c r="U2092" s="32">
        <v>0</v>
      </c>
      <c r="V2092" s="41">
        <v>0</v>
      </c>
      <c r="W2092" s="21"/>
      <c r="X2092" s="21"/>
    </row>
    <row r="2093" spans="1:24" ht="15.75" thickBot="1" x14ac:dyDescent="0.3">
      <c r="A2093" t="str">
        <f t="shared" si="32"/>
        <v>PCPE27406IN01.H</v>
      </c>
      <c r="B2093" s="22" t="s">
        <v>8009</v>
      </c>
      <c r="C2093" s="21"/>
      <c r="D2093" s="22" t="s">
        <v>8010</v>
      </c>
      <c r="E2093" s="21"/>
      <c r="F2093" s="22" t="s">
        <v>2030</v>
      </c>
      <c r="G2093" s="28" t="s">
        <v>2012</v>
      </c>
      <c r="H2093" s="22" t="s">
        <v>3459</v>
      </c>
      <c r="I2093" s="22" t="s">
        <v>3460</v>
      </c>
      <c r="J2093" s="22" t="s">
        <v>261</v>
      </c>
      <c r="K2093" s="22" t="s">
        <v>262</v>
      </c>
      <c r="L2093" s="22" t="s">
        <v>3318</v>
      </c>
      <c r="M2093" s="22" t="s">
        <v>2130</v>
      </c>
      <c r="N2093" s="28" t="s">
        <v>2494</v>
      </c>
      <c r="O2093" s="28" t="s">
        <v>2016</v>
      </c>
      <c r="P2093" s="29">
        <v>332</v>
      </c>
      <c r="Q2093" s="28" t="s">
        <v>2017</v>
      </c>
      <c r="R2093" s="40">
        <v>21342.857142857101</v>
      </c>
      <c r="S2093" s="29">
        <v>1</v>
      </c>
      <c r="T2093" s="32">
        <v>1.5555555555E-2</v>
      </c>
      <c r="U2093" s="32">
        <v>0</v>
      </c>
      <c r="V2093" s="40">
        <v>21342.857142857101</v>
      </c>
      <c r="W2093" s="30"/>
      <c r="X2093" s="30"/>
    </row>
    <row r="2094" spans="1:24" ht="15.75" thickBot="1" x14ac:dyDescent="0.3">
      <c r="A2094" t="str">
        <f t="shared" si="32"/>
        <v>PCPE27406IN02.H</v>
      </c>
      <c r="B2094" s="22" t="s">
        <v>8011</v>
      </c>
      <c r="C2094" s="21"/>
      <c r="D2094" s="22" t="s">
        <v>8012</v>
      </c>
      <c r="E2094" s="21"/>
      <c r="F2094" s="22" t="s">
        <v>2030</v>
      </c>
      <c r="G2094" s="28" t="s">
        <v>2012</v>
      </c>
      <c r="H2094" s="22" t="s">
        <v>3459</v>
      </c>
      <c r="I2094" s="22" t="s">
        <v>3460</v>
      </c>
      <c r="J2094" s="22" t="s">
        <v>261</v>
      </c>
      <c r="K2094" s="22" t="s">
        <v>262</v>
      </c>
      <c r="L2094" s="22" t="s">
        <v>3318</v>
      </c>
      <c r="M2094" s="22" t="s">
        <v>2130</v>
      </c>
      <c r="N2094" s="28" t="s">
        <v>2494</v>
      </c>
      <c r="O2094" s="28" t="s">
        <v>2016</v>
      </c>
      <c r="P2094" s="29">
        <v>160</v>
      </c>
      <c r="Q2094" s="28" t="s">
        <v>2017</v>
      </c>
      <c r="R2094" s="21"/>
      <c r="S2094" s="21"/>
      <c r="T2094" s="21"/>
      <c r="U2094" s="21"/>
      <c r="V2094" s="21"/>
      <c r="W2094" s="21"/>
      <c r="X2094" s="21"/>
    </row>
    <row r="2095" spans="1:24" ht="15.75" thickBot="1" x14ac:dyDescent="0.3">
      <c r="A2095" t="str">
        <f t="shared" si="32"/>
        <v>PCPE27406MPIA04</v>
      </c>
      <c r="B2095" s="22" t="s">
        <v>8013</v>
      </c>
      <c r="C2095" s="22" t="s">
        <v>8014</v>
      </c>
      <c r="D2095" s="22" t="s">
        <v>8015</v>
      </c>
      <c r="E2095" s="22" t="s">
        <v>8016</v>
      </c>
      <c r="F2095" s="22" t="s">
        <v>2030</v>
      </c>
      <c r="G2095" s="28" t="s">
        <v>5499</v>
      </c>
      <c r="H2095" s="22" t="s">
        <v>3856</v>
      </c>
      <c r="I2095" s="22" t="s">
        <v>3857</v>
      </c>
      <c r="J2095" s="22" t="s">
        <v>261</v>
      </c>
      <c r="K2095" s="22" t="s">
        <v>262</v>
      </c>
      <c r="L2095" s="22" t="s">
        <v>3858</v>
      </c>
      <c r="M2095" s="22" t="s">
        <v>2130</v>
      </c>
      <c r="N2095" s="28" t="s">
        <v>2494</v>
      </c>
      <c r="O2095" s="28" t="s">
        <v>2016</v>
      </c>
      <c r="P2095" s="29">
        <v>0</v>
      </c>
      <c r="Q2095" s="28" t="s">
        <v>2017</v>
      </c>
      <c r="R2095" s="21"/>
      <c r="S2095" s="21"/>
      <c r="T2095" s="21"/>
      <c r="U2095" s="21"/>
      <c r="V2095" s="21"/>
      <c r="W2095" s="21"/>
      <c r="X2095" s="21"/>
    </row>
    <row r="2096" spans="1:24" ht="15.75" thickBot="1" x14ac:dyDescent="0.3">
      <c r="A2096" t="str">
        <f t="shared" si="32"/>
        <v>PCPE27407AR06.H</v>
      </c>
      <c r="B2096" s="22" t="s">
        <v>8017</v>
      </c>
      <c r="C2096" s="21"/>
      <c r="D2096" s="22" t="s">
        <v>8018</v>
      </c>
      <c r="E2096" s="22" t="s">
        <v>4120</v>
      </c>
      <c r="F2096" s="22" t="s">
        <v>2030</v>
      </c>
      <c r="G2096" s="28" t="s">
        <v>2012</v>
      </c>
      <c r="H2096" s="22" t="s">
        <v>3459</v>
      </c>
      <c r="I2096" s="22" t="s">
        <v>3460</v>
      </c>
      <c r="J2096" s="22" t="s">
        <v>261</v>
      </c>
      <c r="K2096" s="22" t="s">
        <v>262</v>
      </c>
      <c r="L2096" s="22" t="s">
        <v>3318</v>
      </c>
      <c r="M2096" s="22" t="s">
        <v>2130</v>
      </c>
      <c r="N2096" s="28" t="s">
        <v>2494</v>
      </c>
      <c r="O2096" s="28" t="s">
        <v>2016</v>
      </c>
      <c r="P2096" s="29">
        <v>0</v>
      </c>
      <c r="Q2096" s="28" t="s">
        <v>2017</v>
      </c>
      <c r="R2096" s="41">
        <v>0</v>
      </c>
      <c r="S2096" s="29">
        <v>9</v>
      </c>
      <c r="T2096" s="32">
        <v>0.14000000000000001</v>
      </c>
      <c r="U2096" s="32">
        <v>0</v>
      </c>
      <c r="V2096" s="41">
        <v>0</v>
      </c>
      <c r="W2096" s="21"/>
      <c r="X2096" s="21"/>
    </row>
    <row r="2097" spans="1:24" ht="15.75" thickBot="1" x14ac:dyDescent="0.3">
      <c r="A2097" t="str">
        <f t="shared" si="32"/>
        <v>PCPE27407IN01.H</v>
      </c>
      <c r="B2097" s="22" t="s">
        <v>8019</v>
      </c>
      <c r="C2097" s="21"/>
      <c r="D2097" s="22" t="s">
        <v>8020</v>
      </c>
      <c r="E2097" s="21"/>
      <c r="F2097" s="22" t="s">
        <v>2030</v>
      </c>
      <c r="G2097" s="28" t="s">
        <v>2012</v>
      </c>
      <c r="H2097" s="22" t="s">
        <v>3459</v>
      </c>
      <c r="I2097" s="22" t="s">
        <v>3460</v>
      </c>
      <c r="J2097" s="22" t="s">
        <v>261</v>
      </c>
      <c r="K2097" s="22" t="s">
        <v>262</v>
      </c>
      <c r="L2097" s="22" t="s">
        <v>3318</v>
      </c>
      <c r="M2097" s="22" t="s">
        <v>2130</v>
      </c>
      <c r="N2097" s="28" t="s">
        <v>2494</v>
      </c>
      <c r="O2097" s="28" t="s">
        <v>2016</v>
      </c>
      <c r="P2097" s="29">
        <v>286</v>
      </c>
      <c r="Q2097" s="28" t="s">
        <v>2017</v>
      </c>
      <c r="R2097" s="21"/>
      <c r="S2097" s="21"/>
      <c r="T2097" s="21"/>
      <c r="U2097" s="21"/>
      <c r="V2097" s="21"/>
      <c r="W2097" s="21"/>
      <c r="X2097" s="21"/>
    </row>
    <row r="2098" spans="1:24" ht="15.75" thickBot="1" x14ac:dyDescent="0.3">
      <c r="A2098" t="str">
        <f t="shared" si="32"/>
        <v>PCPE27407IN02.H</v>
      </c>
      <c r="B2098" s="22" t="s">
        <v>8021</v>
      </c>
      <c r="C2098" s="21"/>
      <c r="D2098" s="22" t="s">
        <v>8022</v>
      </c>
      <c r="E2098" s="21"/>
      <c r="F2098" s="22" t="s">
        <v>2030</v>
      </c>
      <c r="G2098" s="28" t="s">
        <v>2012</v>
      </c>
      <c r="H2098" s="22" t="s">
        <v>3459</v>
      </c>
      <c r="I2098" s="22" t="s">
        <v>3460</v>
      </c>
      <c r="J2098" s="22" t="s">
        <v>261</v>
      </c>
      <c r="K2098" s="22" t="s">
        <v>262</v>
      </c>
      <c r="L2098" s="22" t="s">
        <v>3318</v>
      </c>
      <c r="M2098" s="22" t="s">
        <v>2130</v>
      </c>
      <c r="N2098" s="28" t="s">
        <v>2494</v>
      </c>
      <c r="O2098" s="28" t="s">
        <v>2016</v>
      </c>
      <c r="P2098" s="29">
        <v>168</v>
      </c>
      <c r="Q2098" s="28" t="s">
        <v>2017</v>
      </c>
      <c r="R2098" s="21"/>
      <c r="S2098" s="21"/>
      <c r="T2098" s="21"/>
      <c r="U2098" s="21"/>
      <c r="V2098" s="21"/>
      <c r="W2098" s="21"/>
      <c r="X2098" s="21"/>
    </row>
    <row r="2099" spans="1:24" ht="15.75" thickBot="1" x14ac:dyDescent="0.3">
      <c r="A2099" t="str">
        <f t="shared" si="32"/>
        <v>PCPE403A86APIA08</v>
      </c>
      <c r="B2099" s="22" t="s">
        <v>8023</v>
      </c>
      <c r="C2099" s="22" t="s">
        <v>4843</v>
      </c>
      <c r="D2099" s="22" t="s">
        <v>4844</v>
      </c>
      <c r="E2099" s="22" t="s">
        <v>8024</v>
      </c>
      <c r="F2099" s="22" t="s">
        <v>2030</v>
      </c>
      <c r="G2099" s="28" t="s">
        <v>5499</v>
      </c>
      <c r="H2099" s="22" t="s">
        <v>3877</v>
      </c>
      <c r="I2099" s="22" t="s">
        <v>3878</v>
      </c>
      <c r="J2099" s="22" t="s">
        <v>261</v>
      </c>
      <c r="K2099" s="22" t="s">
        <v>262</v>
      </c>
      <c r="L2099" s="22" t="s">
        <v>3899</v>
      </c>
      <c r="M2099" s="22" t="s">
        <v>2130</v>
      </c>
      <c r="N2099" s="28" t="s">
        <v>2494</v>
      </c>
      <c r="O2099" s="28" t="s">
        <v>2016</v>
      </c>
      <c r="P2099" s="29">
        <v>0</v>
      </c>
      <c r="Q2099" s="28" t="s">
        <v>2017</v>
      </c>
      <c r="R2099" s="21"/>
      <c r="S2099" s="21"/>
      <c r="T2099" s="21"/>
      <c r="U2099" s="21"/>
      <c r="V2099" s="21"/>
      <c r="W2099" s="21"/>
      <c r="X2099" s="21"/>
    </row>
    <row r="2100" spans="1:24" ht="15.75" thickBot="1" x14ac:dyDescent="0.3">
      <c r="A2100" t="str">
        <f t="shared" si="32"/>
        <v>PCPE487633.01</v>
      </c>
      <c r="B2100" s="22" t="s">
        <v>8025</v>
      </c>
      <c r="C2100" s="22" t="s">
        <v>8026</v>
      </c>
      <c r="D2100" s="22" t="s">
        <v>8027</v>
      </c>
      <c r="E2100" s="21"/>
      <c r="F2100" s="22" t="s">
        <v>2030</v>
      </c>
      <c r="G2100" s="28" t="s">
        <v>5499</v>
      </c>
      <c r="H2100" s="22" t="s">
        <v>5418</v>
      </c>
      <c r="I2100" s="22" t="s">
        <v>5419</v>
      </c>
      <c r="J2100" s="22" t="s">
        <v>364</v>
      </c>
      <c r="K2100" s="22" t="s">
        <v>262</v>
      </c>
      <c r="L2100" s="22" t="s">
        <v>4628</v>
      </c>
      <c r="M2100" s="22" t="s">
        <v>2130</v>
      </c>
      <c r="N2100" s="28" t="s">
        <v>2494</v>
      </c>
      <c r="O2100" s="28" t="s">
        <v>2016</v>
      </c>
      <c r="P2100" s="29">
        <v>0</v>
      </c>
      <c r="Q2100" s="28" t="s">
        <v>8028</v>
      </c>
      <c r="R2100" s="21"/>
      <c r="S2100" s="21"/>
      <c r="T2100" s="21"/>
      <c r="U2100" s="21"/>
      <c r="V2100" s="21"/>
      <c r="W2100" s="21"/>
      <c r="X2100" s="21"/>
    </row>
    <row r="2101" spans="1:24" ht="15.75" thickBot="1" x14ac:dyDescent="0.3">
      <c r="A2101" t="str">
        <f t="shared" si="32"/>
        <v>PCPGM11548035</v>
      </c>
      <c r="B2101" s="22" t="s">
        <v>8029</v>
      </c>
      <c r="C2101" s="22" t="s">
        <v>8030</v>
      </c>
      <c r="D2101" s="22" t="s">
        <v>8031</v>
      </c>
      <c r="E2101" s="21"/>
      <c r="F2101" s="22" t="s">
        <v>2030</v>
      </c>
      <c r="G2101" s="28" t="s">
        <v>2012</v>
      </c>
      <c r="H2101" s="22" t="s">
        <v>4058</v>
      </c>
      <c r="I2101" s="22" t="s">
        <v>4059</v>
      </c>
      <c r="J2101" s="22" t="s">
        <v>404</v>
      </c>
      <c r="K2101" s="22" t="s">
        <v>262</v>
      </c>
      <c r="L2101" s="22" t="s">
        <v>2493</v>
      </c>
      <c r="M2101" s="22" t="s">
        <v>2130</v>
      </c>
      <c r="N2101" s="28" t="s">
        <v>2494</v>
      </c>
      <c r="O2101" s="28" t="s">
        <v>2016</v>
      </c>
      <c r="P2101" s="29">
        <v>33578</v>
      </c>
      <c r="Q2101" s="28" t="s">
        <v>2017</v>
      </c>
      <c r="R2101" s="40">
        <v>3538.6651053864198</v>
      </c>
      <c r="S2101" s="29">
        <v>610</v>
      </c>
      <c r="T2101" s="32">
        <v>9.4888888888880007</v>
      </c>
      <c r="U2101" s="32">
        <v>0</v>
      </c>
      <c r="V2101" s="40">
        <v>3538.6651053864198</v>
      </c>
      <c r="W2101" s="30"/>
      <c r="X2101" s="30"/>
    </row>
    <row r="2102" spans="1:24" ht="15.75" thickBot="1" x14ac:dyDescent="0.3">
      <c r="A2102" t="str">
        <f t="shared" si="32"/>
        <v>PCPGM11549361</v>
      </c>
      <c r="B2102" s="22" t="s">
        <v>8032</v>
      </c>
      <c r="C2102" s="22" t="s">
        <v>4905</v>
      </c>
      <c r="D2102" s="22" t="s">
        <v>8033</v>
      </c>
      <c r="E2102" s="21"/>
      <c r="F2102" s="22" t="s">
        <v>2030</v>
      </c>
      <c r="G2102" s="28" t="s">
        <v>2012</v>
      </c>
      <c r="H2102" s="22" t="s">
        <v>4058</v>
      </c>
      <c r="I2102" s="22" t="s">
        <v>4059</v>
      </c>
      <c r="J2102" s="22" t="s">
        <v>404</v>
      </c>
      <c r="K2102" s="22" t="s">
        <v>262</v>
      </c>
      <c r="L2102" s="22" t="s">
        <v>2829</v>
      </c>
      <c r="M2102" s="22" t="s">
        <v>4055</v>
      </c>
      <c r="N2102" s="28" t="s">
        <v>2494</v>
      </c>
      <c r="O2102" s="28" t="s">
        <v>2016</v>
      </c>
      <c r="P2102" s="29">
        <v>500</v>
      </c>
      <c r="Q2102" s="28" t="s">
        <v>2017</v>
      </c>
      <c r="R2102" s="21"/>
      <c r="S2102" s="21"/>
      <c r="T2102" s="21"/>
      <c r="U2102" s="21"/>
      <c r="V2102" s="21"/>
      <c r="W2102" s="21"/>
      <c r="X2102" s="21"/>
    </row>
    <row r="2103" spans="1:24" ht="15.75" thickBot="1" x14ac:dyDescent="0.3">
      <c r="A2103" t="str">
        <f t="shared" si="32"/>
        <v>PCPGM11570498</v>
      </c>
      <c r="B2103" s="22" t="s">
        <v>8034</v>
      </c>
      <c r="C2103" s="22" t="s">
        <v>4340</v>
      </c>
      <c r="D2103" s="22" t="s">
        <v>4245</v>
      </c>
      <c r="E2103" s="22" t="s">
        <v>8035</v>
      </c>
      <c r="F2103" s="22" t="s">
        <v>2030</v>
      </c>
      <c r="G2103" s="28" t="s">
        <v>2012</v>
      </c>
      <c r="H2103" s="22" t="s">
        <v>4058</v>
      </c>
      <c r="I2103" s="22" t="s">
        <v>4059</v>
      </c>
      <c r="J2103" s="22" t="s">
        <v>404</v>
      </c>
      <c r="K2103" s="22" t="s">
        <v>262</v>
      </c>
      <c r="L2103" s="22" t="s">
        <v>3914</v>
      </c>
      <c r="M2103" s="22" t="s">
        <v>4055</v>
      </c>
      <c r="N2103" s="28" t="s">
        <v>2494</v>
      </c>
      <c r="O2103" s="28" t="s">
        <v>2016</v>
      </c>
      <c r="P2103" s="29">
        <v>0</v>
      </c>
      <c r="Q2103" s="28" t="s">
        <v>2017</v>
      </c>
      <c r="R2103" s="21"/>
      <c r="S2103" s="21"/>
      <c r="T2103" s="21"/>
      <c r="U2103" s="21"/>
      <c r="V2103" s="21"/>
      <c r="W2103" s="21"/>
      <c r="X2103" s="21"/>
    </row>
    <row r="2104" spans="1:24" ht="15.75" thickBot="1" x14ac:dyDescent="0.3">
      <c r="A2104" t="str">
        <f t="shared" si="32"/>
        <v>PCPGM11611478</v>
      </c>
      <c r="B2104" s="22" t="s">
        <v>8036</v>
      </c>
      <c r="C2104" s="22" t="s">
        <v>8037</v>
      </c>
      <c r="D2104" s="22" t="s">
        <v>8038</v>
      </c>
      <c r="E2104" s="22" t="s">
        <v>8039</v>
      </c>
      <c r="F2104" s="22" t="s">
        <v>2030</v>
      </c>
      <c r="G2104" s="28" t="s">
        <v>2012</v>
      </c>
      <c r="H2104" s="22" t="s">
        <v>4247</v>
      </c>
      <c r="I2104" s="22" t="s">
        <v>4248</v>
      </c>
      <c r="J2104" s="22" t="s">
        <v>404</v>
      </c>
      <c r="K2104" s="22" t="s">
        <v>262</v>
      </c>
      <c r="L2104" s="22" t="s">
        <v>8040</v>
      </c>
      <c r="M2104" s="22" t="s">
        <v>4055</v>
      </c>
      <c r="N2104" s="28" t="s">
        <v>2494</v>
      </c>
      <c r="O2104" s="28" t="s">
        <v>2016</v>
      </c>
      <c r="P2104" s="29">
        <v>111645</v>
      </c>
      <c r="Q2104" s="28" t="s">
        <v>2017</v>
      </c>
      <c r="R2104" s="40">
        <v>2202.9400157853202</v>
      </c>
      <c r="S2104" s="29">
        <v>3258</v>
      </c>
      <c r="T2104" s="32">
        <v>50.68</v>
      </c>
      <c r="U2104" s="32">
        <v>0</v>
      </c>
      <c r="V2104" s="40">
        <v>2202.9400157853202</v>
      </c>
      <c r="W2104" s="30"/>
      <c r="X2104" s="30"/>
    </row>
    <row r="2105" spans="1:24" ht="15.75" thickBot="1" x14ac:dyDescent="0.3">
      <c r="A2105" t="str">
        <f t="shared" si="32"/>
        <v>PCPGM138608003</v>
      </c>
      <c r="B2105" s="22" t="s">
        <v>8041</v>
      </c>
      <c r="C2105" s="22" t="s">
        <v>8042</v>
      </c>
      <c r="D2105" s="22" t="s">
        <v>4066</v>
      </c>
      <c r="E2105" s="22" t="s">
        <v>8043</v>
      </c>
      <c r="F2105" s="22" t="s">
        <v>2030</v>
      </c>
      <c r="G2105" s="28" t="s">
        <v>2012</v>
      </c>
      <c r="H2105" s="22" t="s">
        <v>5154</v>
      </c>
      <c r="I2105" s="22" t="s">
        <v>4703</v>
      </c>
      <c r="J2105" s="22" t="s">
        <v>404</v>
      </c>
      <c r="K2105" s="22" t="s">
        <v>262</v>
      </c>
      <c r="L2105" s="22" t="s">
        <v>5250</v>
      </c>
      <c r="M2105" s="22" t="s">
        <v>2130</v>
      </c>
      <c r="N2105" s="28" t="s">
        <v>2494</v>
      </c>
      <c r="O2105" s="28" t="s">
        <v>2016</v>
      </c>
      <c r="P2105" s="29">
        <v>18583</v>
      </c>
      <c r="Q2105" s="28" t="s">
        <v>2017</v>
      </c>
      <c r="R2105" s="40">
        <v>2964.3211627082601</v>
      </c>
      <c r="S2105" s="29">
        <v>403</v>
      </c>
      <c r="T2105" s="32">
        <v>6.2688888888880001</v>
      </c>
      <c r="U2105" s="32">
        <v>0</v>
      </c>
      <c r="V2105" s="40">
        <v>2964.3211627082601</v>
      </c>
      <c r="W2105" s="30"/>
      <c r="X2105" s="30"/>
    </row>
    <row r="2106" spans="1:24" ht="15.75" thickBot="1" x14ac:dyDescent="0.3">
      <c r="A2106" t="str">
        <f t="shared" si="32"/>
        <v>PCPGM805086</v>
      </c>
      <c r="B2106" s="22" t="s">
        <v>8044</v>
      </c>
      <c r="C2106" s="22" t="s">
        <v>8045</v>
      </c>
      <c r="D2106" s="22" t="s">
        <v>8046</v>
      </c>
      <c r="E2106" s="22" t="s">
        <v>8047</v>
      </c>
      <c r="F2106" s="22" t="s">
        <v>2030</v>
      </c>
      <c r="G2106" s="28" t="s">
        <v>2012</v>
      </c>
      <c r="H2106" s="22" t="s">
        <v>8048</v>
      </c>
      <c r="I2106" s="22" t="s">
        <v>8049</v>
      </c>
      <c r="J2106" s="22" t="s">
        <v>404</v>
      </c>
      <c r="K2106" s="22" t="s">
        <v>262</v>
      </c>
      <c r="L2106" s="22" t="s">
        <v>2493</v>
      </c>
      <c r="M2106" s="22" t="s">
        <v>2130</v>
      </c>
      <c r="N2106" s="28" t="s">
        <v>2494</v>
      </c>
      <c r="O2106" s="28" t="s">
        <v>2016</v>
      </c>
      <c r="P2106" s="29">
        <v>125044</v>
      </c>
      <c r="Q2106" s="28" t="s">
        <v>2017</v>
      </c>
      <c r="R2106" s="40">
        <v>13177.9391100703</v>
      </c>
      <c r="S2106" s="29">
        <v>610</v>
      </c>
      <c r="T2106" s="32">
        <v>9.4888888888880007</v>
      </c>
      <c r="U2106" s="32">
        <v>0</v>
      </c>
      <c r="V2106" s="40">
        <v>13177.9391100703</v>
      </c>
      <c r="W2106" s="30"/>
      <c r="X2106" s="30"/>
    </row>
    <row r="2107" spans="1:24" ht="15.75" thickBot="1" x14ac:dyDescent="0.3">
      <c r="A2107" t="str">
        <f t="shared" si="32"/>
        <v>PCPGM87846867</v>
      </c>
      <c r="B2107" s="22" t="s">
        <v>8050</v>
      </c>
      <c r="C2107" s="22" t="s">
        <v>8051</v>
      </c>
      <c r="D2107" s="22" t="s">
        <v>8052</v>
      </c>
      <c r="E2107" s="21"/>
      <c r="F2107" s="22" t="s">
        <v>2030</v>
      </c>
      <c r="G2107" s="28" t="s">
        <v>2012</v>
      </c>
      <c r="H2107" s="22" t="s">
        <v>8053</v>
      </c>
      <c r="I2107" s="22" t="s">
        <v>8054</v>
      </c>
      <c r="J2107" s="22" t="s">
        <v>404</v>
      </c>
      <c r="K2107" s="22" t="s">
        <v>262</v>
      </c>
      <c r="L2107" s="22" t="s">
        <v>3894</v>
      </c>
      <c r="M2107" s="22" t="s">
        <v>4055</v>
      </c>
      <c r="N2107" s="28" t="s">
        <v>2494</v>
      </c>
      <c r="O2107" s="28" t="s">
        <v>2016</v>
      </c>
      <c r="P2107" s="29">
        <v>0</v>
      </c>
      <c r="Q2107" s="28" t="s">
        <v>2017</v>
      </c>
      <c r="R2107" s="21"/>
      <c r="S2107" s="21"/>
      <c r="T2107" s="21"/>
      <c r="U2107" s="21"/>
      <c r="V2107" s="21"/>
      <c r="W2107" s="21"/>
      <c r="X2107" s="21"/>
    </row>
    <row r="2108" spans="1:24" ht="15.75" thickBot="1" x14ac:dyDescent="0.3">
      <c r="A2108" t="str">
        <f t="shared" si="32"/>
        <v>PCPGM87846868</v>
      </c>
      <c r="B2108" s="22" t="s">
        <v>8055</v>
      </c>
      <c r="C2108" s="22" t="s">
        <v>8056</v>
      </c>
      <c r="D2108" s="22" t="s">
        <v>8057</v>
      </c>
      <c r="E2108" s="21"/>
      <c r="F2108" s="22" t="s">
        <v>2030</v>
      </c>
      <c r="G2108" s="28" t="s">
        <v>2012</v>
      </c>
      <c r="H2108" s="22" t="s">
        <v>8053</v>
      </c>
      <c r="I2108" s="22" t="s">
        <v>8054</v>
      </c>
      <c r="J2108" s="22" t="s">
        <v>404</v>
      </c>
      <c r="K2108" s="22" t="s">
        <v>262</v>
      </c>
      <c r="L2108" s="22" t="s">
        <v>3894</v>
      </c>
      <c r="M2108" s="22" t="s">
        <v>4055</v>
      </c>
      <c r="N2108" s="28" t="s">
        <v>2494</v>
      </c>
      <c r="O2108" s="28" t="s">
        <v>2016</v>
      </c>
      <c r="P2108" s="29">
        <v>24</v>
      </c>
      <c r="Q2108" s="28" t="s">
        <v>2017</v>
      </c>
      <c r="R2108" s="21"/>
      <c r="S2108" s="21"/>
      <c r="T2108" s="21"/>
      <c r="U2108" s="21"/>
      <c r="V2108" s="21"/>
      <c r="W2108" s="21"/>
      <c r="X2108" s="21"/>
    </row>
    <row r="2109" spans="1:24" ht="15.75" thickBot="1" x14ac:dyDescent="0.3">
      <c r="A2109" t="str">
        <f t="shared" si="32"/>
        <v>PCPGMBEE18162</v>
      </c>
      <c r="B2109" s="22" t="s">
        <v>8058</v>
      </c>
      <c r="C2109" s="21"/>
      <c r="D2109" s="22" t="s">
        <v>8059</v>
      </c>
      <c r="E2109" s="21"/>
      <c r="F2109" s="22" t="s">
        <v>2030</v>
      </c>
      <c r="G2109" s="28" t="s">
        <v>2012</v>
      </c>
      <c r="H2109" s="22" t="s">
        <v>8060</v>
      </c>
      <c r="I2109" s="22" t="s">
        <v>8061</v>
      </c>
      <c r="J2109" s="22" t="s">
        <v>404</v>
      </c>
      <c r="K2109" s="22" t="s">
        <v>262</v>
      </c>
      <c r="L2109" s="22" t="s">
        <v>8062</v>
      </c>
      <c r="M2109" s="22" t="s">
        <v>4055</v>
      </c>
      <c r="N2109" s="28" t="s">
        <v>2494</v>
      </c>
      <c r="O2109" s="28" t="s">
        <v>2016</v>
      </c>
      <c r="P2109" s="29">
        <v>0</v>
      </c>
      <c r="Q2109" s="28" t="s">
        <v>2017</v>
      </c>
      <c r="R2109" s="21"/>
      <c r="S2109" s="21"/>
      <c r="T2109" s="21"/>
      <c r="U2109" s="21"/>
      <c r="V2109" s="21"/>
      <c r="W2109" s="21"/>
      <c r="X2109" s="21"/>
    </row>
    <row r="2110" spans="1:24" ht="15.75" thickBot="1" x14ac:dyDescent="0.3">
      <c r="A2110" t="str">
        <f t="shared" si="32"/>
        <v>PCPGMBEE81882.01</v>
      </c>
      <c r="B2110" s="22" t="s">
        <v>8063</v>
      </c>
      <c r="C2110" s="22" t="s">
        <v>8064</v>
      </c>
      <c r="D2110" s="22" t="s">
        <v>2490</v>
      </c>
      <c r="E2110" s="21"/>
      <c r="F2110" s="22" t="s">
        <v>2030</v>
      </c>
      <c r="G2110" s="28" t="s">
        <v>2012</v>
      </c>
      <c r="H2110" s="22" t="s">
        <v>2491</v>
      </c>
      <c r="I2110" s="22" t="s">
        <v>2492</v>
      </c>
      <c r="J2110" s="22" t="s">
        <v>404</v>
      </c>
      <c r="K2110" s="22" t="s">
        <v>262</v>
      </c>
      <c r="L2110" s="22" t="s">
        <v>2493</v>
      </c>
      <c r="M2110" s="22" t="s">
        <v>2130</v>
      </c>
      <c r="N2110" s="28" t="s">
        <v>2494</v>
      </c>
      <c r="O2110" s="28" t="s">
        <v>2016</v>
      </c>
      <c r="P2110" s="29">
        <v>0</v>
      </c>
      <c r="Q2110" s="28" t="s">
        <v>2017</v>
      </c>
      <c r="R2110" s="21"/>
      <c r="S2110" s="21"/>
      <c r="T2110" s="21"/>
      <c r="U2110" s="21"/>
      <c r="V2110" s="21"/>
      <c r="W2110" s="21"/>
      <c r="X2110" s="21"/>
    </row>
    <row r="2111" spans="1:24" ht="15.75" thickBot="1" x14ac:dyDescent="0.3">
      <c r="A2111" t="str">
        <f t="shared" si="32"/>
        <v>PCPGMBEE81884.01</v>
      </c>
      <c r="B2111" s="22" t="s">
        <v>8065</v>
      </c>
      <c r="C2111" s="22" t="s">
        <v>8066</v>
      </c>
      <c r="D2111" s="22" t="s">
        <v>2953</v>
      </c>
      <c r="E2111" s="21"/>
      <c r="F2111" s="22" t="s">
        <v>2030</v>
      </c>
      <c r="G2111" s="28" t="s">
        <v>2012</v>
      </c>
      <c r="H2111" s="22" t="s">
        <v>2491</v>
      </c>
      <c r="I2111" s="22" t="s">
        <v>2492</v>
      </c>
      <c r="J2111" s="22" t="s">
        <v>404</v>
      </c>
      <c r="K2111" s="22" t="s">
        <v>262</v>
      </c>
      <c r="L2111" s="22" t="s">
        <v>2493</v>
      </c>
      <c r="M2111" s="22" t="s">
        <v>2130</v>
      </c>
      <c r="N2111" s="28" t="s">
        <v>2494</v>
      </c>
      <c r="O2111" s="28" t="s">
        <v>2016</v>
      </c>
      <c r="P2111" s="29">
        <v>0</v>
      </c>
      <c r="Q2111" s="28" t="s">
        <v>2017</v>
      </c>
      <c r="R2111" s="21"/>
      <c r="S2111" s="21"/>
      <c r="T2111" s="21"/>
      <c r="U2111" s="21"/>
      <c r="V2111" s="21"/>
      <c r="W2111" s="21"/>
      <c r="X2111" s="21"/>
    </row>
    <row r="2112" spans="1:24" ht="15.75" thickBot="1" x14ac:dyDescent="0.3">
      <c r="A2112" t="str">
        <f t="shared" si="32"/>
        <v>PCPGMFA-85CMAS</v>
      </c>
      <c r="B2112" s="22" t="s">
        <v>8067</v>
      </c>
      <c r="C2112" s="22" t="s">
        <v>8068</v>
      </c>
      <c r="D2112" s="22" t="s">
        <v>8069</v>
      </c>
      <c r="E2112" s="21"/>
      <c r="F2112" s="22" t="s">
        <v>2030</v>
      </c>
      <c r="G2112" s="28" t="s">
        <v>2012</v>
      </c>
      <c r="H2112" s="22" t="s">
        <v>8070</v>
      </c>
      <c r="I2112" s="22" t="s">
        <v>8071</v>
      </c>
      <c r="J2112" s="22" t="s">
        <v>404</v>
      </c>
      <c r="K2112" s="22" t="s">
        <v>262</v>
      </c>
      <c r="L2112" s="22" t="s">
        <v>8072</v>
      </c>
      <c r="M2112" s="22" t="s">
        <v>4830</v>
      </c>
      <c r="N2112" s="28" t="s">
        <v>2494</v>
      </c>
      <c r="O2112" s="28" t="s">
        <v>2016</v>
      </c>
      <c r="P2112" s="29">
        <v>6.9187000000000003</v>
      </c>
      <c r="Q2112" s="28" t="s">
        <v>1164</v>
      </c>
      <c r="R2112" s="40">
        <v>7303.3427163969</v>
      </c>
      <c r="S2112" s="34">
        <v>6.0900000000000003E-2</v>
      </c>
      <c r="T2112" s="32">
        <v>9.4733333300000004E-4</v>
      </c>
      <c r="U2112" s="32">
        <v>0</v>
      </c>
      <c r="V2112" s="40">
        <v>7303.3427163969</v>
      </c>
      <c r="W2112" s="30"/>
      <c r="X2112" s="30"/>
    </row>
    <row r="2113" spans="1:24" ht="15.75" thickBot="1" x14ac:dyDescent="0.3">
      <c r="A2113" t="str">
        <f t="shared" si="32"/>
        <v>PCPHEARNDOORP703</v>
      </c>
      <c r="B2113" s="22" t="s">
        <v>8073</v>
      </c>
      <c r="C2113" s="21"/>
      <c r="D2113" s="22" t="s">
        <v>8074</v>
      </c>
      <c r="E2113" s="21"/>
      <c r="F2113" s="22" t="s">
        <v>2030</v>
      </c>
      <c r="G2113" s="28" t="s">
        <v>2012</v>
      </c>
      <c r="H2113" s="22" t="s">
        <v>8075</v>
      </c>
      <c r="I2113" s="22" t="s">
        <v>8076</v>
      </c>
      <c r="J2113" s="22" t="s">
        <v>494</v>
      </c>
      <c r="K2113" s="22" t="s">
        <v>262</v>
      </c>
      <c r="L2113" s="22" t="s">
        <v>8077</v>
      </c>
      <c r="M2113" s="22" t="s">
        <v>2130</v>
      </c>
      <c r="N2113" s="28" t="s">
        <v>2494</v>
      </c>
      <c r="O2113" s="28" t="s">
        <v>2016</v>
      </c>
      <c r="P2113" s="29">
        <v>1757</v>
      </c>
      <c r="Q2113" s="28" t="s">
        <v>2017</v>
      </c>
      <c r="R2113" s="21"/>
      <c r="S2113" s="21"/>
      <c r="T2113" s="21"/>
      <c r="U2113" s="21"/>
      <c r="V2113" s="21"/>
      <c r="W2113" s="21"/>
      <c r="X2113" s="21"/>
    </row>
    <row r="2114" spans="1:24" ht="15.75" thickBot="1" x14ac:dyDescent="0.3">
      <c r="A2114" t="str">
        <f t="shared" si="32"/>
        <v>PCPJ27406APIA05</v>
      </c>
      <c r="B2114" s="22" t="s">
        <v>8078</v>
      </c>
      <c r="C2114" s="21"/>
      <c r="D2114" s="22" t="s">
        <v>8079</v>
      </c>
      <c r="E2114" s="21"/>
      <c r="F2114" s="22" t="s">
        <v>2030</v>
      </c>
      <c r="G2114" s="28" t="s">
        <v>2012</v>
      </c>
      <c r="H2114" s="22" t="s">
        <v>3871</v>
      </c>
      <c r="I2114" s="22" t="s">
        <v>3872</v>
      </c>
      <c r="J2114" s="22" t="s">
        <v>261</v>
      </c>
      <c r="K2114" s="22" t="s">
        <v>262</v>
      </c>
      <c r="L2114" s="22" t="s">
        <v>4042</v>
      </c>
      <c r="M2114" s="22" t="s">
        <v>2130</v>
      </c>
      <c r="N2114" s="28" t="s">
        <v>2494</v>
      </c>
      <c r="O2114" s="28" t="s">
        <v>2016</v>
      </c>
      <c r="P2114" s="29">
        <v>350</v>
      </c>
      <c r="Q2114" s="28" t="s">
        <v>2017</v>
      </c>
      <c r="R2114" s="21"/>
      <c r="S2114" s="21"/>
      <c r="T2114" s="21"/>
      <c r="U2114" s="21"/>
      <c r="V2114" s="21"/>
      <c r="W2114" s="21"/>
      <c r="X2114" s="21"/>
    </row>
    <row r="2115" spans="1:24" ht="15.75" thickBot="1" x14ac:dyDescent="0.3">
      <c r="A2115" t="str">
        <f t="shared" si="32"/>
        <v>PCPV2DB8312AA</v>
      </c>
      <c r="B2115" s="22" t="s">
        <v>8080</v>
      </c>
      <c r="C2115" s="21"/>
      <c r="D2115" s="22" t="s">
        <v>8081</v>
      </c>
      <c r="E2115" s="21"/>
      <c r="F2115" s="22" t="s">
        <v>2030</v>
      </c>
      <c r="G2115" s="28" t="s">
        <v>2012</v>
      </c>
      <c r="H2115" s="22" t="s">
        <v>2827</v>
      </c>
      <c r="I2115" s="22" t="s">
        <v>2828</v>
      </c>
      <c r="J2115" s="22" t="s">
        <v>364</v>
      </c>
      <c r="K2115" s="22" t="s">
        <v>262</v>
      </c>
      <c r="L2115" s="22" t="s">
        <v>2829</v>
      </c>
      <c r="M2115" s="22" t="s">
        <v>2830</v>
      </c>
      <c r="N2115" s="28" t="s">
        <v>2494</v>
      </c>
      <c r="O2115" s="28" t="s">
        <v>2016</v>
      </c>
      <c r="P2115" s="29">
        <v>29</v>
      </c>
      <c r="Q2115" s="28" t="s">
        <v>2017</v>
      </c>
      <c r="R2115" s="21"/>
      <c r="S2115" s="21"/>
      <c r="T2115" s="21"/>
      <c r="U2115" s="21"/>
      <c r="V2115" s="21"/>
      <c r="W2115" s="21"/>
      <c r="X2115" s="21"/>
    </row>
    <row r="2116" spans="1:24" ht="15.75" thickBot="1" x14ac:dyDescent="0.3">
      <c r="A2116" t="str">
        <f t="shared" si="32"/>
        <v>PCPW506943MOD-S303</v>
      </c>
      <c r="B2116" s="22" t="s">
        <v>8082</v>
      </c>
      <c r="C2116" s="22" t="s">
        <v>8083</v>
      </c>
      <c r="D2116" s="22" t="s">
        <v>4240</v>
      </c>
      <c r="E2116" s="22" t="s">
        <v>8084</v>
      </c>
      <c r="F2116" s="22" t="s">
        <v>8085</v>
      </c>
      <c r="G2116" s="28" t="s">
        <v>2012</v>
      </c>
      <c r="H2116" s="22" t="s">
        <v>3707</v>
      </c>
      <c r="I2116" s="22" t="s">
        <v>3708</v>
      </c>
      <c r="J2116" s="22" t="s">
        <v>494</v>
      </c>
      <c r="K2116" s="22" t="s">
        <v>262</v>
      </c>
      <c r="L2116" s="22" t="s">
        <v>4242</v>
      </c>
      <c r="M2116" s="22" t="s">
        <v>2130</v>
      </c>
      <c r="N2116" s="28" t="s">
        <v>2494</v>
      </c>
      <c r="O2116" s="28" t="s">
        <v>2016</v>
      </c>
      <c r="P2116" s="29">
        <v>35570</v>
      </c>
      <c r="Q2116" s="28" t="s">
        <v>2017</v>
      </c>
      <c r="R2116" s="40">
        <v>7622.1428571428596</v>
      </c>
      <c r="S2116" s="29">
        <v>300</v>
      </c>
      <c r="T2116" s="32">
        <v>4.6666666666659999</v>
      </c>
      <c r="U2116" s="32">
        <v>0</v>
      </c>
      <c r="V2116" s="40">
        <v>7622.1428571428596</v>
      </c>
      <c r="W2116" s="30"/>
      <c r="X2116" s="30"/>
    </row>
    <row r="2117" spans="1:24" ht="15.75" thickBot="1" x14ac:dyDescent="0.3">
      <c r="A2117" t="str">
        <f t="shared" ref="A2117:A2180" si="33">TRIM(B2117)</f>
        <v>PCPW702412-S300</v>
      </c>
      <c r="B2117" s="22" t="s">
        <v>8086</v>
      </c>
      <c r="C2117" s="22" t="s">
        <v>8087</v>
      </c>
      <c r="D2117" s="22" t="s">
        <v>3905</v>
      </c>
      <c r="E2117" s="22" t="s">
        <v>3902</v>
      </c>
      <c r="F2117" s="22" t="s">
        <v>8085</v>
      </c>
      <c r="G2117" s="28" t="s">
        <v>2012</v>
      </c>
      <c r="H2117" s="22" t="s">
        <v>3714</v>
      </c>
      <c r="I2117" s="22" t="s">
        <v>3715</v>
      </c>
      <c r="J2117" s="22" t="s">
        <v>494</v>
      </c>
      <c r="K2117" s="22" t="s">
        <v>262</v>
      </c>
      <c r="L2117" s="22" t="s">
        <v>4343</v>
      </c>
      <c r="M2117" s="22" t="s">
        <v>2130</v>
      </c>
      <c r="N2117" s="28" t="s">
        <v>2494</v>
      </c>
      <c r="O2117" s="28" t="s">
        <v>2016</v>
      </c>
      <c r="P2117" s="29">
        <v>18000</v>
      </c>
      <c r="Q2117" s="28" t="s">
        <v>2017</v>
      </c>
      <c r="R2117" s="21"/>
      <c r="S2117" s="21"/>
      <c r="T2117" s="21"/>
      <c r="U2117" s="21"/>
      <c r="V2117" s="21"/>
      <c r="W2117" s="21"/>
      <c r="X2117" s="21"/>
    </row>
    <row r="2118" spans="1:24" ht="15.75" thickBot="1" x14ac:dyDescent="0.3">
      <c r="A2118" t="str">
        <f t="shared" si="33"/>
        <v>PCPW715281</v>
      </c>
      <c r="B2118" s="22" t="s">
        <v>8088</v>
      </c>
      <c r="C2118" s="21"/>
      <c r="D2118" s="22" t="s">
        <v>3618</v>
      </c>
      <c r="E2118" s="22" t="s">
        <v>3902</v>
      </c>
      <c r="F2118" s="22" t="s">
        <v>2030</v>
      </c>
      <c r="G2118" s="28" t="s">
        <v>2012</v>
      </c>
      <c r="H2118" s="22" t="s">
        <v>3906</v>
      </c>
      <c r="I2118" s="22" t="s">
        <v>3907</v>
      </c>
      <c r="J2118" s="22" t="s">
        <v>494</v>
      </c>
      <c r="K2118" s="22" t="s">
        <v>262</v>
      </c>
      <c r="L2118" s="22" t="s">
        <v>4343</v>
      </c>
      <c r="M2118" s="22" t="s">
        <v>2130</v>
      </c>
      <c r="N2118" s="28" t="s">
        <v>2494</v>
      </c>
      <c r="O2118" s="28" t="s">
        <v>2016</v>
      </c>
      <c r="P2118" s="29">
        <v>20000</v>
      </c>
      <c r="Q2118" s="28" t="s">
        <v>2017</v>
      </c>
      <c r="R2118" s="21"/>
      <c r="S2118" s="21"/>
      <c r="T2118" s="21"/>
      <c r="U2118" s="21"/>
      <c r="V2118" s="21"/>
      <c r="W2118" s="21"/>
      <c r="X2118" s="21"/>
    </row>
    <row r="2119" spans="1:24" ht="15.75" thickBot="1" x14ac:dyDescent="0.3">
      <c r="A2119" t="str">
        <f t="shared" si="33"/>
        <v>PCPW715645-S442</v>
      </c>
      <c r="B2119" s="22" t="s">
        <v>8089</v>
      </c>
      <c r="C2119" s="22" t="s">
        <v>8090</v>
      </c>
      <c r="D2119" s="22" t="s">
        <v>8091</v>
      </c>
      <c r="E2119" s="22" t="s">
        <v>3902</v>
      </c>
      <c r="F2119" s="22" t="s">
        <v>8085</v>
      </c>
      <c r="G2119" s="28" t="s">
        <v>2012</v>
      </c>
      <c r="H2119" s="22" t="s">
        <v>5248</v>
      </c>
      <c r="I2119" s="22" t="s">
        <v>5249</v>
      </c>
      <c r="J2119" s="22" t="s">
        <v>494</v>
      </c>
      <c r="K2119" s="22" t="s">
        <v>262</v>
      </c>
      <c r="L2119" s="22" t="s">
        <v>3716</v>
      </c>
      <c r="M2119" s="22" t="s">
        <v>2130</v>
      </c>
      <c r="N2119" s="28" t="s">
        <v>2494</v>
      </c>
      <c r="O2119" s="28" t="s">
        <v>2016</v>
      </c>
      <c r="P2119" s="29">
        <v>12000</v>
      </c>
      <c r="Q2119" s="28" t="s">
        <v>2017</v>
      </c>
      <c r="R2119" s="21"/>
      <c r="S2119" s="21"/>
      <c r="T2119" s="21"/>
      <c r="U2119" s="21"/>
      <c r="V2119" s="21"/>
      <c r="W2119" s="21"/>
      <c r="X2119" s="21"/>
    </row>
    <row r="2120" spans="1:24" ht="15.75" thickBot="1" x14ac:dyDescent="0.3">
      <c r="A2120" t="str">
        <f t="shared" si="33"/>
        <v>PCPW717977S300</v>
      </c>
      <c r="B2120" s="22" t="s">
        <v>8092</v>
      </c>
      <c r="C2120" s="22" t="s">
        <v>8093</v>
      </c>
      <c r="D2120" s="22" t="s">
        <v>3618</v>
      </c>
      <c r="E2120" s="22" t="s">
        <v>8094</v>
      </c>
      <c r="F2120" s="22" t="s">
        <v>2030</v>
      </c>
      <c r="G2120" s="28" t="s">
        <v>2012</v>
      </c>
      <c r="H2120" s="22" t="s">
        <v>3714</v>
      </c>
      <c r="I2120" s="22" t="s">
        <v>3715</v>
      </c>
      <c r="J2120" s="22" t="s">
        <v>494</v>
      </c>
      <c r="K2120" s="22" t="s">
        <v>262</v>
      </c>
      <c r="L2120" s="22" t="s">
        <v>3716</v>
      </c>
      <c r="M2120" s="22" t="s">
        <v>2130</v>
      </c>
      <c r="N2120" s="28" t="s">
        <v>2494</v>
      </c>
      <c r="O2120" s="28" t="s">
        <v>2016</v>
      </c>
      <c r="P2120" s="29">
        <v>96000</v>
      </c>
      <c r="Q2120" s="28" t="s">
        <v>2017</v>
      </c>
      <c r="R2120" s="21"/>
      <c r="S2120" s="21"/>
      <c r="T2120" s="21"/>
      <c r="U2120" s="21"/>
      <c r="V2120" s="21"/>
      <c r="W2120" s="21"/>
      <c r="X2120" s="21"/>
    </row>
    <row r="2121" spans="1:24" ht="15.75" thickBot="1" x14ac:dyDescent="0.3">
      <c r="A2121" t="str">
        <f t="shared" si="33"/>
        <v>PCPW718890</v>
      </c>
      <c r="B2121" s="22" t="s">
        <v>8095</v>
      </c>
      <c r="C2121" s="22" t="s">
        <v>8096</v>
      </c>
      <c r="D2121" s="22" t="s">
        <v>4346</v>
      </c>
      <c r="E2121" s="22" t="s">
        <v>3902</v>
      </c>
      <c r="F2121" s="22" t="s">
        <v>8085</v>
      </c>
      <c r="G2121" s="28" t="s">
        <v>2012</v>
      </c>
      <c r="H2121" s="22" t="s">
        <v>3714</v>
      </c>
      <c r="I2121" s="22" t="s">
        <v>3715</v>
      </c>
      <c r="J2121" s="22" t="s">
        <v>261</v>
      </c>
      <c r="K2121" s="22" t="s">
        <v>262</v>
      </c>
      <c r="L2121" s="22" t="s">
        <v>8097</v>
      </c>
      <c r="M2121" s="22" t="s">
        <v>2130</v>
      </c>
      <c r="N2121" s="28" t="s">
        <v>2494</v>
      </c>
      <c r="O2121" s="28" t="s">
        <v>2016</v>
      </c>
      <c r="P2121" s="29">
        <v>45000</v>
      </c>
      <c r="Q2121" s="28" t="s">
        <v>2017</v>
      </c>
      <c r="R2121" s="21"/>
      <c r="S2121" s="21"/>
      <c r="T2121" s="21"/>
      <c r="U2121" s="21"/>
      <c r="V2121" s="21"/>
      <c r="W2121" s="21"/>
      <c r="X2121" s="21"/>
    </row>
    <row r="2122" spans="1:24" ht="15.75" thickBot="1" x14ac:dyDescent="0.3">
      <c r="A2122" t="str">
        <f t="shared" si="33"/>
        <v>PCS06104982AA</v>
      </c>
      <c r="B2122" s="22" t="s">
        <v>8098</v>
      </c>
      <c r="C2122" s="21"/>
      <c r="D2122" s="22" t="s">
        <v>2959</v>
      </c>
      <c r="E2122" s="22" t="s">
        <v>3357</v>
      </c>
      <c r="F2122" s="22" t="s">
        <v>2030</v>
      </c>
      <c r="G2122" s="28" t="s">
        <v>5499</v>
      </c>
      <c r="H2122" s="22" t="s">
        <v>2013</v>
      </c>
      <c r="I2122" s="21"/>
      <c r="J2122" s="22" t="s">
        <v>3324</v>
      </c>
      <c r="K2122" s="22" t="s">
        <v>3324</v>
      </c>
      <c r="L2122" s="22" t="s">
        <v>2964</v>
      </c>
      <c r="M2122" s="22" t="s">
        <v>2130</v>
      </c>
      <c r="N2122" s="28" t="s">
        <v>2494</v>
      </c>
      <c r="O2122" s="28" t="s">
        <v>2016</v>
      </c>
      <c r="P2122" s="29">
        <v>52000</v>
      </c>
      <c r="Q2122" s="28" t="s">
        <v>2017</v>
      </c>
      <c r="R2122" s="21"/>
      <c r="S2122" s="21"/>
      <c r="T2122" s="21"/>
      <c r="U2122" s="21"/>
      <c r="V2122" s="21"/>
      <c r="W2122" s="21"/>
      <c r="X2122" s="21"/>
    </row>
    <row r="2123" spans="1:24" ht="15.75" thickBot="1" x14ac:dyDescent="0.3">
      <c r="A2123" t="str">
        <f t="shared" si="33"/>
        <v>PCS06511308AA</v>
      </c>
      <c r="B2123" s="22" t="s">
        <v>8099</v>
      </c>
      <c r="C2123" s="21"/>
      <c r="D2123" s="22" t="s">
        <v>2959</v>
      </c>
      <c r="E2123" s="22" t="s">
        <v>8084</v>
      </c>
      <c r="F2123" s="22" t="s">
        <v>2030</v>
      </c>
      <c r="G2123" s="28" t="s">
        <v>5499</v>
      </c>
      <c r="H2123" s="22" t="s">
        <v>8100</v>
      </c>
      <c r="I2123" s="22" t="s">
        <v>8101</v>
      </c>
      <c r="J2123" s="22" t="s">
        <v>394</v>
      </c>
      <c r="K2123" s="22" t="s">
        <v>924</v>
      </c>
      <c r="L2123" s="22" t="s">
        <v>2964</v>
      </c>
      <c r="M2123" s="22" t="s">
        <v>2130</v>
      </c>
      <c r="N2123" s="28" t="s">
        <v>2494</v>
      </c>
      <c r="O2123" s="28" t="s">
        <v>2016</v>
      </c>
      <c r="P2123" s="29">
        <v>0</v>
      </c>
      <c r="Q2123" s="28" t="s">
        <v>2017</v>
      </c>
      <c r="R2123" s="21"/>
      <c r="S2123" s="21"/>
      <c r="T2123" s="21"/>
      <c r="U2123" s="21"/>
      <c r="V2123" s="21"/>
      <c r="W2123" s="21"/>
      <c r="X2123" s="21"/>
    </row>
    <row r="2124" spans="1:24" ht="15.75" thickBot="1" x14ac:dyDescent="0.3">
      <c r="A2124" t="str">
        <f t="shared" si="33"/>
        <v>PCS101C38AB</v>
      </c>
      <c r="B2124" s="22" t="s">
        <v>8102</v>
      </c>
      <c r="C2124" s="21"/>
      <c r="D2124" s="22" t="s">
        <v>8103</v>
      </c>
      <c r="E2124" s="21"/>
      <c r="F2124" s="22" t="s">
        <v>2030</v>
      </c>
      <c r="G2124" s="28" t="s">
        <v>5499</v>
      </c>
      <c r="H2124" s="22" t="s">
        <v>8104</v>
      </c>
      <c r="I2124" s="22" t="s">
        <v>4192</v>
      </c>
      <c r="J2124" s="22" t="s">
        <v>494</v>
      </c>
      <c r="K2124" s="22" t="s">
        <v>924</v>
      </c>
      <c r="L2124" s="22" t="s">
        <v>3628</v>
      </c>
      <c r="M2124" s="22" t="s">
        <v>2130</v>
      </c>
      <c r="N2124" s="28" t="s">
        <v>2494</v>
      </c>
      <c r="O2124" s="28" t="s">
        <v>2016</v>
      </c>
      <c r="P2124" s="29">
        <v>0</v>
      </c>
      <c r="Q2124" s="28" t="s">
        <v>2017</v>
      </c>
      <c r="R2124" s="21"/>
      <c r="S2124" s="21"/>
      <c r="T2124" s="21"/>
      <c r="U2124" s="21"/>
      <c r="V2124" s="21"/>
      <c r="W2124" s="21"/>
      <c r="X2124" s="21"/>
    </row>
    <row r="2125" spans="1:24" ht="15.75" thickBot="1" x14ac:dyDescent="0.3">
      <c r="A2125" t="str">
        <f t="shared" si="33"/>
        <v>PCS16C838APIA03</v>
      </c>
      <c r="B2125" s="22" t="s">
        <v>8105</v>
      </c>
      <c r="C2125" s="21"/>
      <c r="D2125" s="22" t="s">
        <v>8106</v>
      </c>
      <c r="E2125" s="22" t="s">
        <v>2960</v>
      </c>
      <c r="F2125" s="22" t="s">
        <v>2030</v>
      </c>
      <c r="G2125" s="28" t="s">
        <v>5499</v>
      </c>
      <c r="H2125" s="22" t="s">
        <v>8107</v>
      </c>
      <c r="I2125" s="22" t="s">
        <v>8108</v>
      </c>
      <c r="J2125" s="22" t="s">
        <v>494</v>
      </c>
      <c r="K2125" s="22" t="s">
        <v>924</v>
      </c>
      <c r="L2125" s="22" t="s">
        <v>3914</v>
      </c>
      <c r="M2125" s="22" t="s">
        <v>2130</v>
      </c>
      <c r="N2125" s="28" t="s">
        <v>2494</v>
      </c>
      <c r="O2125" s="28" t="s">
        <v>2016</v>
      </c>
      <c r="P2125" s="29">
        <v>0</v>
      </c>
      <c r="Q2125" s="28" t="s">
        <v>2017</v>
      </c>
      <c r="R2125" s="41">
        <v>0</v>
      </c>
      <c r="S2125" s="29">
        <v>4</v>
      </c>
      <c r="T2125" s="32">
        <v>6.2222222222000002E-2</v>
      </c>
      <c r="U2125" s="32">
        <v>0</v>
      </c>
      <c r="V2125" s="41">
        <v>0</v>
      </c>
      <c r="W2125" s="21"/>
      <c r="X2125" s="21"/>
    </row>
    <row r="2126" spans="1:24" ht="15.75" thickBot="1" x14ac:dyDescent="0.3">
      <c r="A2126" t="str">
        <f t="shared" si="33"/>
        <v>PCS2102482AB</v>
      </c>
      <c r="B2126" s="22" t="s">
        <v>8109</v>
      </c>
      <c r="C2126" s="21"/>
      <c r="D2126" s="22" t="s">
        <v>8110</v>
      </c>
      <c r="E2126" s="21"/>
      <c r="F2126" s="22" t="s">
        <v>2030</v>
      </c>
      <c r="G2126" s="28" t="s">
        <v>2012</v>
      </c>
      <c r="H2126" s="22" t="s">
        <v>8111</v>
      </c>
      <c r="I2126" s="22" t="s">
        <v>8112</v>
      </c>
      <c r="J2126" s="22" t="s">
        <v>494</v>
      </c>
      <c r="K2126" s="22" t="s">
        <v>924</v>
      </c>
      <c r="L2126" s="22" t="s">
        <v>3628</v>
      </c>
      <c r="M2126" s="22" t="s">
        <v>2130</v>
      </c>
      <c r="N2126" s="28" t="s">
        <v>2494</v>
      </c>
      <c r="O2126" s="28" t="s">
        <v>2016</v>
      </c>
      <c r="P2126" s="29">
        <v>1500</v>
      </c>
      <c r="Q2126" s="28" t="s">
        <v>2017</v>
      </c>
      <c r="R2126" s="21"/>
      <c r="S2126" s="21"/>
      <c r="T2126" s="21"/>
      <c r="U2126" s="21"/>
      <c r="V2126" s="21"/>
      <c r="W2126" s="21"/>
      <c r="X2126" s="21"/>
    </row>
    <row r="2127" spans="1:24" ht="15.75" thickBot="1" x14ac:dyDescent="0.3">
      <c r="A2127" t="str">
        <f t="shared" si="33"/>
        <v>PCS21024A42AB</v>
      </c>
      <c r="B2127" s="22" t="s">
        <v>8113</v>
      </c>
      <c r="C2127" s="21"/>
      <c r="D2127" s="22" t="s">
        <v>8114</v>
      </c>
      <c r="E2127" s="22" t="s">
        <v>2833</v>
      </c>
      <c r="F2127" s="22" t="s">
        <v>2030</v>
      </c>
      <c r="G2127" s="28" t="s">
        <v>2012</v>
      </c>
      <c r="H2127" s="22" t="s">
        <v>8111</v>
      </c>
      <c r="I2127" s="22" t="s">
        <v>8112</v>
      </c>
      <c r="J2127" s="22" t="s">
        <v>494</v>
      </c>
      <c r="K2127" s="22" t="s">
        <v>924</v>
      </c>
      <c r="L2127" s="22" t="s">
        <v>3628</v>
      </c>
      <c r="M2127" s="22" t="s">
        <v>2130</v>
      </c>
      <c r="N2127" s="28" t="s">
        <v>2494</v>
      </c>
      <c r="O2127" s="28" t="s">
        <v>2016</v>
      </c>
      <c r="P2127" s="29">
        <v>1500</v>
      </c>
      <c r="Q2127" s="28" t="s">
        <v>2017</v>
      </c>
      <c r="R2127" s="21"/>
      <c r="S2127" s="21"/>
      <c r="T2127" s="21"/>
      <c r="U2127" s="21"/>
      <c r="V2127" s="21"/>
      <c r="W2127" s="21"/>
      <c r="X2127" s="21"/>
    </row>
    <row r="2128" spans="1:24" ht="15.75" thickBot="1" x14ac:dyDescent="0.3">
      <c r="A2128" t="str">
        <f t="shared" si="33"/>
        <v>PCS2102526AD</v>
      </c>
      <c r="B2128" s="22" t="s">
        <v>8115</v>
      </c>
      <c r="C2128" s="21"/>
      <c r="D2128" s="22" t="s">
        <v>8116</v>
      </c>
      <c r="E2128" s="21"/>
      <c r="F2128" s="22" t="s">
        <v>2030</v>
      </c>
      <c r="G2128" s="28" t="s">
        <v>2012</v>
      </c>
      <c r="H2128" s="22" t="s">
        <v>8117</v>
      </c>
      <c r="I2128" s="22" t="s">
        <v>8118</v>
      </c>
      <c r="J2128" s="22" t="s">
        <v>494</v>
      </c>
      <c r="K2128" s="22" t="s">
        <v>924</v>
      </c>
      <c r="L2128" s="22" t="s">
        <v>3628</v>
      </c>
      <c r="M2128" s="22" t="s">
        <v>2130</v>
      </c>
      <c r="N2128" s="28" t="s">
        <v>2494</v>
      </c>
      <c r="O2128" s="28" t="s">
        <v>2016</v>
      </c>
      <c r="P2128" s="29">
        <v>176</v>
      </c>
      <c r="Q2128" s="28" t="s">
        <v>2017</v>
      </c>
      <c r="R2128" s="21"/>
      <c r="S2128" s="21"/>
      <c r="T2128" s="21"/>
      <c r="U2128" s="21"/>
      <c r="V2128" s="21"/>
      <c r="W2128" s="21"/>
      <c r="X2128" s="21"/>
    </row>
    <row r="2129" spans="1:24" ht="15.75" thickBot="1" x14ac:dyDescent="0.3">
      <c r="A2129" t="str">
        <f t="shared" si="33"/>
        <v>PCS2110142AB</v>
      </c>
      <c r="B2129" s="22" t="s">
        <v>8119</v>
      </c>
      <c r="C2129" s="21"/>
      <c r="D2129" s="22" t="s">
        <v>2955</v>
      </c>
      <c r="E2129" s="21"/>
      <c r="F2129" s="22" t="s">
        <v>2030</v>
      </c>
      <c r="G2129" s="28" t="s">
        <v>2012</v>
      </c>
      <c r="H2129" s="22" t="s">
        <v>4647</v>
      </c>
      <c r="I2129" s="22" t="s">
        <v>4648</v>
      </c>
      <c r="J2129" s="22" t="s">
        <v>494</v>
      </c>
      <c r="K2129" s="22" t="s">
        <v>924</v>
      </c>
      <c r="L2129" s="22" t="s">
        <v>3628</v>
      </c>
      <c r="M2129" s="22" t="s">
        <v>2130</v>
      </c>
      <c r="N2129" s="28" t="s">
        <v>2494</v>
      </c>
      <c r="O2129" s="28" t="s">
        <v>2016</v>
      </c>
      <c r="P2129" s="29">
        <v>160</v>
      </c>
      <c r="Q2129" s="28" t="s">
        <v>2017</v>
      </c>
      <c r="R2129" s="21"/>
      <c r="S2129" s="21"/>
      <c r="T2129" s="21"/>
      <c r="U2129" s="21"/>
      <c r="V2129" s="21"/>
      <c r="W2129" s="21"/>
      <c r="X2129" s="21"/>
    </row>
    <row r="2130" spans="1:24" ht="15.75" thickBot="1" x14ac:dyDescent="0.3">
      <c r="A2130" t="str">
        <f t="shared" si="33"/>
        <v>PCS2110143AA</v>
      </c>
      <c r="B2130" s="22" t="s">
        <v>8120</v>
      </c>
      <c r="C2130" s="21"/>
      <c r="D2130" s="22" t="s">
        <v>8121</v>
      </c>
      <c r="E2130" s="22" t="s">
        <v>2497</v>
      </c>
      <c r="F2130" s="22" t="s">
        <v>2498</v>
      </c>
      <c r="G2130" s="28" t="s">
        <v>2012</v>
      </c>
      <c r="H2130" s="22" t="s">
        <v>4647</v>
      </c>
      <c r="I2130" s="22" t="s">
        <v>4648</v>
      </c>
      <c r="J2130" s="22" t="s">
        <v>494</v>
      </c>
      <c r="K2130" s="22" t="s">
        <v>924</v>
      </c>
      <c r="L2130" s="22" t="s">
        <v>3628</v>
      </c>
      <c r="M2130" s="22" t="s">
        <v>2130</v>
      </c>
      <c r="N2130" s="28" t="s">
        <v>2494</v>
      </c>
      <c r="O2130" s="28" t="s">
        <v>2016</v>
      </c>
      <c r="P2130" s="29">
        <v>160</v>
      </c>
      <c r="Q2130" s="28" t="s">
        <v>2017</v>
      </c>
      <c r="R2130" s="21"/>
      <c r="S2130" s="21"/>
      <c r="T2130" s="21"/>
      <c r="U2130" s="21"/>
      <c r="V2130" s="21"/>
      <c r="W2130" s="21"/>
      <c r="X2130" s="21"/>
    </row>
    <row r="2131" spans="1:24" ht="15.75" thickBot="1" x14ac:dyDescent="0.3">
      <c r="A2131" t="str">
        <f t="shared" si="33"/>
        <v>PCS21243A22AA</v>
      </c>
      <c r="B2131" s="22" t="s">
        <v>8122</v>
      </c>
      <c r="C2131" s="21"/>
      <c r="D2131" s="22" t="s">
        <v>8123</v>
      </c>
      <c r="E2131" s="22" t="s">
        <v>3619</v>
      </c>
      <c r="F2131" s="22" t="s">
        <v>2030</v>
      </c>
      <c r="G2131" s="28" t="s">
        <v>2012</v>
      </c>
      <c r="H2131" s="22" t="s">
        <v>3721</v>
      </c>
      <c r="I2131" s="22" t="s">
        <v>3722</v>
      </c>
      <c r="J2131" s="22" t="s">
        <v>494</v>
      </c>
      <c r="K2131" s="22" t="s">
        <v>924</v>
      </c>
      <c r="L2131" s="22" t="s">
        <v>2501</v>
      </c>
      <c r="M2131" s="22" t="s">
        <v>2130</v>
      </c>
      <c r="N2131" s="28" t="s">
        <v>2494</v>
      </c>
      <c r="O2131" s="28" t="s">
        <v>2016</v>
      </c>
      <c r="P2131" s="29">
        <v>200</v>
      </c>
      <c r="Q2131" s="28" t="s">
        <v>2017</v>
      </c>
      <c r="R2131" s="21"/>
      <c r="S2131" s="21"/>
      <c r="T2131" s="21"/>
      <c r="U2131" s="21"/>
      <c r="V2131" s="21"/>
      <c r="W2131" s="21"/>
      <c r="X2131" s="21"/>
    </row>
    <row r="2132" spans="1:24" ht="15.75" thickBot="1" x14ac:dyDescent="0.3">
      <c r="A2132" t="str">
        <f t="shared" si="33"/>
        <v>PCS2128502AA</v>
      </c>
      <c r="B2132" s="22" t="s">
        <v>8124</v>
      </c>
      <c r="C2132" s="21"/>
      <c r="D2132" s="22" t="s">
        <v>8125</v>
      </c>
      <c r="E2132" s="21"/>
      <c r="F2132" s="22" t="s">
        <v>2030</v>
      </c>
      <c r="G2132" s="28" t="s">
        <v>2012</v>
      </c>
      <c r="H2132" s="22" t="s">
        <v>3334</v>
      </c>
      <c r="I2132" s="22" t="s">
        <v>3335</v>
      </c>
      <c r="J2132" s="22" t="s">
        <v>494</v>
      </c>
      <c r="K2132" s="22" t="s">
        <v>924</v>
      </c>
      <c r="L2132" s="22" t="s">
        <v>3336</v>
      </c>
      <c r="M2132" s="22" t="s">
        <v>2130</v>
      </c>
      <c r="N2132" s="28" t="s">
        <v>2494</v>
      </c>
      <c r="O2132" s="28" t="s">
        <v>2016</v>
      </c>
      <c r="P2132" s="29">
        <v>217</v>
      </c>
      <c r="Q2132" s="28" t="s">
        <v>2017</v>
      </c>
      <c r="R2132" s="21"/>
      <c r="S2132" s="21"/>
      <c r="T2132" s="21"/>
      <c r="U2132" s="21"/>
      <c r="V2132" s="21"/>
      <c r="W2132" s="21"/>
      <c r="X2132" s="21"/>
    </row>
    <row r="2133" spans="1:24" ht="15.75" thickBot="1" x14ac:dyDescent="0.3">
      <c r="A2133" t="str">
        <f t="shared" si="33"/>
        <v>PCS2128503AA</v>
      </c>
      <c r="B2133" s="22" t="s">
        <v>8126</v>
      </c>
      <c r="C2133" s="21"/>
      <c r="D2133" s="22" t="s">
        <v>6822</v>
      </c>
      <c r="E2133" s="21"/>
      <c r="F2133" s="22" t="s">
        <v>2030</v>
      </c>
      <c r="G2133" s="28" t="s">
        <v>2012</v>
      </c>
      <c r="H2133" s="22" t="s">
        <v>3334</v>
      </c>
      <c r="I2133" s="22" t="s">
        <v>3335</v>
      </c>
      <c r="J2133" s="22" t="s">
        <v>494</v>
      </c>
      <c r="K2133" s="22" t="s">
        <v>924</v>
      </c>
      <c r="L2133" s="22" t="s">
        <v>3336</v>
      </c>
      <c r="M2133" s="22" t="s">
        <v>2130</v>
      </c>
      <c r="N2133" s="28" t="s">
        <v>2494</v>
      </c>
      <c r="O2133" s="28" t="s">
        <v>2016</v>
      </c>
      <c r="P2133" s="29">
        <v>395</v>
      </c>
      <c r="Q2133" s="28" t="s">
        <v>2017</v>
      </c>
      <c r="R2133" s="21"/>
      <c r="S2133" s="21"/>
      <c r="T2133" s="21"/>
      <c r="U2133" s="21"/>
      <c r="V2133" s="21"/>
      <c r="W2133" s="21"/>
      <c r="X2133" s="21"/>
    </row>
    <row r="2134" spans="1:24" ht="15.75" thickBot="1" x14ac:dyDescent="0.3">
      <c r="A2134" t="str">
        <f t="shared" si="33"/>
        <v>PCS21285A06AA</v>
      </c>
      <c r="B2134" s="22" t="s">
        <v>8127</v>
      </c>
      <c r="C2134" s="21"/>
      <c r="D2134" s="22" t="s">
        <v>8128</v>
      </c>
      <c r="E2134" s="22" t="s">
        <v>2833</v>
      </c>
      <c r="F2134" s="22" t="s">
        <v>2030</v>
      </c>
      <c r="G2134" s="28" t="s">
        <v>2012</v>
      </c>
      <c r="H2134" s="22" t="s">
        <v>3721</v>
      </c>
      <c r="I2134" s="22" t="s">
        <v>3722</v>
      </c>
      <c r="J2134" s="22" t="s">
        <v>494</v>
      </c>
      <c r="K2134" s="22" t="s">
        <v>924</v>
      </c>
      <c r="L2134" s="22" t="s">
        <v>2829</v>
      </c>
      <c r="M2134" s="22" t="s">
        <v>2130</v>
      </c>
      <c r="N2134" s="28" t="s">
        <v>2494</v>
      </c>
      <c r="O2134" s="28" t="s">
        <v>2016</v>
      </c>
      <c r="P2134" s="29">
        <v>702</v>
      </c>
      <c r="Q2134" s="28" t="s">
        <v>2017</v>
      </c>
      <c r="R2134" s="21"/>
      <c r="S2134" s="21"/>
      <c r="T2134" s="21"/>
      <c r="U2134" s="21"/>
      <c r="V2134" s="21"/>
      <c r="W2134" s="21"/>
      <c r="X2134" s="21"/>
    </row>
    <row r="2135" spans="1:24" ht="15.75" thickBot="1" x14ac:dyDescent="0.3">
      <c r="A2135" t="str">
        <f t="shared" si="33"/>
        <v>PCS21407A00AB</v>
      </c>
      <c r="B2135" s="22" t="s">
        <v>8129</v>
      </c>
      <c r="C2135" s="21"/>
      <c r="D2135" s="22" t="s">
        <v>8130</v>
      </c>
      <c r="E2135" s="21"/>
      <c r="F2135" s="22" t="s">
        <v>2030</v>
      </c>
      <c r="G2135" s="28" t="s">
        <v>2012</v>
      </c>
      <c r="H2135" s="22" t="s">
        <v>3329</v>
      </c>
      <c r="I2135" s="22" t="s">
        <v>3330</v>
      </c>
      <c r="J2135" s="22" t="s">
        <v>494</v>
      </c>
      <c r="K2135" s="22" t="s">
        <v>924</v>
      </c>
      <c r="L2135" s="22" t="s">
        <v>2501</v>
      </c>
      <c r="M2135" s="22" t="s">
        <v>2130</v>
      </c>
      <c r="N2135" s="28" t="s">
        <v>2494</v>
      </c>
      <c r="O2135" s="28" t="s">
        <v>2016</v>
      </c>
      <c r="P2135" s="29">
        <v>0</v>
      </c>
      <c r="Q2135" s="28" t="s">
        <v>2017</v>
      </c>
      <c r="R2135" s="21"/>
      <c r="S2135" s="21"/>
      <c r="T2135" s="21"/>
      <c r="U2135" s="21"/>
      <c r="V2135" s="21"/>
      <c r="W2135" s="21"/>
      <c r="X2135" s="21"/>
    </row>
    <row r="2136" spans="1:24" ht="15.75" thickBot="1" x14ac:dyDescent="0.3">
      <c r="A2136" t="str">
        <f t="shared" si="33"/>
        <v>PCS21413A14AC</v>
      </c>
      <c r="B2136" s="22" t="s">
        <v>8131</v>
      </c>
      <c r="C2136" s="21"/>
      <c r="D2136" s="22" t="s">
        <v>8132</v>
      </c>
      <c r="E2136" s="21"/>
      <c r="F2136" s="22" t="s">
        <v>2030</v>
      </c>
      <c r="G2136" s="28" t="s">
        <v>2012</v>
      </c>
      <c r="H2136" s="22" t="s">
        <v>3721</v>
      </c>
      <c r="I2136" s="22" t="s">
        <v>3722</v>
      </c>
      <c r="J2136" s="22" t="s">
        <v>494</v>
      </c>
      <c r="K2136" s="22" t="s">
        <v>924</v>
      </c>
      <c r="L2136" s="22" t="s">
        <v>2829</v>
      </c>
      <c r="M2136" s="22" t="s">
        <v>2130</v>
      </c>
      <c r="N2136" s="28" t="s">
        <v>2494</v>
      </c>
      <c r="O2136" s="28" t="s">
        <v>2016</v>
      </c>
      <c r="P2136" s="29">
        <v>250</v>
      </c>
      <c r="Q2136" s="28" t="s">
        <v>2017</v>
      </c>
      <c r="R2136" s="21"/>
      <c r="S2136" s="21"/>
      <c r="T2136" s="21"/>
      <c r="U2136" s="21"/>
      <c r="V2136" s="21"/>
      <c r="W2136" s="21"/>
      <c r="X2136" s="21"/>
    </row>
    <row r="2137" spans="1:24" ht="15.75" thickBot="1" x14ac:dyDescent="0.3">
      <c r="A2137" t="str">
        <f t="shared" si="33"/>
        <v>PCS21413A15AC</v>
      </c>
      <c r="B2137" s="22" t="s">
        <v>8133</v>
      </c>
      <c r="C2137" s="21"/>
      <c r="D2137" s="22" t="s">
        <v>8134</v>
      </c>
      <c r="E2137" s="21"/>
      <c r="F2137" s="22" t="s">
        <v>2030</v>
      </c>
      <c r="G2137" s="28" t="s">
        <v>2012</v>
      </c>
      <c r="H2137" s="22" t="s">
        <v>3721</v>
      </c>
      <c r="I2137" s="22" t="s">
        <v>3722</v>
      </c>
      <c r="J2137" s="22" t="s">
        <v>494</v>
      </c>
      <c r="K2137" s="22" t="s">
        <v>924</v>
      </c>
      <c r="L2137" s="22" t="s">
        <v>2829</v>
      </c>
      <c r="M2137" s="22" t="s">
        <v>2130</v>
      </c>
      <c r="N2137" s="28" t="s">
        <v>2494</v>
      </c>
      <c r="O2137" s="28" t="s">
        <v>2016</v>
      </c>
      <c r="P2137" s="29">
        <v>250</v>
      </c>
      <c r="Q2137" s="28" t="s">
        <v>2017</v>
      </c>
      <c r="R2137" s="21"/>
      <c r="S2137" s="21"/>
      <c r="T2137" s="21"/>
      <c r="U2137" s="21"/>
      <c r="V2137" s="21"/>
      <c r="W2137" s="21"/>
      <c r="X2137" s="21"/>
    </row>
    <row r="2138" spans="1:24" ht="15.75" thickBot="1" x14ac:dyDescent="0.3">
      <c r="A2138" t="str">
        <f t="shared" si="33"/>
        <v>PCS21513D20</v>
      </c>
      <c r="B2138" s="22" t="s">
        <v>8135</v>
      </c>
      <c r="C2138" s="22" t="s">
        <v>8136</v>
      </c>
      <c r="D2138" s="22" t="s">
        <v>8137</v>
      </c>
      <c r="E2138" s="22" t="s">
        <v>8138</v>
      </c>
      <c r="F2138" s="22" t="s">
        <v>8139</v>
      </c>
      <c r="G2138" s="28" t="s">
        <v>2012</v>
      </c>
      <c r="H2138" s="22" t="s">
        <v>3329</v>
      </c>
      <c r="I2138" s="22" t="s">
        <v>3330</v>
      </c>
      <c r="J2138" s="22" t="s">
        <v>494</v>
      </c>
      <c r="K2138" s="22" t="s">
        <v>924</v>
      </c>
      <c r="L2138" s="22" t="s">
        <v>3325</v>
      </c>
      <c r="M2138" s="22" t="s">
        <v>2130</v>
      </c>
      <c r="N2138" s="28" t="s">
        <v>2494</v>
      </c>
      <c r="O2138" s="28" t="s">
        <v>2016</v>
      </c>
      <c r="P2138" s="29">
        <v>0</v>
      </c>
      <c r="Q2138" s="28" t="s">
        <v>2017</v>
      </c>
      <c r="R2138" s="21"/>
      <c r="S2138" s="21"/>
      <c r="T2138" s="21"/>
      <c r="U2138" s="21"/>
      <c r="V2138" s="21"/>
      <c r="W2138" s="21"/>
      <c r="X2138" s="21"/>
    </row>
    <row r="2139" spans="1:24" ht="15.75" thickBot="1" x14ac:dyDescent="0.3">
      <c r="A2139" t="str">
        <f t="shared" si="33"/>
        <v>PCS21513D21</v>
      </c>
      <c r="B2139" s="22" t="s">
        <v>8140</v>
      </c>
      <c r="C2139" s="22" t="s">
        <v>8141</v>
      </c>
      <c r="D2139" s="22" t="s">
        <v>8137</v>
      </c>
      <c r="E2139" s="22" t="s">
        <v>8142</v>
      </c>
      <c r="F2139" s="22" t="s">
        <v>8143</v>
      </c>
      <c r="G2139" s="28" t="s">
        <v>2012</v>
      </c>
      <c r="H2139" s="22" t="s">
        <v>3329</v>
      </c>
      <c r="I2139" s="22" t="s">
        <v>3330</v>
      </c>
      <c r="J2139" s="22" t="s">
        <v>494</v>
      </c>
      <c r="K2139" s="22" t="s">
        <v>924</v>
      </c>
      <c r="L2139" s="22" t="s">
        <v>3325</v>
      </c>
      <c r="M2139" s="22" t="s">
        <v>2130</v>
      </c>
      <c r="N2139" s="28" t="s">
        <v>2494</v>
      </c>
      <c r="O2139" s="28" t="s">
        <v>2016</v>
      </c>
      <c r="P2139" s="29">
        <v>59</v>
      </c>
      <c r="Q2139" s="28" t="s">
        <v>2017</v>
      </c>
      <c r="R2139" s="21"/>
      <c r="S2139" s="21"/>
      <c r="T2139" s="21"/>
      <c r="U2139" s="21"/>
      <c r="V2139" s="21"/>
      <c r="W2139" s="21"/>
      <c r="X2139" s="21"/>
    </row>
    <row r="2140" spans="1:24" ht="15.75" thickBot="1" x14ac:dyDescent="0.3">
      <c r="A2140" t="str">
        <f t="shared" si="33"/>
        <v>PCS26111A44AB</v>
      </c>
      <c r="B2140" s="22" t="s">
        <v>8144</v>
      </c>
      <c r="C2140" s="21"/>
      <c r="D2140" s="22" t="s">
        <v>8145</v>
      </c>
      <c r="E2140" s="22" t="s">
        <v>3623</v>
      </c>
      <c r="F2140" s="22" t="s">
        <v>2030</v>
      </c>
      <c r="G2140" s="28" t="s">
        <v>2012</v>
      </c>
      <c r="H2140" s="22" t="s">
        <v>3624</v>
      </c>
      <c r="I2140" s="22" t="s">
        <v>3625</v>
      </c>
      <c r="J2140" s="22" t="s">
        <v>494</v>
      </c>
      <c r="K2140" s="22" t="s">
        <v>924</v>
      </c>
      <c r="L2140" s="22" t="s">
        <v>2501</v>
      </c>
      <c r="M2140" s="22" t="s">
        <v>2130</v>
      </c>
      <c r="N2140" s="28" t="s">
        <v>2494</v>
      </c>
      <c r="O2140" s="28" t="s">
        <v>2016</v>
      </c>
      <c r="P2140" s="29">
        <v>525</v>
      </c>
      <c r="Q2140" s="28" t="s">
        <v>2017</v>
      </c>
      <c r="R2140" s="21"/>
      <c r="S2140" s="21"/>
      <c r="T2140" s="21"/>
      <c r="U2140" s="21"/>
      <c r="V2140" s="21"/>
      <c r="W2140" s="21"/>
      <c r="X2140" s="21"/>
    </row>
    <row r="2141" spans="1:24" ht="15.75" thickBot="1" x14ac:dyDescent="0.3">
      <c r="A2141" t="str">
        <f t="shared" si="33"/>
        <v>PCS2628502AA</v>
      </c>
      <c r="B2141" s="22" t="s">
        <v>8146</v>
      </c>
      <c r="C2141" s="21"/>
      <c r="D2141" s="22" t="s">
        <v>8147</v>
      </c>
      <c r="E2141" s="21"/>
      <c r="F2141" s="22" t="s">
        <v>2030</v>
      </c>
      <c r="G2141" s="28" t="s">
        <v>2012</v>
      </c>
      <c r="H2141" s="22" t="s">
        <v>3334</v>
      </c>
      <c r="I2141" s="22" t="s">
        <v>3335</v>
      </c>
      <c r="J2141" s="22" t="s">
        <v>494</v>
      </c>
      <c r="K2141" s="22" t="s">
        <v>924</v>
      </c>
      <c r="L2141" s="22" t="s">
        <v>3336</v>
      </c>
      <c r="M2141" s="22" t="s">
        <v>2130</v>
      </c>
      <c r="N2141" s="28" t="s">
        <v>2494</v>
      </c>
      <c r="O2141" s="28" t="s">
        <v>2016</v>
      </c>
      <c r="P2141" s="29">
        <v>370</v>
      </c>
      <c r="Q2141" s="28" t="s">
        <v>2017</v>
      </c>
      <c r="R2141" s="21"/>
      <c r="S2141" s="21"/>
      <c r="T2141" s="21"/>
      <c r="U2141" s="21"/>
      <c r="V2141" s="21"/>
      <c r="W2141" s="21"/>
      <c r="X2141" s="21"/>
    </row>
    <row r="2142" spans="1:24" ht="15.75" thickBot="1" x14ac:dyDescent="0.3">
      <c r="A2142" t="str">
        <f t="shared" si="33"/>
        <v>PCS2628503AA</v>
      </c>
      <c r="B2142" s="22" t="s">
        <v>8148</v>
      </c>
      <c r="C2142" s="21"/>
      <c r="D2142" s="22" t="s">
        <v>8149</v>
      </c>
      <c r="E2142" s="21"/>
      <c r="F2142" s="22" t="s">
        <v>2030</v>
      </c>
      <c r="G2142" s="28" t="s">
        <v>2012</v>
      </c>
      <c r="H2142" s="22" t="s">
        <v>3334</v>
      </c>
      <c r="I2142" s="22" t="s">
        <v>3335</v>
      </c>
      <c r="J2142" s="22" t="s">
        <v>494</v>
      </c>
      <c r="K2142" s="22" t="s">
        <v>924</v>
      </c>
      <c r="L2142" s="22" t="s">
        <v>3336</v>
      </c>
      <c r="M2142" s="22" t="s">
        <v>2130</v>
      </c>
      <c r="N2142" s="28" t="s">
        <v>2494</v>
      </c>
      <c r="O2142" s="28" t="s">
        <v>2016</v>
      </c>
      <c r="P2142" s="29">
        <v>480</v>
      </c>
      <c r="Q2142" s="28" t="s">
        <v>2017</v>
      </c>
      <c r="R2142" s="21"/>
      <c r="S2142" s="21"/>
      <c r="T2142" s="21"/>
      <c r="U2142" s="21"/>
      <c r="V2142" s="21"/>
      <c r="W2142" s="21"/>
      <c r="X2142" s="21"/>
    </row>
    <row r="2143" spans="1:24" ht="15.75" thickBot="1" x14ac:dyDescent="0.3">
      <c r="A2143" t="str">
        <f t="shared" si="33"/>
        <v>PCS466B00AA</v>
      </c>
      <c r="B2143" s="22" t="s">
        <v>8150</v>
      </c>
      <c r="C2143" s="21"/>
      <c r="D2143" s="22" t="s">
        <v>6894</v>
      </c>
      <c r="E2143" s="22" t="s">
        <v>4134</v>
      </c>
      <c r="F2143" s="22" t="s">
        <v>2030</v>
      </c>
      <c r="G2143" s="28" t="s">
        <v>2012</v>
      </c>
      <c r="H2143" s="22" t="s">
        <v>4135</v>
      </c>
      <c r="I2143" s="22" t="s">
        <v>4136</v>
      </c>
      <c r="J2143" s="22" t="s">
        <v>494</v>
      </c>
      <c r="K2143" s="22" t="s">
        <v>924</v>
      </c>
      <c r="L2143" s="22" t="s">
        <v>3628</v>
      </c>
      <c r="M2143" s="22" t="s">
        <v>2130</v>
      </c>
      <c r="N2143" s="28" t="s">
        <v>2494</v>
      </c>
      <c r="O2143" s="28" t="s">
        <v>2016</v>
      </c>
      <c r="P2143" s="29">
        <v>600</v>
      </c>
      <c r="Q2143" s="28" t="s">
        <v>2017</v>
      </c>
      <c r="R2143" s="21"/>
      <c r="S2143" s="21"/>
      <c r="T2143" s="21"/>
      <c r="U2143" s="21"/>
      <c r="V2143" s="21"/>
      <c r="W2143" s="21"/>
      <c r="X2143" s="21"/>
    </row>
    <row r="2144" spans="1:24" ht="15.75" thickBot="1" x14ac:dyDescent="0.3">
      <c r="A2144" t="str">
        <f t="shared" si="33"/>
        <v>PCS5804367AA</v>
      </c>
      <c r="B2144" s="22" t="s">
        <v>8151</v>
      </c>
      <c r="C2144" s="21"/>
      <c r="D2144" s="22" t="s">
        <v>3327</v>
      </c>
      <c r="E2144" s="21"/>
      <c r="F2144" s="22" t="s">
        <v>8152</v>
      </c>
      <c r="G2144" s="28" t="s">
        <v>2012</v>
      </c>
      <c r="H2144" s="22" t="s">
        <v>3329</v>
      </c>
      <c r="I2144" s="22" t="s">
        <v>3330</v>
      </c>
      <c r="J2144" s="22" t="s">
        <v>261</v>
      </c>
      <c r="K2144" s="22" t="s">
        <v>924</v>
      </c>
      <c r="L2144" s="22" t="s">
        <v>2501</v>
      </c>
      <c r="M2144" s="22" t="s">
        <v>2130</v>
      </c>
      <c r="N2144" s="28" t="s">
        <v>2494</v>
      </c>
      <c r="O2144" s="28" t="s">
        <v>2016</v>
      </c>
      <c r="P2144" s="29">
        <v>-48</v>
      </c>
      <c r="Q2144" s="28" t="s">
        <v>2017</v>
      </c>
      <c r="R2144" s="41">
        <v>-0.20153577726499999</v>
      </c>
      <c r="S2144" s="29">
        <v>15311</v>
      </c>
      <c r="T2144" s="32">
        <v>238.171111111111</v>
      </c>
      <c r="U2144" s="32">
        <v>0</v>
      </c>
      <c r="V2144" s="41">
        <v>0</v>
      </c>
      <c r="W2144" s="21"/>
      <c r="X2144" s="21"/>
    </row>
    <row r="2145" spans="1:24" ht="15.75" thickBot="1" x14ac:dyDescent="0.3">
      <c r="A2145" t="str">
        <f t="shared" si="33"/>
        <v>PCSA26480AB</v>
      </c>
      <c r="B2145" s="22" t="s">
        <v>8153</v>
      </c>
      <c r="C2145" s="21"/>
      <c r="D2145" s="22" t="s">
        <v>4869</v>
      </c>
      <c r="E2145" s="22" t="s">
        <v>3623</v>
      </c>
      <c r="F2145" s="22" t="s">
        <v>2030</v>
      </c>
      <c r="G2145" s="28" t="s">
        <v>2012</v>
      </c>
      <c r="H2145" s="22" t="s">
        <v>5137</v>
      </c>
      <c r="I2145" s="22" t="s">
        <v>4917</v>
      </c>
      <c r="J2145" s="22" t="s">
        <v>494</v>
      </c>
      <c r="K2145" s="22" t="s">
        <v>924</v>
      </c>
      <c r="L2145" s="22" t="s">
        <v>3628</v>
      </c>
      <c r="M2145" s="22" t="s">
        <v>2130</v>
      </c>
      <c r="N2145" s="28" t="s">
        <v>2494</v>
      </c>
      <c r="O2145" s="28" t="s">
        <v>2016</v>
      </c>
      <c r="P2145" s="29">
        <v>1200</v>
      </c>
      <c r="Q2145" s="28" t="s">
        <v>2017</v>
      </c>
      <c r="R2145" s="21"/>
      <c r="S2145" s="21"/>
      <c r="T2145" s="21"/>
      <c r="U2145" s="21"/>
      <c r="V2145" s="21"/>
      <c r="W2145" s="21"/>
      <c r="X2145" s="21"/>
    </row>
    <row r="2146" spans="1:24" ht="15.75" thickBot="1" x14ac:dyDescent="0.3">
      <c r="A2146" t="str">
        <f t="shared" si="33"/>
        <v>PCSA62570AA</v>
      </c>
      <c r="B2146" s="22" t="s">
        <v>8154</v>
      </c>
      <c r="C2146" s="21"/>
      <c r="D2146" s="22" t="s">
        <v>8155</v>
      </c>
      <c r="E2146" s="22" t="s">
        <v>3623</v>
      </c>
      <c r="F2146" s="22" t="s">
        <v>2030</v>
      </c>
      <c r="G2146" s="28" t="s">
        <v>2012</v>
      </c>
      <c r="H2146" s="22" t="s">
        <v>3624</v>
      </c>
      <c r="I2146" s="22" t="s">
        <v>3625</v>
      </c>
      <c r="J2146" s="22" t="s">
        <v>494</v>
      </c>
      <c r="K2146" s="22" t="s">
        <v>924</v>
      </c>
      <c r="L2146" s="22" t="s">
        <v>2501</v>
      </c>
      <c r="M2146" s="22" t="s">
        <v>2130</v>
      </c>
      <c r="N2146" s="28" t="s">
        <v>2494</v>
      </c>
      <c r="O2146" s="28" t="s">
        <v>2016</v>
      </c>
      <c r="P2146" s="29">
        <v>500</v>
      </c>
      <c r="Q2146" s="28" t="s">
        <v>2017</v>
      </c>
      <c r="R2146" s="21"/>
      <c r="S2146" s="21"/>
      <c r="T2146" s="21"/>
      <c r="U2146" s="21"/>
      <c r="V2146" s="21"/>
      <c r="W2146" s="21"/>
      <c r="X2146" s="21"/>
    </row>
    <row r="2147" spans="1:24" ht="15.75" thickBot="1" x14ac:dyDescent="0.3">
      <c r="A2147" t="str">
        <f t="shared" si="33"/>
        <v>PCSE10610APIA01</v>
      </c>
      <c r="B2147" s="22" t="s">
        <v>8156</v>
      </c>
      <c r="C2147" s="21"/>
      <c r="D2147" s="22" t="s">
        <v>8157</v>
      </c>
      <c r="E2147" s="21"/>
      <c r="F2147" s="22" t="s">
        <v>2030</v>
      </c>
      <c r="G2147" s="28" t="s">
        <v>2012</v>
      </c>
      <c r="H2147" s="22" t="s">
        <v>3721</v>
      </c>
      <c r="I2147" s="22" t="s">
        <v>3722</v>
      </c>
      <c r="J2147" s="22" t="s">
        <v>261</v>
      </c>
      <c r="K2147" s="22" t="s">
        <v>924</v>
      </c>
      <c r="L2147" s="22" t="s">
        <v>5270</v>
      </c>
      <c r="M2147" s="22" t="s">
        <v>2130</v>
      </c>
      <c r="N2147" s="28" t="s">
        <v>2494</v>
      </c>
      <c r="O2147" s="28" t="s">
        <v>2016</v>
      </c>
      <c r="P2147" s="29">
        <v>0</v>
      </c>
      <c r="Q2147" s="28" t="s">
        <v>2017</v>
      </c>
      <c r="R2147" s="21"/>
      <c r="S2147" s="21"/>
      <c r="T2147" s="21"/>
      <c r="U2147" s="21"/>
      <c r="V2147" s="21"/>
      <c r="W2147" s="21"/>
      <c r="X2147" s="21"/>
    </row>
    <row r="2148" spans="1:24" ht="15.75" thickBot="1" x14ac:dyDescent="0.3">
      <c r="A2148" t="str">
        <f t="shared" si="33"/>
        <v>PCSW500212S437</v>
      </c>
      <c r="B2148" s="22" t="s">
        <v>8158</v>
      </c>
      <c r="C2148" s="21"/>
      <c r="D2148" s="22" t="s">
        <v>8159</v>
      </c>
      <c r="E2148" s="22" t="s">
        <v>4645</v>
      </c>
      <c r="F2148" s="22" t="s">
        <v>2030</v>
      </c>
      <c r="G2148" s="28" t="s">
        <v>2012</v>
      </c>
      <c r="H2148" s="22" t="s">
        <v>3351</v>
      </c>
      <c r="I2148" s="22" t="s">
        <v>3352</v>
      </c>
      <c r="J2148" s="22" t="s">
        <v>494</v>
      </c>
      <c r="K2148" s="22" t="s">
        <v>924</v>
      </c>
      <c r="L2148" s="22" t="s">
        <v>3914</v>
      </c>
      <c r="M2148" s="22" t="s">
        <v>2130</v>
      </c>
      <c r="N2148" s="28" t="s">
        <v>2494</v>
      </c>
      <c r="O2148" s="28" t="s">
        <v>2016</v>
      </c>
      <c r="P2148" s="29">
        <v>6000</v>
      </c>
      <c r="Q2148" s="28" t="s">
        <v>2017</v>
      </c>
      <c r="R2148" s="21"/>
      <c r="S2148" s="21"/>
      <c r="T2148" s="21"/>
      <c r="U2148" s="21"/>
      <c r="V2148" s="21"/>
      <c r="W2148" s="21"/>
      <c r="X2148" s="21"/>
    </row>
    <row r="2149" spans="1:24" ht="15.75" thickBot="1" x14ac:dyDescent="0.3">
      <c r="A2149" t="str">
        <f t="shared" si="33"/>
        <v>PCSW703335S300</v>
      </c>
      <c r="B2149" s="22" t="s">
        <v>8160</v>
      </c>
      <c r="C2149" s="22" t="s">
        <v>8161</v>
      </c>
      <c r="D2149" s="22" t="s">
        <v>3349</v>
      </c>
      <c r="E2149" s="22" t="s">
        <v>3357</v>
      </c>
      <c r="F2149" s="22" t="s">
        <v>2030</v>
      </c>
      <c r="G2149" s="28" t="s">
        <v>2012</v>
      </c>
      <c r="H2149" s="22" t="s">
        <v>3351</v>
      </c>
      <c r="I2149" s="22" t="s">
        <v>3352</v>
      </c>
      <c r="J2149" s="22" t="s">
        <v>494</v>
      </c>
      <c r="K2149" s="22" t="s">
        <v>924</v>
      </c>
      <c r="L2149" s="22" t="s">
        <v>3353</v>
      </c>
      <c r="M2149" s="22" t="s">
        <v>2130</v>
      </c>
      <c r="N2149" s="28" t="s">
        <v>2494</v>
      </c>
      <c r="O2149" s="28" t="s">
        <v>2016</v>
      </c>
      <c r="P2149" s="29">
        <v>4050</v>
      </c>
      <c r="Q2149" s="28" t="s">
        <v>2017</v>
      </c>
      <c r="R2149" s="21"/>
      <c r="S2149" s="21"/>
      <c r="T2149" s="21"/>
      <c r="U2149" s="21"/>
      <c r="V2149" s="21"/>
      <c r="W2149" s="21"/>
      <c r="X2149" s="21"/>
    </row>
    <row r="2150" spans="1:24" ht="15.75" thickBot="1" x14ac:dyDescent="0.3">
      <c r="A2150" t="str">
        <f t="shared" si="33"/>
        <v>PCSW703809S300</v>
      </c>
      <c r="B2150" s="22" t="s">
        <v>8162</v>
      </c>
      <c r="C2150" s="21"/>
      <c r="D2150" s="22" t="s">
        <v>2959</v>
      </c>
      <c r="E2150" s="22" t="s">
        <v>3357</v>
      </c>
      <c r="F2150" s="22" t="s">
        <v>2030</v>
      </c>
      <c r="G2150" s="28" t="s">
        <v>2012</v>
      </c>
      <c r="H2150" s="22" t="s">
        <v>3927</v>
      </c>
      <c r="I2150" s="22" t="s">
        <v>3928</v>
      </c>
      <c r="J2150" s="22" t="s">
        <v>494</v>
      </c>
      <c r="K2150" s="22" t="s">
        <v>924</v>
      </c>
      <c r="L2150" s="22" t="s">
        <v>2964</v>
      </c>
      <c r="M2150" s="22" t="s">
        <v>2130</v>
      </c>
      <c r="N2150" s="28" t="s">
        <v>2494</v>
      </c>
      <c r="O2150" s="28" t="s">
        <v>2016</v>
      </c>
      <c r="P2150" s="29">
        <v>1050</v>
      </c>
      <c r="Q2150" s="28" t="s">
        <v>2017</v>
      </c>
      <c r="R2150" s="21"/>
      <c r="S2150" s="21"/>
      <c r="T2150" s="21"/>
      <c r="U2150" s="21"/>
      <c r="V2150" s="21"/>
      <c r="W2150" s="21"/>
      <c r="X2150" s="21"/>
    </row>
    <row r="2151" spans="1:24" ht="15.75" thickBot="1" x14ac:dyDescent="0.3">
      <c r="A2151" t="str">
        <f t="shared" si="33"/>
        <v>PCSW705617S300</v>
      </c>
      <c r="B2151" s="22" t="s">
        <v>8163</v>
      </c>
      <c r="C2151" s="21"/>
      <c r="D2151" s="22" t="s">
        <v>8164</v>
      </c>
      <c r="E2151" s="22" t="s">
        <v>8165</v>
      </c>
      <c r="F2151" s="22" t="s">
        <v>2030</v>
      </c>
      <c r="G2151" s="28" t="s">
        <v>2012</v>
      </c>
      <c r="H2151" s="22" t="s">
        <v>8166</v>
      </c>
      <c r="I2151" s="22" t="s">
        <v>8167</v>
      </c>
      <c r="J2151" s="22" t="s">
        <v>494</v>
      </c>
      <c r="K2151" s="22" t="s">
        <v>924</v>
      </c>
      <c r="L2151" s="22" t="s">
        <v>8168</v>
      </c>
      <c r="M2151" s="22" t="s">
        <v>2130</v>
      </c>
      <c r="N2151" s="28" t="s">
        <v>2494</v>
      </c>
      <c r="O2151" s="28" t="s">
        <v>2016</v>
      </c>
      <c r="P2151" s="29">
        <v>0</v>
      </c>
      <c r="Q2151" s="28" t="s">
        <v>2017</v>
      </c>
      <c r="R2151" s="21"/>
      <c r="S2151" s="21"/>
      <c r="T2151" s="21"/>
      <c r="U2151" s="21"/>
      <c r="V2151" s="21"/>
      <c r="W2151" s="21"/>
      <c r="X2151" s="21"/>
    </row>
    <row r="2152" spans="1:24" ht="15.75" thickBot="1" x14ac:dyDescent="0.3">
      <c r="A2152" t="str">
        <f t="shared" si="33"/>
        <v>PCSW710910S300</v>
      </c>
      <c r="B2152" s="22" t="s">
        <v>8169</v>
      </c>
      <c r="C2152" s="21"/>
      <c r="D2152" s="22" t="s">
        <v>3349</v>
      </c>
      <c r="E2152" s="22" t="s">
        <v>3357</v>
      </c>
      <c r="F2152" s="22" t="s">
        <v>2030</v>
      </c>
      <c r="G2152" s="28" t="s">
        <v>2012</v>
      </c>
      <c r="H2152" s="22" t="s">
        <v>3351</v>
      </c>
      <c r="I2152" s="22" t="s">
        <v>3352</v>
      </c>
      <c r="J2152" s="22" t="s">
        <v>494</v>
      </c>
      <c r="K2152" s="22" t="s">
        <v>924</v>
      </c>
      <c r="L2152" s="22" t="s">
        <v>3353</v>
      </c>
      <c r="M2152" s="22" t="s">
        <v>2130</v>
      </c>
      <c r="N2152" s="28" t="s">
        <v>2494</v>
      </c>
      <c r="O2152" s="28" t="s">
        <v>2016</v>
      </c>
      <c r="P2152" s="29">
        <v>68150</v>
      </c>
      <c r="Q2152" s="28" t="s">
        <v>2017</v>
      </c>
      <c r="R2152" s="21"/>
      <c r="S2152" s="21"/>
      <c r="T2152" s="21"/>
      <c r="U2152" s="21"/>
      <c r="V2152" s="21"/>
      <c r="W2152" s="21"/>
      <c r="X2152" s="21"/>
    </row>
    <row r="2153" spans="1:24" ht="15.75" thickBot="1" x14ac:dyDescent="0.3">
      <c r="A2153" t="str">
        <f t="shared" si="33"/>
        <v>PCSW713648S300</v>
      </c>
      <c r="B2153" s="22" t="s">
        <v>8170</v>
      </c>
      <c r="C2153" s="21"/>
      <c r="D2153" s="22" t="s">
        <v>3349</v>
      </c>
      <c r="E2153" s="22" t="s">
        <v>3357</v>
      </c>
      <c r="F2153" s="22" t="s">
        <v>2030</v>
      </c>
      <c r="G2153" s="28" t="s">
        <v>2012</v>
      </c>
      <c r="H2153" s="22" t="s">
        <v>3351</v>
      </c>
      <c r="I2153" s="22" t="s">
        <v>3352</v>
      </c>
      <c r="J2153" s="22" t="s">
        <v>494</v>
      </c>
      <c r="K2153" s="22" t="s">
        <v>924</v>
      </c>
      <c r="L2153" s="22" t="s">
        <v>3353</v>
      </c>
      <c r="M2153" s="22" t="s">
        <v>2130</v>
      </c>
      <c r="N2153" s="28" t="s">
        <v>2494</v>
      </c>
      <c r="O2153" s="28" t="s">
        <v>2016</v>
      </c>
      <c r="P2153" s="29">
        <v>5000</v>
      </c>
      <c r="Q2153" s="28" t="s">
        <v>2017</v>
      </c>
      <c r="R2153" s="21"/>
      <c r="S2153" s="21"/>
      <c r="T2153" s="21"/>
      <c r="U2153" s="21"/>
      <c r="V2153" s="21"/>
      <c r="W2153" s="21"/>
      <c r="X2153" s="21"/>
    </row>
    <row r="2154" spans="1:24" ht="15.75" thickBot="1" x14ac:dyDescent="0.3">
      <c r="A2154" t="str">
        <f t="shared" si="33"/>
        <v>PCSW715813S300</v>
      </c>
      <c r="B2154" s="22" t="s">
        <v>8171</v>
      </c>
      <c r="C2154" s="21"/>
      <c r="D2154" s="22" t="s">
        <v>3712</v>
      </c>
      <c r="E2154" s="22" t="s">
        <v>3619</v>
      </c>
      <c r="F2154" s="22" t="s">
        <v>2030</v>
      </c>
      <c r="G2154" s="28" t="s">
        <v>2012</v>
      </c>
      <c r="H2154" s="22" t="s">
        <v>3351</v>
      </c>
      <c r="I2154" s="22" t="s">
        <v>3352</v>
      </c>
      <c r="J2154" s="22" t="s">
        <v>494</v>
      </c>
      <c r="K2154" s="22" t="s">
        <v>924</v>
      </c>
      <c r="L2154" s="22" t="s">
        <v>4126</v>
      </c>
      <c r="M2154" s="22" t="s">
        <v>2130</v>
      </c>
      <c r="N2154" s="28" t="s">
        <v>2494</v>
      </c>
      <c r="O2154" s="28" t="s">
        <v>2016</v>
      </c>
      <c r="P2154" s="29">
        <v>19600</v>
      </c>
      <c r="Q2154" s="28" t="s">
        <v>2017</v>
      </c>
      <c r="R2154" s="21"/>
      <c r="S2154" s="21"/>
      <c r="T2154" s="21"/>
      <c r="U2154" s="21"/>
      <c r="V2154" s="21"/>
      <c r="W2154" s="21"/>
      <c r="X2154" s="21"/>
    </row>
    <row r="2155" spans="1:24" ht="15.75" thickBot="1" x14ac:dyDescent="0.3">
      <c r="A2155" t="str">
        <f t="shared" si="33"/>
        <v>PCSW715958S300</v>
      </c>
      <c r="B2155" s="22" t="s">
        <v>8172</v>
      </c>
      <c r="C2155" s="21"/>
      <c r="D2155" s="22" t="s">
        <v>3356</v>
      </c>
      <c r="E2155" s="22" t="s">
        <v>4363</v>
      </c>
      <c r="F2155" s="22" t="s">
        <v>8085</v>
      </c>
      <c r="G2155" s="28" t="s">
        <v>2012</v>
      </c>
      <c r="H2155" s="22" t="s">
        <v>3351</v>
      </c>
      <c r="I2155" s="22" t="s">
        <v>3352</v>
      </c>
      <c r="J2155" s="22" t="s">
        <v>494</v>
      </c>
      <c r="K2155" s="22" t="s">
        <v>924</v>
      </c>
      <c r="L2155" s="22" t="s">
        <v>3914</v>
      </c>
      <c r="M2155" s="22" t="s">
        <v>2130</v>
      </c>
      <c r="N2155" s="28" t="s">
        <v>2494</v>
      </c>
      <c r="O2155" s="28" t="s">
        <v>2016</v>
      </c>
      <c r="P2155" s="29">
        <v>1800</v>
      </c>
      <c r="Q2155" s="28" t="s">
        <v>2017</v>
      </c>
      <c r="R2155" s="21"/>
      <c r="S2155" s="21"/>
      <c r="T2155" s="21"/>
      <c r="U2155" s="21"/>
      <c r="V2155" s="21"/>
      <c r="W2155" s="21"/>
      <c r="X2155" s="21"/>
    </row>
    <row r="2156" spans="1:24" ht="15.75" thickBot="1" x14ac:dyDescent="0.3">
      <c r="A2156" t="str">
        <f t="shared" si="33"/>
        <v>PCSW723223-S300</v>
      </c>
      <c r="B2156" s="22" t="s">
        <v>8173</v>
      </c>
      <c r="C2156" s="22" t="s">
        <v>8174</v>
      </c>
      <c r="D2156" s="22" t="s">
        <v>3349</v>
      </c>
      <c r="E2156" s="22" t="s">
        <v>3357</v>
      </c>
      <c r="F2156" s="22" t="s">
        <v>8175</v>
      </c>
      <c r="G2156" s="28" t="s">
        <v>5499</v>
      </c>
      <c r="H2156" s="22" t="s">
        <v>2962</v>
      </c>
      <c r="I2156" s="22" t="s">
        <v>2963</v>
      </c>
      <c r="J2156" s="22" t="s">
        <v>8176</v>
      </c>
      <c r="K2156" s="22" t="s">
        <v>924</v>
      </c>
      <c r="L2156" s="22" t="s">
        <v>2964</v>
      </c>
      <c r="M2156" s="22" t="s">
        <v>2130</v>
      </c>
      <c r="N2156" s="28" t="s">
        <v>2494</v>
      </c>
      <c r="O2156" s="28" t="s">
        <v>2016</v>
      </c>
      <c r="P2156" s="29">
        <v>1800</v>
      </c>
      <c r="Q2156" s="28" t="s">
        <v>2017</v>
      </c>
      <c r="R2156" s="21"/>
      <c r="S2156" s="21"/>
      <c r="T2156" s="21"/>
      <c r="U2156" s="21"/>
      <c r="V2156" s="21"/>
      <c r="W2156" s="21"/>
      <c r="X2156" s="21"/>
    </row>
    <row r="2157" spans="1:24" ht="15.75" thickBot="1" x14ac:dyDescent="0.3">
      <c r="A2157" t="str">
        <f t="shared" si="33"/>
        <v>PCT857756090G00L</v>
      </c>
      <c r="B2157" s="22" t="s">
        <v>8177</v>
      </c>
      <c r="C2157" s="22" t="s">
        <v>8178</v>
      </c>
      <c r="D2157" s="22" t="s">
        <v>8179</v>
      </c>
      <c r="E2157" s="21"/>
      <c r="F2157" s="22" t="s">
        <v>2030</v>
      </c>
      <c r="G2157" s="28" t="s">
        <v>2012</v>
      </c>
      <c r="H2157" s="22" t="s">
        <v>8180</v>
      </c>
      <c r="I2157" s="21"/>
      <c r="J2157" s="22" t="s">
        <v>404</v>
      </c>
      <c r="K2157" s="22" t="s">
        <v>924</v>
      </c>
      <c r="L2157" s="21"/>
      <c r="M2157" s="22" t="s">
        <v>2014</v>
      </c>
      <c r="N2157" s="28" t="s">
        <v>2015</v>
      </c>
      <c r="O2157" s="28" t="s">
        <v>2016</v>
      </c>
      <c r="P2157" s="29">
        <v>6</v>
      </c>
      <c r="Q2157" s="28" t="s">
        <v>2017</v>
      </c>
      <c r="R2157" s="21"/>
      <c r="S2157" s="21"/>
      <c r="T2157" s="21"/>
      <c r="U2157" s="21"/>
      <c r="V2157" s="21"/>
      <c r="W2157" s="21"/>
      <c r="X2157" s="21"/>
    </row>
    <row r="2158" spans="1:24" ht="15.75" thickBot="1" x14ac:dyDescent="0.3">
      <c r="A2158" t="str">
        <f t="shared" si="33"/>
        <v>PCT857756100G00R</v>
      </c>
      <c r="B2158" s="22" t="s">
        <v>8181</v>
      </c>
      <c r="C2158" s="22" t="s">
        <v>8182</v>
      </c>
      <c r="D2158" s="22" t="s">
        <v>8183</v>
      </c>
      <c r="E2158" s="21"/>
      <c r="F2158" s="22" t="s">
        <v>2030</v>
      </c>
      <c r="G2158" s="28" t="s">
        <v>2012</v>
      </c>
      <c r="H2158" s="22" t="s">
        <v>8180</v>
      </c>
      <c r="I2158" s="21"/>
      <c r="J2158" s="22" t="s">
        <v>404</v>
      </c>
      <c r="K2158" s="22" t="s">
        <v>924</v>
      </c>
      <c r="L2158" s="21"/>
      <c r="M2158" s="22" t="s">
        <v>2014</v>
      </c>
      <c r="N2158" s="28" t="s">
        <v>2015</v>
      </c>
      <c r="O2158" s="28" t="s">
        <v>2016</v>
      </c>
      <c r="P2158" s="29">
        <v>61</v>
      </c>
      <c r="Q2158" s="28" t="s">
        <v>2017</v>
      </c>
      <c r="R2158" s="21"/>
      <c r="S2158" s="21"/>
      <c r="T2158" s="21"/>
      <c r="U2158" s="21"/>
      <c r="V2158" s="21"/>
      <c r="W2158" s="21"/>
      <c r="X2158" s="21"/>
    </row>
    <row r="2159" spans="1:24" ht="15.75" thickBot="1" x14ac:dyDescent="0.3">
      <c r="A2159" t="str">
        <f t="shared" si="33"/>
        <v>PROTOTYPE - GM</v>
      </c>
      <c r="B2159" s="22" t="s">
        <v>8184</v>
      </c>
      <c r="C2159" s="21"/>
      <c r="D2159" s="22" t="s">
        <v>8185</v>
      </c>
      <c r="E2159" s="21"/>
      <c r="F2159" s="22" t="s">
        <v>2030</v>
      </c>
      <c r="G2159" s="28" t="s">
        <v>2012</v>
      </c>
      <c r="H2159" s="22" t="s">
        <v>4279</v>
      </c>
      <c r="I2159" s="21"/>
      <c r="J2159" s="22" t="s">
        <v>404</v>
      </c>
      <c r="K2159" s="22" t="s">
        <v>262</v>
      </c>
      <c r="L2159" s="21"/>
      <c r="M2159" s="22" t="s">
        <v>8186</v>
      </c>
      <c r="N2159" s="28" t="s">
        <v>2015</v>
      </c>
      <c r="O2159" s="28" t="s">
        <v>2016</v>
      </c>
      <c r="P2159" s="29">
        <v>0</v>
      </c>
      <c r="Q2159" s="28" t="s">
        <v>2017</v>
      </c>
      <c r="R2159" s="21"/>
      <c r="S2159" s="21"/>
      <c r="T2159" s="21"/>
      <c r="U2159" s="21"/>
      <c r="V2159" s="21"/>
      <c r="W2159" s="21"/>
      <c r="X2159" s="21"/>
    </row>
    <row r="2160" spans="1:24" ht="15.75" thickBot="1" x14ac:dyDescent="0.3">
      <c r="A2160" t="str">
        <f t="shared" si="33"/>
        <v>PURS27944 A</v>
      </c>
      <c r="B2160" s="22" t="s">
        <v>8187</v>
      </c>
      <c r="C2160" s="22" t="s">
        <v>8188</v>
      </c>
      <c r="D2160" s="22" t="s">
        <v>8189</v>
      </c>
      <c r="E2160" s="22" t="s">
        <v>8190</v>
      </c>
      <c r="F2160" s="22" t="s">
        <v>8191</v>
      </c>
      <c r="G2160" s="28" t="s">
        <v>2012</v>
      </c>
      <c r="H2160" s="22" t="s">
        <v>3367</v>
      </c>
      <c r="I2160" s="21"/>
      <c r="J2160" s="22" t="s">
        <v>364</v>
      </c>
      <c r="K2160" s="22" t="s">
        <v>924</v>
      </c>
      <c r="L2160" s="21"/>
      <c r="M2160" s="22" t="s">
        <v>2014</v>
      </c>
      <c r="N2160" s="28" t="s">
        <v>2015</v>
      </c>
      <c r="O2160" s="28" t="s">
        <v>2016</v>
      </c>
      <c r="P2160" s="29">
        <v>86</v>
      </c>
      <c r="Q2160" s="28" t="s">
        <v>2017</v>
      </c>
      <c r="R2160" s="21"/>
      <c r="S2160" s="21"/>
      <c r="T2160" s="21"/>
      <c r="U2160" s="21"/>
      <c r="V2160" s="21"/>
      <c r="W2160" s="21"/>
      <c r="X2160" s="21"/>
    </row>
    <row r="2161" spans="1:24" ht="15.75" thickBot="1" x14ac:dyDescent="0.3">
      <c r="A2161" t="str">
        <f t="shared" si="33"/>
        <v>PURS27945 A</v>
      </c>
      <c r="B2161" s="22" t="s">
        <v>8192</v>
      </c>
      <c r="C2161" s="22" t="s">
        <v>8193</v>
      </c>
      <c r="D2161" s="22" t="s">
        <v>8194</v>
      </c>
      <c r="E2161" s="22" t="s">
        <v>8195</v>
      </c>
      <c r="F2161" s="22" t="s">
        <v>8196</v>
      </c>
      <c r="G2161" s="28" t="s">
        <v>2012</v>
      </c>
      <c r="H2161" s="22" t="s">
        <v>3367</v>
      </c>
      <c r="I2161" s="21"/>
      <c r="J2161" s="22" t="s">
        <v>364</v>
      </c>
      <c r="K2161" s="22" t="s">
        <v>924</v>
      </c>
      <c r="L2161" s="21"/>
      <c r="M2161" s="22" t="s">
        <v>2014</v>
      </c>
      <c r="N2161" s="28" t="s">
        <v>2015</v>
      </c>
      <c r="O2161" s="28" t="s">
        <v>2016</v>
      </c>
      <c r="P2161" s="29">
        <v>0</v>
      </c>
      <c r="Q2161" s="28" t="s">
        <v>2017</v>
      </c>
      <c r="R2161" s="21"/>
      <c r="S2161" s="21"/>
      <c r="T2161" s="21"/>
      <c r="U2161" s="21"/>
      <c r="V2161" s="21"/>
      <c r="W2161" s="21"/>
      <c r="X2161" s="21"/>
    </row>
    <row r="2162" spans="1:24" ht="15.75" thickBot="1" x14ac:dyDescent="0.3">
      <c r="A2162" t="str">
        <f t="shared" si="33"/>
        <v>R68371878-9AA</v>
      </c>
      <c r="B2162" s="22" t="s">
        <v>1339</v>
      </c>
      <c r="C2162" s="22" t="s">
        <v>8197</v>
      </c>
      <c r="D2162" s="22" t="s">
        <v>8198</v>
      </c>
      <c r="E2162" s="22" t="s">
        <v>8199</v>
      </c>
      <c r="F2162" s="22" t="s">
        <v>2030</v>
      </c>
      <c r="G2162" s="28" t="s">
        <v>2012</v>
      </c>
      <c r="H2162" s="22" t="s">
        <v>8200</v>
      </c>
      <c r="I2162" s="21"/>
      <c r="J2162" s="22" t="s">
        <v>394</v>
      </c>
      <c r="K2162" s="22" t="s">
        <v>924</v>
      </c>
      <c r="L2162" s="21"/>
      <c r="M2162" s="22" t="s">
        <v>2014</v>
      </c>
      <c r="N2162" s="28" t="s">
        <v>2015</v>
      </c>
      <c r="O2162" s="28" t="s">
        <v>2016</v>
      </c>
      <c r="P2162" s="29">
        <v>0</v>
      </c>
      <c r="Q2162" s="28" t="s">
        <v>2017</v>
      </c>
      <c r="R2162" s="41">
        <v>0</v>
      </c>
      <c r="S2162" s="29">
        <v>176368</v>
      </c>
      <c r="T2162" s="32">
        <v>2743.5022222222201</v>
      </c>
      <c r="U2162" s="32">
        <v>0</v>
      </c>
      <c r="V2162" s="41">
        <v>0</v>
      </c>
      <c r="W2162" s="21"/>
      <c r="X2162" s="21"/>
    </row>
    <row r="2163" spans="1:24" ht="15.75" thickBot="1" x14ac:dyDescent="0.3">
      <c r="A2163" t="str">
        <f t="shared" si="33"/>
        <v>REPACK17W997AB</v>
      </c>
      <c r="B2163" s="22" t="s">
        <v>8201</v>
      </c>
      <c r="C2163" s="21"/>
      <c r="D2163" s="22" t="s">
        <v>8202</v>
      </c>
      <c r="E2163" s="21"/>
      <c r="F2163" s="22" t="s">
        <v>8203</v>
      </c>
      <c r="G2163" s="28" t="s">
        <v>2012</v>
      </c>
      <c r="H2163" s="22" t="s">
        <v>2013</v>
      </c>
      <c r="I2163" s="21"/>
      <c r="J2163" s="22" t="s">
        <v>494</v>
      </c>
      <c r="K2163" s="22" t="s">
        <v>924</v>
      </c>
      <c r="L2163" s="21"/>
      <c r="M2163" s="22" t="s">
        <v>2034</v>
      </c>
      <c r="N2163" s="28" t="s">
        <v>2015</v>
      </c>
      <c r="O2163" s="28" t="s">
        <v>2016</v>
      </c>
      <c r="P2163" s="29">
        <v>0</v>
      </c>
      <c r="Q2163" s="28" t="s">
        <v>2017</v>
      </c>
      <c r="R2163" s="21"/>
      <c r="S2163" s="21"/>
      <c r="T2163" s="21"/>
      <c r="U2163" s="21"/>
      <c r="V2163" s="21"/>
      <c r="W2163" s="21"/>
      <c r="X2163" s="21"/>
    </row>
    <row r="2164" spans="1:24" ht="15.75" thickBot="1" x14ac:dyDescent="0.3">
      <c r="A2164" t="str">
        <f t="shared" si="33"/>
        <v>REPACK21020A98AA</v>
      </c>
      <c r="B2164" s="22" t="s">
        <v>8204</v>
      </c>
      <c r="C2164" s="22" t="s">
        <v>8205</v>
      </c>
      <c r="D2164" s="22" t="s">
        <v>8206</v>
      </c>
      <c r="E2164" s="22" t="s">
        <v>8207</v>
      </c>
      <c r="F2164" s="22" t="s">
        <v>8208</v>
      </c>
      <c r="G2164" s="28" t="s">
        <v>2012</v>
      </c>
      <c r="H2164" s="22" t="s">
        <v>2080</v>
      </c>
      <c r="I2164" s="21"/>
      <c r="J2164" s="22" t="s">
        <v>494</v>
      </c>
      <c r="K2164" s="22" t="s">
        <v>924</v>
      </c>
      <c r="L2164" s="21"/>
      <c r="M2164" s="22" t="s">
        <v>2034</v>
      </c>
      <c r="N2164" s="28" t="s">
        <v>2015</v>
      </c>
      <c r="O2164" s="28" t="s">
        <v>2016</v>
      </c>
      <c r="P2164" s="29">
        <v>196</v>
      </c>
      <c r="Q2164" s="28" t="s">
        <v>2017</v>
      </c>
      <c r="R2164" s="21"/>
      <c r="S2164" s="21"/>
      <c r="T2164" s="21"/>
      <c r="U2164" s="21"/>
      <c r="V2164" s="21"/>
      <c r="W2164" s="21"/>
      <c r="X2164" s="21"/>
    </row>
    <row r="2165" spans="1:24" ht="15.75" thickBot="1" x14ac:dyDescent="0.3">
      <c r="A2165" t="str">
        <f t="shared" si="33"/>
        <v>REPACK2102429AA</v>
      </c>
      <c r="B2165" s="22" t="s">
        <v>8209</v>
      </c>
      <c r="C2165" s="22" t="s">
        <v>6653</v>
      </c>
      <c r="D2165" s="22" t="s">
        <v>6654</v>
      </c>
      <c r="E2165" s="22" t="s">
        <v>8210</v>
      </c>
      <c r="F2165" s="22" t="s">
        <v>8211</v>
      </c>
      <c r="G2165" s="28" t="s">
        <v>2012</v>
      </c>
      <c r="H2165" s="22" t="s">
        <v>2080</v>
      </c>
      <c r="I2165" s="21"/>
      <c r="J2165" s="22" t="s">
        <v>494</v>
      </c>
      <c r="K2165" s="22" t="s">
        <v>924</v>
      </c>
      <c r="L2165" s="21"/>
      <c r="M2165" s="22" t="s">
        <v>2034</v>
      </c>
      <c r="N2165" s="28" t="s">
        <v>2015</v>
      </c>
      <c r="O2165" s="28" t="s">
        <v>2016</v>
      </c>
      <c r="P2165" s="29">
        <v>1321</v>
      </c>
      <c r="Q2165" s="28" t="s">
        <v>2017</v>
      </c>
      <c r="R2165" s="21"/>
      <c r="S2165" s="21"/>
      <c r="T2165" s="21"/>
      <c r="U2165" s="21"/>
      <c r="V2165" s="21"/>
      <c r="W2165" s="21"/>
      <c r="X2165" s="21"/>
    </row>
    <row r="2166" spans="1:24" ht="15.75" thickBot="1" x14ac:dyDescent="0.3">
      <c r="A2166" t="str">
        <f t="shared" si="33"/>
        <v>REPACK21277C02AA</v>
      </c>
      <c r="B2166" s="22" t="s">
        <v>8212</v>
      </c>
      <c r="C2166" s="22" t="s">
        <v>6815</v>
      </c>
      <c r="D2166" s="22" t="s">
        <v>6816</v>
      </c>
      <c r="E2166" s="22" t="s">
        <v>8213</v>
      </c>
      <c r="F2166" s="22" t="s">
        <v>8214</v>
      </c>
      <c r="G2166" s="28" t="s">
        <v>2012</v>
      </c>
      <c r="H2166" s="22" t="s">
        <v>2080</v>
      </c>
      <c r="I2166" s="21"/>
      <c r="J2166" s="22" t="s">
        <v>494</v>
      </c>
      <c r="K2166" s="22" t="s">
        <v>924</v>
      </c>
      <c r="L2166" s="21"/>
      <c r="M2166" s="22" t="s">
        <v>2034</v>
      </c>
      <c r="N2166" s="28" t="s">
        <v>2015</v>
      </c>
      <c r="O2166" s="28" t="s">
        <v>2016</v>
      </c>
      <c r="P2166" s="29">
        <v>1971</v>
      </c>
      <c r="Q2166" s="28" t="s">
        <v>2017</v>
      </c>
      <c r="R2166" s="21"/>
      <c r="S2166" s="21"/>
      <c r="T2166" s="21"/>
      <c r="U2166" s="21"/>
      <c r="V2166" s="21"/>
      <c r="W2166" s="21"/>
      <c r="X2166" s="21"/>
    </row>
    <row r="2167" spans="1:24" ht="15.75" thickBot="1" x14ac:dyDescent="0.3">
      <c r="A2167" t="str">
        <f t="shared" si="33"/>
        <v>REPACK2140338AA</v>
      </c>
      <c r="B2167" s="22" t="s">
        <v>8215</v>
      </c>
      <c r="C2167" s="22" t="s">
        <v>6860</v>
      </c>
      <c r="D2167" s="22" t="s">
        <v>5043</v>
      </c>
      <c r="E2167" s="22" t="s">
        <v>8216</v>
      </c>
      <c r="F2167" s="22" t="s">
        <v>8217</v>
      </c>
      <c r="G2167" s="28" t="s">
        <v>2012</v>
      </c>
      <c r="H2167" s="22" t="s">
        <v>2080</v>
      </c>
      <c r="I2167" s="21"/>
      <c r="J2167" s="22" t="s">
        <v>494</v>
      </c>
      <c r="K2167" s="22" t="s">
        <v>924</v>
      </c>
      <c r="L2167" s="21"/>
      <c r="M2167" s="22" t="s">
        <v>2034</v>
      </c>
      <c r="N2167" s="28" t="s">
        <v>2015</v>
      </c>
      <c r="O2167" s="28" t="s">
        <v>2016</v>
      </c>
      <c r="P2167" s="29">
        <v>6027</v>
      </c>
      <c r="Q2167" s="28" t="s">
        <v>2017</v>
      </c>
      <c r="R2167" s="21"/>
      <c r="S2167" s="21"/>
      <c r="T2167" s="21"/>
      <c r="U2167" s="21"/>
      <c r="V2167" s="21"/>
      <c r="W2167" s="21"/>
      <c r="X2167" s="21"/>
    </row>
    <row r="2168" spans="1:24" ht="15.75" thickBot="1" x14ac:dyDescent="0.3">
      <c r="A2168" t="str">
        <f t="shared" si="33"/>
        <v>REPACK21466B00AC</v>
      </c>
      <c r="B2168" s="22" t="s">
        <v>8218</v>
      </c>
      <c r="C2168" s="22" t="s">
        <v>8219</v>
      </c>
      <c r="D2168" s="22" t="s">
        <v>6894</v>
      </c>
      <c r="E2168" s="22" t="s">
        <v>8220</v>
      </c>
      <c r="F2168" s="22" t="s">
        <v>8221</v>
      </c>
      <c r="G2168" s="28" t="s">
        <v>2012</v>
      </c>
      <c r="H2168" s="22" t="s">
        <v>2080</v>
      </c>
      <c r="I2168" s="21"/>
      <c r="J2168" s="22" t="s">
        <v>494</v>
      </c>
      <c r="K2168" s="22" t="s">
        <v>924</v>
      </c>
      <c r="L2168" s="21"/>
      <c r="M2168" s="22" t="s">
        <v>2034</v>
      </c>
      <c r="N2168" s="28" t="s">
        <v>2015</v>
      </c>
      <c r="O2168" s="28" t="s">
        <v>2016</v>
      </c>
      <c r="P2168" s="29">
        <v>1373</v>
      </c>
      <c r="Q2168" s="28" t="s">
        <v>2017</v>
      </c>
      <c r="R2168" s="21"/>
      <c r="S2168" s="21"/>
      <c r="T2168" s="21"/>
      <c r="U2168" s="21"/>
      <c r="V2168" s="21"/>
      <c r="W2168" s="21"/>
      <c r="X2168" s="21"/>
    </row>
    <row r="2169" spans="1:24" ht="15.75" thickBot="1" x14ac:dyDescent="0.3">
      <c r="A2169" t="str">
        <f t="shared" si="33"/>
        <v>REPACK26454W66AA</v>
      </c>
      <c r="B2169" s="22" t="s">
        <v>1567</v>
      </c>
      <c r="C2169" s="22" t="s">
        <v>7068</v>
      </c>
      <c r="D2169" s="22" t="s">
        <v>5233</v>
      </c>
      <c r="E2169" s="22" t="s">
        <v>8222</v>
      </c>
      <c r="F2169" s="22" t="s">
        <v>8223</v>
      </c>
      <c r="G2169" s="28" t="s">
        <v>2012</v>
      </c>
      <c r="H2169" s="22" t="s">
        <v>2080</v>
      </c>
      <c r="I2169" s="21"/>
      <c r="J2169" s="22" t="s">
        <v>494</v>
      </c>
      <c r="K2169" s="22" t="s">
        <v>924</v>
      </c>
      <c r="L2169" s="21"/>
      <c r="M2169" s="22" t="s">
        <v>2034</v>
      </c>
      <c r="N2169" s="28" t="s">
        <v>2015</v>
      </c>
      <c r="O2169" s="28" t="s">
        <v>2016</v>
      </c>
      <c r="P2169" s="29">
        <v>16032</v>
      </c>
      <c r="Q2169" s="28" t="s">
        <v>2017</v>
      </c>
      <c r="R2169" s="21"/>
      <c r="S2169" s="21"/>
      <c r="T2169" s="21"/>
      <c r="U2169" s="21"/>
      <c r="V2169" s="21"/>
      <c r="W2169" s="21"/>
      <c r="X2169" s="21"/>
    </row>
    <row r="2170" spans="1:24" ht="15.75" thickBot="1" x14ac:dyDescent="0.3">
      <c r="A2170" t="str">
        <f t="shared" si="33"/>
        <v>REPACK2L624AA</v>
      </c>
      <c r="B2170" s="22" t="s">
        <v>8224</v>
      </c>
      <c r="C2170" s="22" t="s">
        <v>7080</v>
      </c>
      <c r="D2170" s="22" t="s">
        <v>7081</v>
      </c>
      <c r="E2170" s="22" t="s">
        <v>8225</v>
      </c>
      <c r="F2170" s="22" t="s">
        <v>8226</v>
      </c>
      <c r="G2170" s="28" t="s">
        <v>2012</v>
      </c>
      <c r="H2170" s="22" t="s">
        <v>2080</v>
      </c>
      <c r="I2170" s="21"/>
      <c r="J2170" s="22" t="s">
        <v>494</v>
      </c>
      <c r="K2170" s="22" t="s">
        <v>924</v>
      </c>
      <c r="L2170" s="21"/>
      <c r="M2170" s="22" t="s">
        <v>2034</v>
      </c>
      <c r="N2170" s="28" t="s">
        <v>2015</v>
      </c>
      <c r="O2170" s="28" t="s">
        <v>2016</v>
      </c>
      <c r="P2170" s="29">
        <v>140</v>
      </c>
      <c r="Q2170" s="28" t="s">
        <v>2017</v>
      </c>
      <c r="R2170" s="21"/>
      <c r="S2170" s="21"/>
      <c r="T2170" s="21"/>
      <c r="U2170" s="21"/>
      <c r="V2170" s="21"/>
      <c r="W2170" s="21"/>
      <c r="X2170" s="21"/>
    </row>
    <row r="2171" spans="1:24" ht="15.75" thickBot="1" x14ac:dyDescent="0.3">
      <c r="A2171" t="str">
        <f t="shared" si="33"/>
        <v>REPACK5R108AA</v>
      </c>
      <c r="B2171" s="22" t="s">
        <v>8227</v>
      </c>
      <c r="C2171" s="21"/>
      <c r="D2171" s="22" t="s">
        <v>8228</v>
      </c>
      <c r="E2171" s="21"/>
      <c r="F2171" s="22" t="s">
        <v>8229</v>
      </c>
      <c r="G2171" s="28" t="s">
        <v>2012</v>
      </c>
      <c r="H2171" s="22" t="s">
        <v>2751</v>
      </c>
      <c r="I2171" s="21"/>
      <c r="J2171" s="22" t="s">
        <v>494</v>
      </c>
      <c r="K2171" s="22" t="s">
        <v>924</v>
      </c>
      <c r="L2171" s="21"/>
      <c r="M2171" s="22" t="s">
        <v>2034</v>
      </c>
      <c r="N2171" s="28" t="s">
        <v>2015</v>
      </c>
      <c r="O2171" s="28" t="s">
        <v>2016</v>
      </c>
      <c r="P2171" s="29">
        <v>328</v>
      </c>
      <c r="Q2171" s="28" t="s">
        <v>2017</v>
      </c>
      <c r="R2171" s="21"/>
      <c r="S2171" s="21"/>
      <c r="T2171" s="21"/>
      <c r="U2171" s="21"/>
      <c r="V2171" s="21"/>
      <c r="W2171" s="21"/>
      <c r="X2171" s="21"/>
    </row>
    <row r="2172" spans="1:24" ht="15.75" thickBot="1" x14ac:dyDescent="0.3">
      <c r="A2172" t="str">
        <f t="shared" si="33"/>
        <v>REPACK6C038</v>
      </c>
      <c r="B2172" s="22" t="s">
        <v>8230</v>
      </c>
      <c r="C2172" s="22" t="s">
        <v>8231</v>
      </c>
      <c r="D2172" s="22" t="s">
        <v>7160</v>
      </c>
      <c r="E2172" s="21"/>
      <c r="F2172" s="22" t="s">
        <v>8232</v>
      </c>
      <c r="G2172" s="28" t="s">
        <v>2012</v>
      </c>
      <c r="H2172" s="22" t="s">
        <v>2055</v>
      </c>
      <c r="I2172" s="21"/>
      <c r="J2172" s="22" t="s">
        <v>364</v>
      </c>
      <c r="K2172" s="22" t="s">
        <v>924</v>
      </c>
      <c r="L2172" s="21"/>
      <c r="M2172" s="22" t="s">
        <v>2034</v>
      </c>
      <c r="N2172" s="28" t="s">
        <v>2015</v>
      </c>
      <c r="O2172" s="28" t="s">
        <v>2016</v>
      </c>
      <c r="P2172" s="29">
        <v>8400</v>
      </c>
      <c r="Q2172" s="28" t="s">
        <v>2017</v>
      </c>
      <c r="R2172" s="21"/>
      <c r="S2172" s="21"/>
      <c r="T2172" s="21"/>
      <c r="U2172" s="21"/>
      <c r="V2172" s="21"/>
      <c r="W2172" s="21"/>
      <c r="X2172" s="21"/>
    </row>
    <row r="2173" spans="1:24" ht="15.75" thickBot="1" x14ac:dyDescent="0.3">
      <c r="A2173" t="str">
        <f t="shared" si="33"/>
        <v>REPACK7P026</v>
      </c>
      <c r="B2173" s="22" t="s">
        <v>8233</v>
      </c>
      <c r="C2173" s="22" t="s">
        <v>3437</v>
      </c>
      <c r="D2173" s="22" t="s">
        <v>2274</v>
      </c>
      <c r="E2173" s="22" t="s">
        <v>8234</v>
      </c>
      <c r="F2173" s="22" t="s">
        <v>8235</v>
      </c>
      <c r="G2173" s="28" t="s">
        <v>2012</v>
      </c>
      <c r="H2173" s="22" t="s">
        <v>2013</v>
      </c>
      <c r="I2173" s="21"/>
      <c r="J2173" s="22" t="s">
        <v>364</v>
      </c>
      <c r="K2173" s="22" t="s">
        <v>262</v>
      </c>
      <c r="L2173" s="21"/>
      <c r="M2173" s="22" t="s">
        <v>2034</v>
      </c>
      <c r="N2173" s="28" t="s">
        <v>2015</v>
      </c>
      <c r="O2173" s="28" t="s">
        <v>2016</v>
      </c>
      <c r="P2173" s="29">
        <v>94</v>
      </c>
      <c r="Q2173" s="28" t="s">
        <v>2017</v>
      </c>
      <c r="R2173" s="41">
        <v>0.28306432185000002</v>
      </c>
      <c r="S2173" s="29">
        <v>21348</v>
      </c>
      <c r="T2173" s="32">
        <v>332.08</v>
      </c>
      <c r="U2173" s="32">
        <v>0</v>
      </c>
      <c r="V2173" s="41">
        <v>0.28306432185000002</v>
      </c>
      <c r="W2173" s="21"/>
      <c r="X2173" s="21"/>
    </row>
    <row r="2174" spans="1:24" ht="15.75" thickBot="1" x14ac:dyDescent="0.3">
      <c r="A2174" t="str">
        <f t="shared" si="33"/>
        <v>REPACK84117805</v>
      </c>
      <c r="B2174" s="22" t="s">
        <v>8236</v>
      </c>
      <c r="C2174" s="22" t="s">
        <v>8237</v>
      </c>
      <c r="D2174" s="22" t="s">
        <v>2029</v>
      </c>
      <c r="E2174" s="21"/>
      <c r="F2174" s="22" t="s">
        <v>2030</v>
      </c>
      <c r="G2174" s="28" t="s">
        <v>2012</v>
      </c>
      <c r="H2174" s="22" t="s">
        <v>2013</v>
      </c>
      <c r="I2174" s="21"/>
      <c r="J2174" s="22" t="s">
        <v>404</v>
      </c>
      <c r="K2174" s="22" t="s">
        <v>924</v>
      </c>
      <c r="L2174" s="21"/>
      <c r="M2174" s="22" t="s">
        <v>2034</v>
      </c>
      <c r="N2174" s="28" t="s">
        <v>2015</v>
      </c>
      <c r="O2174" s="28" t="s">
        <v>2016</v>
      </c>
      <c r="P2174" s="29">
        <v>0</v>
      </c>
      <c r="Q2174" s="28" t="s">
        <v>2017</v>
      </c>
      <c r="R2174" s="21"/>
      <c r="S2174" s="21"/>
      <c r="T2174" s="21"/>
      <c r="U2174" s="21"/>
      <c r="V2174" s="21"/>
      <c r="W2174" s="21"/>
      <c r="X2174" s="21"/>
    </row>
    <row r="2175" spans="1:24" ht="15.75" thickBot="1" x14ac:dyDescent="0.3">
      <c r="A2175" t="str">
        <f t="shared" si="33"/>
        <v>REPACKS444A18</v>
      </c>
      <c r="B2175" s="22" t="s">
        <v>8238</v>
      </c>
      <c r="C2175" s="22" t="s">
        <v>2031</v>
      </c>
      <c r="D2175" s="22" t="s">
        <v>2032</v>
      </c>
      <c r="E2175" s="22" t="s">
        <v>8234</v>
      </c>
      <c r="F2175" s="22" t="s">
        <v>8239</v>
      </c>
      <c r="G2175" s="28" t="s">
        <v>2012</v>
      </c>
      <c r="H2175" s="22" t="s">
        <v>2013</v>
      </c>
      <c r="I2175" s="21"/>
      <c r="J2175" s="22" t="s">
        <v>364</v>
      </c>
      <c r="K2175" s="22" t="s">
        <v>262</v>
      </c>
      <c r="L2175" s="21"/>
      <c r="M2175" s="22" t="s">
        <v>2034</v>
      </c>
      <c r="N2175" s="28" t="s">
        <v>2015</v>
      </c>
      <c r="O2175" s="28" t="s">
        <v>2016</v>
      </c>
      <c r="P2175" s="29">
        <v>-199</v>
      </c>
      <c r="Q2175" s="28" t="s">
        <v>2017</v>
      </c>
      <c r="R2175" s="41">
        <v>-0.28530011469299998</v>
      </c>
      <c r="S2175" s="29">
        <v>44840</v>
      </c>
      <c r="T2175" s="32">
        <v>697.51111111111095</v>
      </c>
      <c r="U2175" s="32">
        <v>0</v>
      </c>
      <c r="V2175" s="41">
        <v>0</v>
      </c>
      <c r="W2175" s="21"/>
      <c r="X2175" s="21"/>
    </row>
    <row r="2176" spans="1:24" ht="15.75" thickBot="1" x14ac:dyDescent="0.3">
      <c r="A2176" t="str">
        <f t="shared" si="33"/>
        <v>RMP7510 UV ZHEA</v>
      </c>
      <c r="B2176" s="22" t="s">
        <v>8240</v>
      </c>
      <c r="C2176" s="22" t="s">
        <v>8241</v>
      </c>
      <c r="D2176" s="22" t="s">
        <v>8242</v>
      </c>
      <c r="E2176" s="22" t="s">
        <v>3946</v>
      </c>
      <c r="F2176" s="22" t="s">
        <v>2030</v>
      </c>
      <c r="G2176" s="28" t="s">
        <v>2012</v>
      </c>
      <c r="H2176" s="22" t="s">
        <v>3118</v>
      </c>
      <c r="I2176" s="22" t="s">
        <v>3119</v>
      </c>
      <c r="J2176" s="22" t="s">
        <v>494</v>
      </c>
      <c r="K2176" s="22" t="s">
        <v>262</v>
      </c>
      <c r="L2176" s="22" t="s">
        <v>3380</v>
      </c>
      <c r="M2176" s="22" t="s">
        <v>2523</v>
      </c>
      <c r="N2176" s="28" t="s">
        <v>2494</v>
      </c>
      <c r="O2176" s="28" t="s">
        <v>2016</v>
      </c>
      <c r="P2176" s="29">
        <v>1470</v>
      </c>
      <c r="Q2176" s="28" t="s">
        <v>1164</v>
      </c>
      <c r="R2176" s="40">
        <v>3150000</v>
      </c>
      <c r="S2176" s="34">
        <v>0.03</v>
      </c>
      <c r="T2176" s="32">
        <v>4.6666666600000002E-4</v>
      </c>
      <c r="U2176" s="32">
        <v>0</v>
      </c>
      <c r="V2176" s="40">
        <v>3150000</v>
      </c>
      <c r="W2176" s="30"/>
      <c r="X2176" s="30"/>
    </row>
    <row r="2177" spans="1:24" ht="15.75" thickBot="1" x14ac:dyDescent="0.3">
      <c r="A2177" t="str">
        <f t="shared" si="33"/>
        <v>RMPA6221 CUV YZ9A</v>
      </c>
      <c r="B2177" s="22" t="s">
        <v>8243</v>
      </c>
      <c r="C2177" s="22" t="s">
        <v>8244</v>
      </c>
      <c r="D2177" s="22" t="s">
        <v>8245</v>
      </c>
      <c r="E2177" s="22" t="s">
        <v>4656</v>
      </c>
      <c r="F2177" s="22" t="s">
        <v>2030</v>
      </c>
      <c r="G2177" s="28" t="s">
        <v>2012</v>
      </c>
      <c r="H2177" s="22" t="s">
        <v>2840</v>
      </c>
      <c r="I2177" s="22" t="s">
        <v>2841</v>
      </c>
      <c r="J2177" s="22" t="s">
        <v>494</v>
      </c>
      <c r="K2177" s="22" t="s">
        <v>262</v>
      </c>
      <c r="L2177" s="22" t="s">
        <v>5375</v>
      </c>
      <c r="M2177" s="22" t="s">
        <v>2523</v>
      </c>
      <c r="N2177" s="28" t="s">
        <v>2494</v>
      </c>
      <c r="O2177" s="28" t="s">
        <v>2016</v>
      </c>
      <c r="P2177" s="29">
        <v>50</v>
      </c>
      <c r="Q2177" s="28" t="s">
        <v>1164</v>
      </c>
      <c r="R2177" s="21"/>
      <c r="S2177" s="21"/>
      <c r="T2177" s="21"/>
      <c r="U2177" s="21"/>
      <c r="V2177" s="21"/>
      <c r="W2177" s="21"/>
      <c r="X2177" s="21"/>
    </row>
    <row r="2178" spans="1:24" ht="15.75" thickBot="1" x14ac:dyDescent="0.3">
      <c r="A2178" t="str">
        <f t="shared" si="33"/>
        <v>RMPADX50231TB</v>
      </c>
      <c r="B2178" s="22" t="s">
        <v>8246</v>
      </c>
      <c r="C2178" s="22" t="s">
        <v>8247</v>
      </c>
      <c r="D2178" s="22" t="s">
        <v>4472</v>
      </c>
      <c r="E2178" s="22" t="s">
        <v>8248</v>
      </c>
      <c r="F2178" s="22" t="s">
        <v>2030</v>
      </c>
      <c r="G2178" s="28" t="s">
        <v>2012</v>
      </c>
      <c r="H2178" s="22" t="s">
        <v>3745</v>
      </c>
      <c r="I2178" s="22" t="s">
        <v>3746</v>
      </c>
      <c r="J2178" s="22" t="s">
        <v>494</v>
      </c>
      <c r="K2178" s="22" t="s">
        <v>262</v>
      </c>
      <c r="L2178" s="22" t="s">
        <v>3380</v>
      </c>
      <c r="M2178" s="22" t="s">
        <v>2523</v>
      </c>
      <c r="N2178" s="28" t="s">
        <v>2494</v>
      </c>
      <c r="O2178" s="28" t="s">
        <v>2016</v>
      </c>
      <c r="P2178" s="29">
        <v>1496.75</v>
      </c>
      <c r="Q2178" s="28" t="s">
        <v>1164</v>
      </c>
      <c r="R2178" s="21"/>
      <c r="S2178" s="21"/>
      <c r="T2178" s="21"/>
      <c r="U2178" s="21"/>
      <c r="V2178" s="21"/>
      <c r="W2178" s="21"/>
      <c r="X2178" s="21"/>
    </row>
    <row r="2179" spans="1:24" ht="15.75" thickBot="1" x14ac:dyDescent="0.3">
      <c r="A2179" t="str">
        <f t="shared" si="33"/>
        <v>RMPCA387PC JA6A</v>
      </c>
      <c r="B2179" s="22" t="s">
        <v>8249</v>
      </c>
      <c r="C2179" s="21"/>
      <c r="D2179" s="22" t="s">
        <v>4655</v>
      </c>
      <c r="E2179" s="22" t="s">
        <v>8250</v>
      </c>
      <c r="F2179" s="22" t="s">
        <v>2030</v>
      </c>
      <c r="G2179" s="28" t="s">
        <v>5499</v>
      </c>
      <c r="H2179" s="22" t="s">
        <v>3378</v>
      </c>
      <c r="I2179" s="22" t="s">
        <v>3379</v>
      </c>
      <c r="J2179" s="22" t="s">
        <v>364</v>
      </c>
      <c r="K2179" s="22" t="s">
        <v>262</v>
      </c>
      <c r="L2179" s="22" t="s">
        <v>3380</v>
      </c>
      <c r="M2179" s="22" t="s">
        <v>4657</v>
      </c>
      <c r="N2179" s="28" t="s">
        <v>2494</v>
      </c>
      <c r="O2179" s="28" t="s">
        <v>2016</v>
      </c>
      <c r="P2179" s="29">
        <v>0</v>
      </c>
      <c r="Q2179" s="28" t="s">
        <v>1164</v>
      </c>
      <c r="R2179" s="21"/>
      <c r="S2179" s="21"/>
      <c r="T2179" s="21"/>
      <c r="U2179" s="21"/>
      <c r="V2179" s="21"/>
      <c r="W2179" s="21"/>
      <c r="X2179" s="21"/>
    </row>
    <row r="2180" spans="1:24" ht="15.75" thickBot="1" x14ac:dyDescent="0.3">
      <c r="A2180" t="str">
        <f t="shared" si="33"/>
        <v>RMPDX196ZHEA</v>
      </c>
      <c r="B2180" s="22" t="s">
        <v>8251</v>
      </c>
      <c r="C2180" s="21"/>
      <c r="D2180" s="22" t="s">
        <v>3110</v>
      </c>
      <c r="E2180" s="22" t="s">
        <v>8252</v>
      </c>
      <c r="F2180" s="22" t="s">
        <v>2030</v>
      </c>
      <c r="G2180" s="28" t="s">
        <v>2012</v>
      </c>
      <c r="H2180" s="22" t="s">
        <v>3111</v>
      </c>
      <c r="I2180" s="22" t="s">
        <v>3112</v>
      </c>
      <c r="J2180" s="22" t="s">
        <v>261</v>
      </c>
      <c r="K2180" s="22" t="s">
        <v>262</v>
      </c>
      <c r="L2180" s="22" t="s">
        <v>3113</v>
      </c>
      <c r="M2180" s="22" t="s">
        <v>2523</v>
      </c>
      <c r="N2180" s="28" t="s">
        <v>2494</v>
      </c>
      <c r="O2180" s="28" t="s">
        <v>2016</v>
      </c>
      <c r="P2180" s="29">
        <v>3352</v>
      </c>
      <c r="Q2180" s="28" t="s">
        <v>1164</v>
      </c>
      <c r="R2180" s="21"/>
      <c r="S2180" s="21"/>
      <c r="T2180" s="21"/>
      <c r="U2180" s="21"/>
      <c r="V2180" s="21"/>
      <c r="W2180" s="21"/>
      <c r="X2180" s="21"/>
    </row>
    <row r="2181" spans="1:24" ht="15.75" thickBot="1" x14ac:dyDescent="0.3">
      <c r="A2181" t="str">
        <f t="shared" ref="A2181:A2244" si="34">TRIM(B2181)</f>
        <v>RMPGMPPC3135</v>
      </c>
      <c r="B2181" s="22" t="s">
        <v>8253</v>
      </c>
      <c r="C2181" s="21"/>
      <c r="D2181" s="22" t="s">
        <v>8254</v>
      </c>
      <c r="E2181" s="22" t="s">
        <v>8255</v>
      </c>
      <c r="F2181" s="22" t="s">
        <v>2030</v>
      </c>
      <c r="G2181" s="28" t="s">
        <v>2012</v>
      </c>
      <c r="H2181" s="22" t="s">
        <v>3118</v>
      </c>
      <c r="I2181" s="22" t="s">
        <v>3119</v>
      </c>
      <c r="J2181" s="22" t="s">
        <v>404</v>
      </c>
      <c r="K2181" s="22" t="s">
        <v>262</v>
      </c>
      <c r="L2181" s="22" t="s">
        <v>2711</v>
      </c>
      <c r="M2181" s="22" t="s">
        <v>4830</v>
      </c>
      <c r="N2181" s="28" t="s">
        <v>2494</v>
      </c>
      <c r="O2181" s="28" t="s">
        <v>2016</v>
      </c>
      <c r="P2181" s="29">
        <v>1600.64</v>
      </c>
      <c r="Q2181" s="28" t="s">
        <v>1164</v>
      </c>
      <c r="R2181" s="21"/>
      <c r="S2181" s="21"/>
      <c r="T2181" s="21"/>
      <c r="U2181" s="21"/>
      <c r="V2181" s="21"/>
      <c r="W2181" s="21"/>
      <c r="X2181" s="21"/>
    </row>
    <row r="2182" spans="1:24" ht="15.75" thickBot="1" x14ac:dyDescent="0.3">
      <c r="A2182" t="str">
        <f t="shared" si="34"/>
        <v>RMPKW308A BLACK</v>
      </c>
      <c r="B2182" s="22" t="s">
        <v>8256</v>
      </c>
      <c r="C2182" s="22" t="s">
        <v>8257</v>
      </c>
      <c r="D2182" s="22" t="s">
        <v>8258</v>
      </c>
      <c r="E2182" s="22" t="s">
        <v>4656</v>
      </c>
      <c r="F2182" s="22" t="s">
        <v>2030</v>
      </c>
      <c r="G2182" s="28" t="s">
        <v>2012</v>
      </c>
      <c r="H2182" s="22" t="s">
        <v>8259</v>
      </c>
      <c r="I2182" s="22" t="s">
        <v>8260</v>
      </c>
      <c r="J2182" s="22" t="s">
        <v>261</v>
      </c>
      <c r="K2182" s="22" t="s">
        <v>262</v>
      </c>
      <c r="L2182" s="22" t="s">
        <v>2711</v>
      </c>
      <c r="M2182" s="22" t="s">
        <v>2523</v>
      </c>
      <c r="N2182" s="28" t="s">
        <v>2494</v>
      </c>
      <c r="O2182" s="28" t="s">
        <v>2016</v>
      </c>
      <c r="P2182" s="29">
        <v>0</v>
      </c>
      <c r="Q2182" s="28" t="s">
        <v>1164</v>
      </c>
      <c r="R2182" s="21"/>
      <c r="S2182" s="21"/>
      <c r="T2182" s="21"/>
      <c r="U2182" s="21"/>
      <c r="V2182" s="21"/>
      <c r="W2182" s="21"/>
      <c r="X2182" s="21"/>
    </row>
    <row r="2183" spans="1:24" ht="15.75" thickBot="1" x14ac:dyDescent="0.3">
      <c r="A2183" t="str">
        <f t="shared" si="34"/>
        <v>RMPPPC4TF1.6</v>
      </c>
      <c r="B2183" s="22" t="s">
        <v>8261</v>
      </c>
      <c r="C2183" s="22" t="s">
        <v>8262</v>
      </c>
      <c r="D2183" s="22" t="s">
        <v>8263</v>
      </c>
      <c r="E2183" s="22" t="s">
        <v>4656</v>
      </c>
      <c r="F2183" s="22" t="s">
        <v>2030</v>
      </c>
      <c r="G2183" s="28" t="s">
        <v>2012</v>
      </c>
      <c r="H2183" s="22" t="s">
        <v>3118</v>
      </c>
      <c r="I2183" s="22" t="s">
        <v>3119</v>
      </c>
      <c r="J2183" s="22" t="s">
        <v>494</v>
      </c>
      <c r="K2183" s="22" t="s">
        <v>262</v>
      </c>
      <c r="L2183" s="22" t="s">
        <v>2711</v>
      </c>
      <c r="M2183" s="22" t="s">
        <v>2523</v>
      </c>
      <c r="N2183" s="28" t="s">
        <v>2494</v>
      </c>
      <c r="O2183" s="28" t="s">
        <v>2016</v>
      </c>
      <c r="P2183" s="29">
        <v>1520</v>
      </c>
      <c r="Q2183" s="28" t="s">
        <v>1164</v>
      </c>
      <c r="R2183" s="21"/>
      <c r="S2183" s="21"/>
      <c r="T2183" s="21"/>
      <c r="U2183" s="21"/>
      <c r="V2183" s="21"/>
      <c r="W2183" s="21"/>
      <c r="X2183" s="21"/>
    </row>
    <row r="2184" spans="1:24" ht="15.75" thickBot="1" x14ac:dyDescent="0.3">
      <c r="A2184" t="str">
        <f t="shared" si="34"/>
        <v>RMPPPC6TF2 YZ9A</v>
      </c>
      <c r="B2184" s="22" t="s">
        <v>8264</v>
      </c>
      <c r="C2184" s="22" t="s">
        <v>8265</v>
      </c>
      <c r="D2184" s="22" t="s">
        <v>8266</v>
      </c>
      <c r="E2184" s="22" t="s">
        <v>4656</v>
      </c>
      <c r="F2184" s="22" t="s">
        <v>2030</v>
      </c>
      <c r="G2184" s="28" t="s">
        <v>2012</v>
      </c>
      <c r="H2184" s="22" t="s">
        <v>3118</v>
      </c>
      <c r="I2184" s="22" t="s">
        <v>3119</v>
      </c>
      <c r="J2184" s="22" t="s">
        <v>494</v>
      </c>
      <c r="K2184" s="22" t="s">
        <v>262</v>
      </c>
      <c r="L2184" s="22" t="s">
        <v>2711</v>
      </c>
      <c r="M2184" s="22" t="s">
        <v>2523</v>
      </c>
      <c r="N2184" s="28" t="s">
        <v>2494</v>
      </c>
      <c r="O2184" s="28" t="s">
        <v>2016</v>
      </c>
      <c r="P2184" s="29">
        <v>2730</v>
      </c>
      <c r="Q2184" s="28" t="s">
        <v>1164</v>
      </c>
      <c r="R2184" s="21"/>
      <c r="S2184" s="21"/>
      <c r="T2184" s="21"/>
      <c r="U2184" s="21"/>
      <c r="V2184" s="21"/>
      <c r="W2184" s="21"/>
      <c r="X2184" s="21"/>
    </row>
    <row r="2185" spans="1:24" ht="15.75" thickBot="1" x14ac:dyDescent="0.3">
      <c r="A2185" t="str">
        <f t="shared" si="34"/>
        <v>RMPPPH2GF3 BLACK</v>
      </c>
      <c r="B2185" s="22" t="s">
        <v>8267</v>
      </c>
      <c r="C2185" s="21"/>
      <c r="D2185" s="22" t="s">
        <v>8268</v>
      </c>
      <c r="E2185" s="22" t="s">
        <v>4656</v>
      </c>
      <c r="F2185" s="22" t="s">
        <v>2030</v>
      </c>
      <c r="G2185" s="28" t="s">
        <v>2012</v>
      </c>
      <c r="H2185" s="22" t="s">
        <v>3118</v>
      </c>
      <c r="I2185" s="22" t="s">
        <v>3119</v>
      </c>
      <c r="J2185" s="22" t="s">
        <v>364</v>
      </c>
      <c r="K2185" s="22" t="s">
        <v>262</v>
      </c>
      <c r="L2185" s="22" t="s">
        <v>2711</v>
      </c>
      <c r="M2185" s="22" t="s">
        <v>4657</v>
      </c>
      <c r="N2185" s="28" t="s">
        <v>2494</v>
      </c>
      <c r="O2185" s="28" t="s">
        <v>2016</v>
      </c>
      <c r="P2185" s="29">
        <v>2335.5149999999999</v>
      </c>
      <c r="Q2185" s="28" t="s">
        <v>1164</v>
      </c>
      <c r="R2185" s="41">
        <v>0.63675550749700005</v>
      </c>
      <c r="S2185" s="34">
        <v>235789.48</v>
      </c>
      <c r="T2185" s="32">
        <v>3667.8363555555602</v>
      </c>
      <c r="U2185" s="32">
        <v>0</v>
      </c>
      <c r="V2185" s="41">
        <v>0.63675550749700005</v>
      </c>
      <c r="W2185" s="21"/>
      <c r="X2185" s="21"/>
    </row>
    <row r="2186" spans="1:24" ht="15.75" thickBot="1" x14ac:dyDescent="0.3">
      <c r="A2186" t="str">
        <f t="shared" si="34"/>
        <v>RMPS0160R</v>
      </c>
      <c r="B2186" s="22" t="s">
        <v>8269</v>
      </c>
      <c r="C2186" s="21"/>
      <c r="D2186" s="22" t="s">
        <v>8270</v>
      </c>
      <c r="E2186" s="22" t="s">
        <v>4656</v>
      </c>
      <c r="F2186" s="22" t="s">
        <v>2030</v>
      </c>
      <c r="G2186" s="28" t="s">
        <v>2012</v>
      </c>
      <c r="H2186" s="22" t="s">
        <v>2013</v>
      </c>
      <c r="I2186" s="21"/>
      <c r="J2186" s="22" t="s">
        <v>261</v>
      </c>
      <c r="K2186" s="22" t="s">
        <v>262</v>
      </c>
      <c r="L2186" s="22" t="s">
        <v>3113</v>
      </c>
      <c r="M2186" s="22" t="s">
        <v>2130</v>
      </c>
      <c r="N2186" s="28" t="s">
        <v>2494</v>
      </c>
      <c r="O2186" s="28" t="s">
        <v>2016</v>
      </c>
      <c r="P2186" s="29">
        <v>798</v>
      </c>
      <c r="Q2186" s="28" t="s">
        <v>1164</v>
      </c>
      <c r="R2186" s="21"/>
      <c r="S2186" s="21"/>
      <c r="T2186" s="21"/>
      <c r="U2186" s="21"/>
      <c r="V2186" s="21"/>
      <c r="W2186" s="21"/>
      <c r="X2186" s="21"/>
    </row>
    <row r="2187" spans="1:24" ht="15.75" thickBot="1" x14ac:dyDescent="0.3">
      <c r="A2187" t="str">
        <f t="shared" si="34"/>
        <v>RMPSG702</v>
      </c>
      <c r="B2187" s="22" t="s">
        <v>8271</v>
      </c>
      <c r="C2187" s="22" t="s">
        <v>8272</v>
      </c>
      <c r="D2187" s="22" t="s">
        <v>8273</v>
      </c>
      <c r="E2187" s="22" t="s">
        <v>3946</v>
      </c>
      <c r="F2187" s="22" t="s">
        <v>2030</v>
      </c>
      <c r="G2187" s="28" t="s">
        <v>2012</v>
      </c>
      <c r="H2187" s="22" t="s">
        <v>8274</v>
      </c>
      <c r="I2187" s="22" t="s">
        <v>8275</v>
      </c>
      <c r="J2187" s="22" t="s">
        <v>494</v>
      </c>
      <c r="K2187" s="22" t="s">
        <v>262</v>
      </c>
      <c r="L2187" s="22" t="s">
        <v>3380</v>
      </c>
      <c r="M2187" s="22" t="s">
        <v>2523</v>
      </c>
      <c r="N2187" s="28" t="s">
        <v>2494</v>
      </c>
      <c r="O2187" s="28" t="s">
        <v>2016</v>
      </c>
      <c r="P2187" s="29">
        <v>2802</v>
      </c>
      <c r="Q2187" s="28" t="s">
        <v>1164</v>
      </c>
      <c r="R2187" s="21"/>
      <c r="S2187" s="21"/>
      <c r="T2187" s="21"/>
      <c r="U2187" s="21"/>
      <c r="V2187" s="21"/>
      <c r="W2187" s="21"/>
      <c r="X2187" s="21"/>
    </row>
    <row r="2188" spans="1:24" ht="15.75" thickBot="1" x14ac:dyDescent="0.3">
      <c r="A2188" t="str">
        <f t="shared" si="34"/>
        <v>RMS10723-04</v>
      </c>
      <c r="B2188" s="22" t="s">
        <v>8276</v>
      </c>
      <c r="C2188" s="22" t="s">
        <v>3404</v>
      </c>
      <c r="D2188" s="22" t="s">
        <v>8277</v>
      </c>
      <c r="E2188" s="22" t="s">
        <v>4084</v>
      </c>
      <c r="F2188" s="22" t="s">
        <v>4963</v>
      </c>
      <c r="G2188" s="28" t="s">
        <v>2012</v>
      </c>
      <c r="H2188" s="22" t="s">
        <v>2536</v>
      </c>
      <c r="I2188" s="22" t="s">
        <v>2537</v>
      </c>
      <c r="J2188" s="22" t="s">
        <v>261</v>
      </c>
      <c r="K2188" s="22" t="s">
        <v>924</v>
      </c>
      <c r="L2188" s="22" t="s">
        <v>2558</v>
      </c>
      <c r="M2188" s="22" t="s">
        <v>2532</v>
      </c>
      <c r="N2188" s="28" t="s">
        <v>2494</v>
      </c>
      <c r="O2188" s="28" t="s">
        <v>2016</v>
      </c>
      <c r="P2188" s="29">
        <v>40.594999999999999</v>
      </c>
      <c r="Q2188" s="28" t="s">
        <v>1164</v>
      </c>
      <c r="R2188" s="21"/>
      <c r="S2188" s="21"/>
      <c r="T2188" s="21"/>
      <c r="U2188" s="21"/>
      <c r="V2188" s="21"/>
      <c r="W2188" s="21"/>
      <c r="X2188" s="21"/>
    </row>
    <row r="2189" spans="1:24" ht="15.75" thickBot="1" x14ac:dyDescent="0.3">
      <c r="A2189" t="str">
        <f t="shared" si="34"/>
        <v>RMS10723D-02</v>
      </c>
      <c r="B2189" s="22" t="s">
        <v>8278</v>
      </c>
      <c r="C2189" s="21"/>
      <c r="D2189" s="22" t="s">
        <v>8279</v>
      </c>
      <c r="E2189" s="22" t="s">
        <v>4084</v>
      </c>
      <c r="F2189" s="22" t="s">
        <v>4963</v>
      </c>
      <c r="G2189" s="28" t="s">
        <v>2012</v>
      </c>
      <c r="H2189" s="22" t="s">
        <v>2536</v>
      </c>
      <c r="I2189" s="22" t="s">
        <v>2537</v>
      </c>
      <c r="J2189" s="22" t="s">
        <v>261</v>
      </c>
      <c r="K2189" s="22" t="s">
        <v>924</v>
      </c>
      <c r="L2189" s="22" t="s">
        <v>2558</v>
      </c>
      <c r="M2189" s="22" t="s">
        <v>2532</v>
      </c>
      <c r="N2189" s="28" t="s">
        <v>2494</v>
      </c>
      <c r="O2189" s="28" t="s">
        <v>2016</v>
      </c>
      <c r="P2189" s="29">
        <v>0</v>
      </c>
      <c r="Q2189" s="28" t="s">
        <v>3554</v>
      </c>
      <c r="R2189" s="41">
        <v>0</v>
      </c>
      <c r="S2189" s="34">
        <v>1133.8679999999999</v>
      </c>
      <c r="T2189" s="32">
        <v>17.637946666666</v>
      </c>
      <c r="U2189" s="32">
        <v>0</v>
      </c>
      <c r="V2189" s="41">
        <v>0</v>
      </c>
      <c r="W2189" s="21"/>
      <c r="X2189" s="21"/>
    </row>
    <row r="2190" spans="1:24" ht="15.75" thickBot="1" x14ac:dyDescent="0.3">
      <c r="A2190" t="str">
        <f t="shared" si="34"/>
        <v>RMS16152RL</v>
      </c>
      <c r="B2190" s="22" t="s">
        <v>8280</v>
      </c>
      <c r="C2190" s="22" t="s">
        <v>8281</v>
      </c>
      <c r="D2190" s="22" t="s">
        <v>8282</v>
      </c>
      <c r="E2190" s="22" t="s">
        <v>2527</v>
      </c>
      <c r="F2190" s="22" t="s">
        <v>8283</v>
      </c>
      <c r="G2190" s="28" t="s">
        <v>2012</v>
      </c>
      <c r="H2190" s="22" t="s">
        <v>2549</v>
      </c>
      <c r="I2190" s="22" t="s">
        <v>2550</v>
      </c>
      <c r="J2190" s="22" t="s">
        <v>261</v>
      </c>
      <c r="K2190" s="22" t="s">
        <v>924</v>
      </c>
      <c r="L2190" s="22" t="s">
        <v>2531</v>
      </c>
      <c r="M2190" s="22" t="s">
        <v>2532</v>
      </c>
      <c r="N2190" s="28" t="s">
        <v>2494</v>
      </c>
      <c r="O2190" s="28" t="s">
        <v>2016</v>
      </c>
      <c r="P2190" s="29">
        <v>0</v>
      </c>
      <c r="Q2190" s="28" t="s">
        <v>1164</v>
      </c>
      <c r="R2190" s="41">
        <v>0</v>
      </c>
      <c r="S2190" s="34">
        <v>2253.6320000000001</v>
      </c>
      <c r="T2190" s="32">
        <v>35.056497777776997</v>
      </c>
      <c r="U2190" s="32">
        <v>0</v>
      </c>
      <c r="V2190" s="41">
        <v>0</v>
      </c>
      <c r="W2190" s="21"/>
      <c r="X2190" s="21"/>
    </row>
    <row r="2191" spans="1:24" ht="15.75" thickBot="1" x14ac:dyDescent="0.3">
      <c r="A2191" t="str">
        <f t="shared" si="34"/>
        <v>RMS16A126RLAA</v>
      </c>
      <c r="B2191" s="22" t="s">
        <v>8284</v>
      </c>
      <c r="C2191" s="22" t="s">
        <v>8285</v>
      </c>
      <c r="D2191" s="22" t="s">
        <v>8286</v>
      </c>
      <c r="E2191" s="22" t="s">
        <v>2527</v>
      </c>
      <c r="F2191" s="22" t="s">
        <v>8287</v>
      </c>
      <c r="G2191" s="28" t="s">
        <v>5499</v>
      </c>
      <c r="H2191" s="22" t="s">
        <v>2529</v>
      </c>
      <c r="I2191" s="22" t="s">
        <v>2530</v>
      </c>
      <c r="J2191" s="22" t="s">
        <v>494</v>
      </c>
      <c r="K2191" s="22" t="s">
        <v>924</v>
      </c>
      <c r="L2191" s="22" t="s">
        <v>2531</v>
      </c>
      <c r="M2191" s="22" t="s">
        <v>2532</v>
      </c>
      <c r="N2191" s="28" t="s">
        <v>2494</v>
      </c>
      <c r="O2191" s="28" t="s">
        <v>2016</v>
      </c>
      <c r="P2191" s="29">
        <v>0</v>
      </c>
      <c r="Q2191" s="28" t="s">
        <v>1164</v>
      </c>
      <c r="R2191" s="21"/>
      <c r="S2191" s="21"/>
      <c r="T2191" s="21"/>
      <c r="U2191" s="21"/>
      <c r="V2191" s="21"/>
      <c r="W2191" s="21"/>
      <c r="X2191" s="21"/>
    </row>
    <row r="2192" spans="1:24" ht="15.75" thickBot="1" x14ac:dyDescent="0.3">
      <c r="A2192" t="str">
        <f t="shared" si="34"/>
        <v>RMS16D600RLAA</v>
      </c>
      <c r="B2192" s="22" t="s">
        <v>8288</v>
      </c>
      <c r="C2192" s="22" t="s">
        <v>8289</v>
      </c>
      <c r="D2192" s="22" t="s">
        <v>8290</v>
      </c>
      <c r="E2192" s="22" t="s">
        <v>2527</v>
      </c>
      <c r="F2192" s="22" t="s">
        <v>8291</v>
      </c>
      <c r="G2192" s="28" t="s">
        <v>5499</v>
      </c>
      <c r="H2192" s="22" t="s">
        <v>2529</v>
      </c>
      <c r="I2192" s="22" t="s">
        <v>2530</v>
      </c>
      <c r="J2192" s="22" t="s">
        <v>494</v>
      </c>
      <c r="K2192" s="22" t="s">
        <v>924</v>
      </c>
      <c r="L2192" s="22" t="s">
        <v>2531</v>
      </c>
      <c r="M2192" s="22" t="s">
        <v>2532</v>
      </c>
      <c r="N2192" s="28" t="s">
        <v>2494</v>
      </c>
      <c r="O2192" s="28" t="s">
        <v>2016</v>
      </c>
      <c r="P2192" s="29">
        <v>0</v>
      </c>
      <c r="Q2192" s="28" t="s">
        <v>1164</v>
      </c>
      <c r="R2192" s="41">
        <v>0</v>
      </c>
      <c r="S2192" s="34">
        <v>2.024</v>
      </c>
      <c r="T2192" s="32">
        <v>3.1484444443999997E-2</v>
      </c>
      <c r="U2192" s="32">
        <v>0</v>
      </c>
      <c r="V2192" s="41">
        <v>0</v>
      </c>
      <c r="W2192" s="21"/>
      <c r="X2192" s="21"/>
    </row>
    <row r="2193" spans="1:24" ht="15.75" thickBot="1" x14ac:dyDescent="0.3">
      <c r="A2193" t="str">
        <f t="shared" si="34"/>
        <v>RMS17B984</v>
      </c>
      <c r="B2193" s="22" t="s">
        <v>8292</v>
      </c>
      <c r="C2193" s="22" t="s">
        <v>8293</v>
      </c>
      <c r="D2193" s="22" t="s">
        <v>8294</v>
      </c>
      <c r="E2193" s="22" t="s">
        <v>4084</v>
      </c>
      <c r="F2193" s="22" t="s">
        <v>8295</v>
      </c>
      <c r="G2193" s="28" t="s">
        <v>2012</v>
      </c>
      <c r="H2193" s="22" t="s">
        <v>8296</v>
      </c>
      <c r="I2193" s="22" t="s">
        <v>2859</v>
      </c>
      <c r="J2193" s="22" t="s">
        <v>892</v>
      </c>
      <c r="K2193" s="22" t="s">
        <v>924</v>
      </c>
      <c r="L2193" s="22" t="s">
        <v>2558</v>
      </c>
      <c r="M2193" s="22" t="s">
        <v>2532</v>
      </c>
      <c r="N2193" s="28" t="s">
        <v>2494</v>
      </c>
      <c r="O2193" s="28" t="s">
        <v>2016</v>
      </c>
      <c r="P2193" s="29">
        <v>25850</v>
      </c>
      <c r="Q2193" s="28" t="s">
        <v>3554</v>
      </c>
      <c r="R2193" s="21"/>
      <c r="S2193" s="21"/>
      <c r="T2193" s="21"/>
      <c r="U2193" s="21"/>
      <c r="V2193" s="21"/>
      <c r="W2193" s="21"/>
      <c r="X2193" s="21"/>
    </row>
    <row r="2194" spans="1:24" ht="15.75" thickBot="1" x14ac:dyDescent="0.3">
      <c r="A2194" t="str">
        <f t="shared" si="34"/>
        <v>RMS17C790RL</v>
      </c>
      <c r="B2194" s="22" t="s">
        <v>8297</v>
      </c>
      <c r="C2194" s="21"/>
      <c r="D2194" s="22" t="s">
        <v>8298</v>
      </c>
      <c r="E2194" s="22" t="s">
        <v>2527</v>
      </c>
      <c r="F2194" s="22" t="s">
        <v>3133</v>
      </c>
      <c r="G2194" s="28" t="s">
        <v>2012</v>
      </c>
      <c r="H2194" s="22" t="s">
        <v>2536</v>
      </c>
      <c r="I2194" s="22" t="s">
        <v>2537</v>
      </c>
      <c r="J2194" s="22" t="s">
        <v>261</v>
      </c>
      <c r="K2194" s="22" t="s">
        <v>924</v>
      </c>
      <c r="L2194" s="22" t="s">
        <v>2531</v>
      </c>
      <c r="M2194" s="22" t="s">
        <v>2532</v>
      </c>
      <c r="N2194" s="28" t="s">
        <v>2494</v>
      </c>
      <c r="O2194" s="28" t="s">
        <v>2016</v>
      </c>
      <c r="P2194" s="29">
        <v>0</v>
      </c>
      <c r="Q2194" s="28" t="s">
        <v>1164</v>
      </c>
      <c r="R2194" s="21"/>
      <c r="S2194" s="21"/>
      <c r="T2194" s="21"/>
      <c r="U2194" s="21"/>
      <c r="V2194" s="21"/>
      <c r="W2194" s="21"/>
      <c r="X2194" s="21"/>
    </row>
    <row r="2195" spans="1:24" ht="15.75" thickBot="1" x14ac:dyDescent="0.3">
      <c r="A2195" t="str">
        <f t="shared" si="34"/>
        <v>RMS2102220RL</v>
      </c>
      <c r="B2195" s="22" t="s">
        <v>8299</v>
      </c>
      <c r="C2195" s="22" t="s">
        <v>8300</v>
      </c>
      <c r="D2195" s="22" t="s">
        <v>8301</v>
      </c>
      <c r="E2195" s="22" t="s">
        <v>2527</v>
      </c>
      <c r="F2195" s="22" t="s">
        <v>5071</v>
      </c>
      <c r="G2195" s="28" t="s">
        <v>2012</v>
      </c>
      <c r="H2195" s="22" t="s">
        <v>2543</v>
      </c>
      <c r="I2195" s="22" t="s">
        <v>2544</v>
      </c>
      <c r="J2195" s="22" t="s">
        <v>261</v>
      </c>
      <c r="K2195" s="22" t="s">
        <v>924</v>
      </c>
      <c r="L2195" s="22" t="s">
        <v>2531</v>
      </c>
      <c r="M2195" s="22" t="s">
        <v>2532</v>
      </c>
      <c r="N2195" s="28" t="s">
        <v>2494</v>
      </c>
      <c r="O2195" s="28" t="s">
        <v>2016</v>
      </c>
      <c r="P2195" s="29">
        <v>1050.6289999999999</v>
      </c>
      <c r="Q2195" s="28" t="s">
        <v>1164</v>
      </c>
      <c r="R2195" s="41">
        <v>0.35189573284300002</v>
      </c>
      <c r="S2195" s="34">
        <v>191933.09099999999</v>
      </c>
      <c r="T2195" s="32">
        <v>2985.6258600000001</v>
      </c>
      <c r="U2195" s="32">
        <v>0</v>
      </c>
      <c r="V2195" s="41">
        <v>0.35189573284300002</v>
      </c>
      <c r="W2195" s="21"/>
      <c r="X2195" s="21"/>
    </row>
    <row r="2196" spans="1:24" ht="15.75" thickBot="1" x14ac:dyDescent="0.3">
      <c r="A2196" t="str">
        <f t="shared" si="34"/>
        <v>RMS21022A06 P703</v>
      </c>
      <c r="B2196" s="22" t="s">
        <v>8302</v>
      </c>
      <c r="C2196" s="22" t="s">
        <v>3404</v>
      </c>
      <c r="D2196" s="22" t="s">
        <v>8303</v>
      </c>
      <c r="E2196" s="22" t="s">
        <v>2527</v>
      </c>
      <c r="F2196" s="22" t="s">
        <v>8304</v>
      </c>
      <c r="G2196" s="28" t="s">
        <v>2012</v>
      </c>
      <c r="H2196" s="22" t="s">
        <v>2536</v>
      </c>
      <c r="I2196" s="22" t="s">
        <v>2537</v>
      </c>
      <c r="J2196" s="22" t="s">
        <v>494</v>
      </c>
      <c r="K2196" s="22" t="s">
        <v>924</v>
      </c>
      <c r="L2196" s="22" t="s">
        <v>2531</v>
      </c>
      <c r="M2196" s="22" t="s">
        <v>2532</v>
      </c>
      <c r="N2196" s="28" t="s">
        <v>2494</v>
      </c>
      <c r="O2196" s="28" t="s">
        <v>2016</v>
      </c>
      <c r="P2196" s="29">
        <v>0</v>
      </c>
      <c r="Q2196" s="28" t="s">
        <v>1164</v>
      </c>
      <c r="R2196" s="41">
        <v>0</v>
      </c>
      <c r="S2196" s="34">
        <v>1578.26</v>
      </c>
      <c r="T2196" s="32">
        <v>24.550711111110999</v>
      </c>
      <c r="U2196" s="32">
        <v>0</v>
      </c>
      <c r="V2196" s="41">
        <v>0</v>
      </c>
      <c r="W2196" s="21"/>
      <c r="X2196" s="21"/>
    </row>
    <row r="2197" spans="1:24" ht="15.75" thickBot="1" x14ac:dyDescent="0.3">
      <c r="A2197" t="str">
        <f t="shared" si="34"/>
        <v>RMS21023A40 P703</v>
      </c>
      <c r="B2197" s="22" t="s">
        <v>8305</v>
      </c>
      <c r="C2197" s="22" t="s">
        <v>8306</v>
      </c>
      <c r="D2197" s="22" t="s">
        <v>8307</v>
      </c>
      <c r="E2197" s="22" t="s">
        <v>2527</v>
      </c>
      <c r="F2197" s="22" t="s">
        <v>8308</v>
      </c>
      <c r="G2197" s="28" t="s">
        <v>2012</v>
      </c>
      <c r="H2197" s="22" t="s">
        <v>2716</v>
      </c>
      <c r="I2197" s="22" t="s">
        <v>2717</v>
      </c>
      <c r="J2197" s="22" t="s">
        <v>261</v>
      </c>
      <c r="K2197" s="22" t="s">
        <v>924</v>
      </c>
      <c r="L2197" s="22" t="s">
        <v>2531</v>
      </c>
      <c r="M2197" s="22" t="s">
        <v>2532</v>
      </c>
      <c r="N2197" s="28" t="s">
        <v>2494</v>
      </c>
      <c r="O2197" s="28" t="s">
        <v>2016</v>
      </c>
      <c r="P2197" s="29">
        <v>0</v>
      </c>
      <c r="Q2197" s="28" t="s">
        <v>1164</v>
      </c>
      <c r="R2197" s="41">
        <v>0</v>
      </c>
      <c r="S2197" s="34">
        <v>14457.343999999999</v>
      </c>
      <c r="T2197" s="32">
        <v>224.89201777777799</v>
      </c>
      <c r="U2197" s="32">
        <v>0</v>
      </c>
      <c r="V2197" s="41">
        <v>0</v>
      </c>
      <c r="W2197" s="21"/>
      <c r="X2197" s="21"/>
    </row>
    <row r="2198" spans="1:24" ht="15.75" thickBot="1" x14ac:dyDescent="0.3">
      <c r="A2198" t="str">
        <f t="shared" si="34"/>
        <v>RMS2102544</v>
      </c>
      <c r="B2198" s="22" t="s">
        <v>8309</v>
      </c>
      <c r="C2198" s="22" t="s">
        <v>8310</v>
      </c>
      <c r="D2198" s="22" t="s">
        <v>8311</v>
      </c>
      <c r="E2198" s="22" t="s">
        <v>2527</v>
      </c>
      <c r="F2198" s="22" t="s">
        <v>5071</v>
      </c>
      <c r="G2198" s="28" t="s">
        <v>2012</v>
      </c>
      <c r="H2198" s="22" t="s">
        <v>2716</v>
      </c>
      <c r="I2198" s="22" t="s">
        <v>2717</v>
      </c>
      <c r="J2198" s="22" t="s">
        <v>261</v>
      </c>
      <c r="K2198" s="22" t="s">
        <v>924</v>
      </c>
      <c r="L2198" s="22" t="s">
        <v>2531</v>
      </c>
      <c r="M2198" s="22" t="s">
        <v>2532</v>
      </c>
      <c r="N2198" s="28" t="s">
        <v>2494</v>
      </c>
      <c r="O2198" s="28" t="s">
        <v>2016</v>
      </c>
      <c r="P2198" s="29">
        <v>0</v>
      </c>
      <c r="Q2198" s="28" t="s">
        <v>1164</v>
      </c>
      <c r="R2198" s="21"/>
      <c r="S2198" s="21"/>
      <c r="T2198" s="21"/>
      <c r="U2198" s="21"/>
      <c r="V2198" s="21"/>
      <c r="W2198" s="21"/>
      <c r="X2198" s="21"/>
    </row>
    <row r="2199" spans="1:24" ht="15.75" thickBot="1" x14ac:dyDescent="0.3">
      <c r="A2199" t="str">
        <f t="shared" si="34"/>
        <v>RMS21044C30A</v>
      </c>
      <c r="B2199" s="22" t="s">
        <v>8312</v>
      </c>
      <c r="C2199" s="21"/>
      <c r="D2199" s="22" t="s">
        <v>8313</v>
      </c>
      <c r="E2199" s="22" t="s">
        <v>2527</v>
      </c>
      <c r="F2199" s="22" t="s">
        <v>5167</v>
      </c>
      <c r="G2199" s="28" t="s">
        <v>5499</v>
      </c>
      <c r="H2199" s="22" t="s">
        <v>2536</v>
      </c>
      <c r="I2199" s="22" t="s">
        <v>2537</v>
      </c>
      <c r="J2199" s="22" t="s">
        <v>494</v>
      </c>
      <c r="K2199" s="22" t="s">
        <v>924</v>
      </c>
      <c r="L2199" s="22" t="s">
        <v>2531</v>
      </c>
      <c r="M2199" s="22" t="s">
        <v>2532</v>
      </c>
      <c r="N2199" s="28" t="s">
        <v>2494</v>
      </c>
      <c r="O2199" s="28" t="s">
        <v>2016</v>
      </c>
      <c r="P2199" s="29">
        <v>0</v>
      </c>
      <c r="Q2199" s="28" t="s">
        <v>1164</v>
      </c>
      <c r="R2199" s="21"/>
      <c r="S2199" s="21"/>
      <c r="T2199" s="21"/>
      <c r="U2199" s="21"/>
      <c r="V2199" s="21"/>
      <c r="W2199" s="21"/>
      <c r="X2199" s="21"/>
    </row>
    <row r="2200" spans="1:24" ht="15.75" thickBot="1" x14ac:dyDescent="0.3">
      <c r="A2200" t="str">
        <f t="shared" si="34"/>
        <v>RMS2110116RLAA</v>
      </c>
      <c r="B2200" s="22" t="s">
        <v>8314</v>
      </c>
      <c r="C2200" s="22" t="s">
        <v>8315</v>
      </c>
      <c r="D2200" s="22" t="s">
        <v>4931</v>
      </c>
      <c r="E2200" s="22" t="s">
        <v>2527</v>
      </c>
      <c r="F2200" s="22" t="s">
        <v>3953</v>
      </c>
      <c r="G2200" s="28" t="s">
        <v>5499</v>
      </c>
      <c r="H2200" s="22" t="s">
        <v>2716</v>
      </c>
      <c r="I2200" s="22" t="s">
        <v>2717</v>
      </c>
      <c r="J2200" s="22" t="s">
        <v>494</v>
      </c>
      <c r="K2200" s="22" t="s">
        <v>924</v>
      </c>
      <c r="L2200" s="22" t="s">
        <v>2531</v>
      </c>
      <c r="M2200" s="22" t="s">
        <v>2532</v>
      </c>
      <c r="N2200" s="28" t="s">
        <v>2494</v>
      </c>
      <c r="O2200" s="28" t="s">
        <v>2016</v>
      </c>
      <c r="P2200" s="29">
        <v>0</v>
      </c>
      <c r="Q2200" s="28" t="s">
        <v>1164</v>
      </c>
      <c r="R2200" s="21"/>
      <c r="S2200" s="21"/>
      <c r="T2200" s="21"/>
      <c r="U2200" s="21"/>
      <c r="V2200" s="21"/>
      <c r="W2200" s="21"/>
      <c r="X2200" s="21"/>
    </row>
    <row r="2201" spans="1:24" ht="15.75" thickBot="1" x14ac:dyDescent="0.3">
      <c r="A2201" t="str">
        <f t="shared" si="34"/>
        <v>RMS21101A16RLA</v>
      </c>
      <c r="B2201" s="22" t="s">
        <v>8316</v>
      </c>
      <c r="C2201" s="22" t="s">
        <v>8317</v>
      </c>
      <c r="D2201" s="22" t="s">
        <v>8318</v>
      </c>
      <c r="E2201" s="22" t="s">
        <v>2527</v>
      </c>
      <c r="F2201" s="22" t="s">
        <v>8319</v>
      </c>
      <c r="G2201" s="28" t="s">
        <v>2012</v>
      </c>
      <c r="H2201" s="22" t="s">
        <v>2529</v>
      </c>
      <c r="I2201" s="22" t="s">
        <v>2530</v>
      </c>
      <c r="J2201" s="22" t="s">
        <v>261</v>
      </c>
      <c r="K2201" s="22" t="s">
        <v>924</v>
      </c>
      <c r="L2201" s="22" t="s">
        <v>2531</v>
      </c>
      <c r="M2201" s="22" t="s">
        <v>2532</v>
      </c>
      <c r="N2201" s="28" t="s">
        <v>2494</v>
      </c>
      <c r="O2201" s="28" t="s">
        <v>2016</v>
      </c>
      <c r="P2201" s="29">
        <v>13.648</v>
      </c>
      <c r="Q2201" s="28" t="s">
        <v>1164</v>
      </c>
      <c r="R2201" s="41">
        <v>1.9588027822999999E-2</v>
      </c>
      <c r="S2201" s="34">
        <v>44791.207999999999</v>
      </c>
      <c r="T2201" s="32">
        <v>696.75212444444401</v>
      </c>
      <c r="U2201" s="32">
        <v>0</v>
      </c>
      <c r="V2201" s="41">
        <v>1.9588027822999999E-2</v>
      </c>
      <c r="W2201" s="21"/>
      <c r="X2201" s="21"/>
    </row>
    <row r="2202" spans="1:24" ht="15.75" thickBot="1" x14ac:dyDescent="0.3">
      <c r="A2202" t="str">
        <f t="shared" si="34"/>
        <v>RMS2110782A</v>
      </c>
      <c r="B2202" s="22" t="s">
        <v>8320</v>
      </c>
      <c r="C2202" s="22" t="s">
        <v>8321</v>
      </c>
      <c r="D2202" s="22" t="s">
        <v>8322</v>
      </c>
      <c r="E2202" s="22" t="s">
        <v>2527</v>
      </c>
      <c r="F2202" s="22" t="s">
        <v>4393</v>
      </c>
      <c r="G2202" s="28" t="s">
        <v>2012</v>
      </c>
      <c r="H2202" s="22" t="s">
        <v>2716</v>
      </c>
      <c r="I2202" s="22" t="s">
        <v>2717</v>
      </c>
      <c r="J2202" s="22" t="s">
        <v>261</v>
      </c>
      <c r="K2202" s="22" t="s">
        <v>924</v>
      </c>
      <c r="L2202" s="22" t="s">
        <v>2531</v>
      </c>
      <c r="M2202" s="22" t="s">
        <v>2532</v>
      </c>
      <c r="N2202" s="28" t="s">
        <v>2494</v>
      </c>
      <c r="O2202" s="28" t="s">
        <v>2016</v>
      </c>
      <c r="P2202" s="29">
        <v>0</v>
      </c>
      <c r="Q2202" s="28" t="s">
        <v>1164</v>
      </c>
      <c r="R2202" s="41">
        <v>0</v>
      </c>
      <c r="S2202" s="34">
        <v>90139.73</v>
      </c>
      <c r="T2202" s="32">
        <v>1402.1735777777801</v>
      </c>
      <c r="U2202" s="32">
        <v>0</v>
      </c>
      <c r="V2202" s="41">
        <v>0</v>
      </c>
      <c r="W2202" s="21"/>
      <c r="X2202" s="21"/>
    </row>
    <row r="2203" spans="1:24" ht="15.75" thickBot="1" x14ac:dyDescent="0.3">
      <c r="A2203" t="str">
        <f t="shared" si="34"/>
        <v>RMS21108A26RLAA</v>
      </c>
      <c r="B2203" s="22" t="s">
        <v>8323</v>
      </c>
      <c r="C2203" s="22" t="s">
        <v>8324</v>
      </c>
      <c r="D2203" s="22" t="s">
        <v>8325</v>
      </c>
      <c r="E2203" s="22" t="s">
        <v>2527</v>
      </c>
      <c r="F2203" s="22" t="s">
        <v>8326</v>
      </c>
      <c r="G2203" s="28" t="s">
        <v>5499</v>
      </c>
      <c r="H2203" s="22" t="s">
        <v>2529</v>
      </c>
      <c r="I2203" s="22" t="s">
        <v>2530</v>
      </c>
      <c r="J2203" s="22" t="s">
        <v>494</v>
      </c>
      <c r="K2203" s="22" t="s">
        <v>924</v>
      </c>
      <c r="L2203" s="22" t="s">
        <v>2531</v>
      </c>
      <c r="M2203" s="22" t="s">
        <v>2532</v>
      </c>
      <c r="N2203" s="28" t="s">
        <v>2494</v>
      </c>
      <c r="O2203" s="28" t="s">
        <v>2016</v>
      </c>
      <c r="P2203" s="29">
        <v>0</v>
      </c>
      <c r="Q2203" s="28" t="s">
        <v>1164</v>
      </c>
      <c r="R2203" s="21"/>
      <c r="S2203" s="21"/>
      <c r="T2203" s="21"/>
      <c r="U2203" s="21"/>
      <c r="V2203" s="21"/>
      <c r="W2203" s="21"/>
      <c r="X2203" s="21"/>
    </row>
    <row r="2204" spans="1:24" ht="15.75" thickBot="1" x14ac:dyDescent="0.3">
      <c r="A2204" t="str">
        <f t="shared" si="34"/>
        <v>RMS21108A60BPIA0103</v>
      </c>
      <c r="B2204" s="22" t="s">
        <v>8327</v>
      </c>
      <c r="C2204" s="22" t="s">
        <v>8328</v>
      </c>
      <c r="D2204" s="22" t="s">
        <v>8329</v>
      </c>
      <c r="E2204" s="22" t="s">
        <v>3123</v>
      </c>
      <c r="F2204" s="22" t="s">
        <v>8330</v>
      </c>
      <c r="G2204" s="28" t="s">
        <v>2012</v>
      </c>
      <c r="H2204" s="22" t="s">
        <v>2716</v>
      </c>
      <c r="I2204" s="22" t="s">
        <v>2717</v>
      </c>
      <c r="J2204" s="22" t="s">
        <v>261</v>
      </c>
      <c r="K2204" s="22" t="s">
        <v>924</v>
      </c>
      <c r="L2204" s="22" t="s">
        <v>2558</v>
      </c>
      <c r="M2204" s="22" t="s">
        <v>2532</v>
      </c>
      <c r="N2204" s="28" t="s">
        <v>2494</v>
      </c>
      <c r="O2204" s="28" t="s">
        <v>2016</v>
      </c>
      <c r="P2204" s="29">
        <v>370.66</v>
      </c>
      <c r="Q2204" s="28" t="s">
        <v>1164</v>
      </c>
      <c r="R2204" s="41">
        <v>0.564942133304</v>
      </c>
      <c r="S2204" s="34">
        <v>42178.023999999998</v>
      </c>
      <c r="T2204" s="32">
        <v>656.10259555555501</v>
      </c>
      <c r="U2204" s="32">
        <v>0</v>
      </c>
      <c r="V2204" s="41">
        <v>0.564942133304</v>
      </c>
      <c r="W2204" s="21"/>
      <c r="X2204" s="21"/>
    </row>
    <row r="2205" spans="1:24" ht="15.75" thickBot="1" x14ac:dyDescent="0.3">
      <c r="A2205" t="str">
        <f t="shared" si="34"/>
        <v>RMS2122868RLAA</v>
      </c>
      <c r="B2205" s="22" t="s">
        <v>8331</v>
      </c>
      <c r="C2205" s="22" t="s">
        <v>8332</v>
      </c>
      <c r="D2205" s="22" t="s">
        <v>8333</v>
      </c>
      <c r="E2205" s="22" t="s">
        <v>2527</v>
      </c>
      <c r="F2205" s="22" t="s">
        <v>8334</v>
      </c>
      <c r="G2205" s="28" t="s">
        <v>2012</v>
      </c>
      <c r="H2205" s="22" t="s">
        <v>2543</v>
      </c>
      <c r="I2205" s="22" t="s">
        <v>2544</v>
      </c>
      <c r="J2205" s="22" t="s">
        <v>494</v>
      </c>
      <c r="K2205" s="22" t="s">
        <v>924</v>
      </c>
      <c r="L2205" s="22" t="s">
        <v>2531</v>
      </c>
      <c r="M2205" s="22" t="s">
        <v>2532</v>
      </c>
      <c r="N2205" s="28" t="s">
        <v>2494</v>
      </c>
      <c r="O2205" s="28" t="s">
        <v>2016</v>
      </c>
      <c r="P2205" s="29">
        <v>16295</v>
      </c>
      <c r="Q2205" s="28" t="s">
        <v>1164</v>
      </c>
      <c r="R2205" s="21"/>
      <c r="S2205" s="21"/>
      <c r="T2205" s="21"/>
      <c r="U2205" s="21"/>
      <c r="V2205" s="21"/>
      <c r="W2205" s="21"/>
      <c r="X2205" s="21"/>
    </row>
    <row r="2206" spans="1:24" ht="15.75" thickBot="1" x14ac:dyDescent="0.3">
      <c r="A2206" t="str">
        <f t="shared" si="34"/>
        <v>RMS21246K43RLA</v>
      </c>
      <c r="B2206" s="22" t="s">
        <v>8335</v>
      </c>
      <c r="C2206" s="22" t="s">
        <v>8336</v>
      </c>
      <c r="D2206" s="22" t="s">
        <v>8337</v>
      </c>
      <c r="E2206" s="22" t="s">
        <v>2527</v>
      </c>
      <c r="F2206" s="22" t="s">
        <v>3486</v>
      </c>
      <c r="G2206" s="28" t="s">
        <v>2012</v>
      </c>
      <c r="H2206" s="22" t="s">
        <v>2549</v>
      </c>
      <c r="I2206" s="22" t="s">
        <v>2550</v>
      </c>
      <c r="J2206" s="22" t="s">
        <v>494</v>
      </c>
      <c r="K2206" s="22" t="s">
        <v>924</v>
      </c>
      <c r="L2206" s="22" t="s">
        <v>2531</v>
      </c>
      <c r="M2206" s="22" t="s">
        <v>2532</v>
      </c>
      <c r="N2206" s="28" t="s">
        <v>2494</v>
      </c>
      <c r="O2206" s="28" t="s">
        <v>2016</v>
      </c>
      <c r="P2206" s="29">
        <v>5160</v>
      </c>
      <c r="Q2206" s="28" t="s">
        <v>1164</v>
      </c>
      <c r="R2206" s="21"/>
      <c r="S2206" s="21"/>
      <c r="T2206" s="21"/>
      <c r="U2206" s="21"/>
      <c r="V2206" s="21"/>
      <c r="W2206" s="21"/>
      <c r="X2206" s="21"/>
    </row>
    <row r="2207" spans="1:24" ht="15.75" thickBot="1" x14ac:dyDescent="0.3">
      <c r="A2207" t="str">
        <f t="shared" si="34"/>
        <v>RMS2126880RLAA</v>
      </c>
      <c r="B2207" s="22" t="s">
        <v>8338</v>
      </c>
      <c r="C2207" s="22" t="s">
        <v>8339</v>
      </c>
      <c r="D2207" s="22" t="s">
        <v>8340</v>
      </c>
      <c r="E2207" s="22" t="s">
        <v>2527</v>
      </c>
      <c r="F2207" s="22" t="s">
        <v>8341</v>
      </c>
      <c r="G2207" s="28" t="s">
        <v>5499</v>
      </c>
      <c r="H2207" s="22" t="s">
        <v>2982</v>
      </c>
      <c r="I2207" s="22" t="s">
        <v>2983</v>
      </c>
      <c r="J2207" s="22" t="s">
        <v>494</v>
      </c>
      <c r="K2207" s="22" t="s">
        <v>924</v>
      </c>
      <c r="L2207" s="22" t="s">
        <v>2531</v>
      </c>
      <c r="M2207" s="22" t="s">
        <v>2532</v>
      </c>
      <c r="N2207" s="28" t="s">
        <v>2494</v>
      </c>
      <c r="O2207" s="28" t="s">
        <v>2016</v>
      </c>
      <c r="P2207" s="29">
        <v>0</v>
      </c>
      <c r="Q2207" s="28" t="s">
        <v>1164</v>
      </c>
      <c r="R2207" s="21"/>
      <c r="S2207" s="21"/>
      <c r="T2207" s="21"/>
      <c r="U2207" s="21"/>
      <c r="V2207" s="21"/>
      <c r="W2207" s="21"/>
      <c r="X2207" s="21"/>
    </row>
    <row r="2208" spans="1:24" ht="15.75" thickBot="1" x14ac:dyDescent="0.3">
      <c r="A2208" t="str">
        <f t="shared" si="34"/>
        <v>RMS21280K20AA</v>
      </c>
      <c r="B2208" s="22" t="s">
        <v>8342</v>
      </c>
      <c r="C2208" s="22" t="s">
        <v>8343</v>
      </c>
      <c r="D2208" s="22" t="s">
        <v>8344</v>
      </c>
      <c r="E2208" s="22" t="s">
        <v>2527</v>
      </c>
      <c r="F2208" s="22" t="s">
        <v>3957</v>
      </c>
      <c r="G2208" s="28" t="s">
        <v>5499</v>
      </c>
      <c r="H2208" s="22" t="s">
        <v>2529</v>
      </c>
      <c r="I2208" s="22" t="s">
        <v>2530</v>
      </c>
      <c r="J2208" s="22" t="s">
        <v>494</v>
      </c>
      <c r="K2208" s="22" t="s">
        <v>924</v>
      </c>
      <c r="L2208" s="22" t="s">
        <v>2531</v>
      </c>
      <c r="M2208" s="22" t="s">
        <v>2532</v>
      </c>
      <c r="N2208" s="28" t="s">
        <v>2494</v>
      </c>
      <c r="O2208" s="28" t="s">
        <v>2016</v>
      </c>
      <c r="P2208" s="29">
        <v>0</v>
      </c>
      <c r="Q2208" s="28" t="s">
        <v>1164</v>
      </c>
      <c r="R2208" s="21"/>
      <c r="S2208" s="21"/>
      <c r="T2208" s="21"/>
      <c r="U2208" s="21"/>
      <c r="V2208" s="21"/>
      <c r="W2208" s="21"/>
      <c r="X2208" s="21"/>
    </row>
    <row r="2209" spans="1:24" ht="15.75" thickBot="1" x14ac:dyDescent="0.3">
      <c r="A2209" t="str">
        <f t="shared" si="34"/>
        <v>RMS21286G50AA</v>
      </c>
      <c r="B2209" s="22" t="s">
        <v>8345</v>
      </c>
      <c r="C2209" s="22" t="s">
        <v>8346</v>
      </c>
      <c r="D2209" s="22" t="s">
        <v>8347</v>
      </c>
      <c r="E2209" s="22" t="s">
        <v>2527</v>
      </c>
      <c r="F2209" s="22" t="s">
        <v>4744</v>
      </c>
      <c r="G2209" s="28" t="s">
        <v>5499</v>
      </c>
      <c r="H2209" s="22" t="s">
        <v>2852</v>
      </c>
      <c r="I2209" s="22" t="s">
        <v>2853</v>
      </c>
      <c r="J2209" s="22" t="s">
        <v>494</v>
      </c>
      <c r="K2209" s="22" t="s">
        <v>924</v>
      </c>
      <c r="L2209" s="22" t="s">
        <v>2531</v>
      </c>
      <c r="M2209" s="22" t="s">
        <v>2532</v>
      </c>
      <c r="N2209" s="28" t="s">
        <v>2494</v>
      </c>
      <c r="O2209" s="28" t="s">
        <v>2016</v>
      </c>
      <c r="P2209" s="29">
        <v>0</v>
      </c>
      <c r="Q2209" s="28" t="s">
        <v>1164</v>
      </c>
      <c r="R2209" s="21"/>
      <c r="S2209" s="21"/>
      <c r="T2209" s="21"/>
      <c r="U2209" s="21"/>
      <c r="V2209" s="21"/>
      <c r="W2209" s="21"/>
      <c r="X2209" s="21"/>
    </row>
    <row r="2210" spans="1:24" ht="15.75" thickBot="1" x14ac:dyDescent="0.3">
      <c r="A2210" t="str">
        <f t="shared" si="34"/>
        <v>RMS21403C62A</v>
      </c>
      <c r="B2210" s="22" t="s">
        <v>8348</v>
      </c>
      <c r="C2210" s="21"/>
      <c r="D2210" s="22" t="s">
        <v>8349</v>
      </c>
      <c r="E2210" s="22" t="s">
        <v>2527</v>
      </c>
      <c r="F2210" s="22" t="s">
        <v>3486</v>
      </c>
      <c r="G2210" s="28" t="s">
        <v>2012</v>
      </c>
      <c r="H2210" s="22" t="s">
        <v>2536</v>
      </c>
      <c r="I2210" s="22" t="s">
        <v>2537</v>
      </c>
      <c r="J2210" s="22" t="s">
        <v>261</v>
      </c>
      <c r="K2210" s="22" t="s">
        <v>924</v>
      </c>
      <c r="L2210" s="22" t="s">
        <v>2531</v>
      </c>
      <c r="M2210" s="22" t="s">
        <v>2532</v>
      </c>
      <c r="N2210" s="28" t="s">
        <v>2494</v>
      </c>
      <c r="O2210" s="28" t="s">
        <v>2016</v>
      </c>
      <c r="P2210" s="29">
        <v>0</v>
      </c>
      <c r="Q2210" s="28" t="s">
        <v>1164</v>
      </c>
      <c r="R2210" s="41">
        <v>0</v>
      </c>
      <c r="S2210" s="34">
        <v>347.52</v>
      </c>
      <c r="T2210" s="32">
        <v>5.4058666666660002</v>
      </c>
      <c r="U2210" s="32">
        <v>0</v>
      </c>
      <c r="V2210" s="41">
        <v>0</v>
      </c>
      <c r="W2210" s="21"/>
      <c r="X2210" s="21"/>
    </row>
    <row r="2211" spans="1:24" ht="15.75" thickBot="1" x14ac:dyDescent="0.3">
      <c r="A2211" t="str">
        <f t="shared" si="34"/>
        <v>RMS21625A64A</v>
      </c>
      <c r="B2211" s="22" t="s">
        <v>8350</v>
      </c>
      <c r="C2211" s="22" t="s">
        <v>8351</v>
      </c>
      <c r="D2211" s="22" t="s">
        <v>8352</v>
      </c>
      <c r="E2211" s="22" t="s">
        <v>2527</v>
      </c>
      <c r="F2211" s="22" t="s">
        <v>3486</v>
      </c>
      <c r="G2211" s="28" t="s">
        <v>5499</v>
      </c>
      <c r="H2211" s="22" t="s">
        <v>2529</v>
      </c>
      <c r="I2211" s="22" t="s">
        <v>2530</v>
      </c>
      <c r="J2211" s="22" t="s">
        <v>494</v>
      </c>
      <c r="K2211" s="22" t="s">
        <v>924</v>
      </c>
      <c r="L2211" s="22" t="s">
        <v>2531</v>
      </c>
      <c r="M2211" s="22" t="s">
        <v>2532</v>
      </c>
      <c r="N2211" s="28" t="s">
        <v>2494</v>
      </c>
      <c r="O2211" s="28" t="s">
        <v>2016</v>
      </c>
      <c r="P2211" s="29">
        <v>0</v>
      </c>
      <c r="Q2211" s="28" t="s">
        <v>1164</v>
      </c>
      <c r="R2211" s="21"/>
      <c r="S2211" s="21"/>
      <c r="T2211" s="21"/>
      <c r="U2211" s="21"/>
      <c r="V2211" s="21"/>
      <c r="W2211" s="21"/>
      <c r="X2211" s="21"/>
    </row>
    <row r="2212" spans="1:24" ht="15.75" thickBot="1" x14ac:dyDescent="0.3">
      <c r="A2212" t="str">
        <f t="shared" si="34"/>
        <v>RMS2540338A</v>
      </c>
      <c r="B2212" s="22" t="s">
        <v>8353</v>
      </c>
      <c r="C2212" s="21"/>
      <c r="D2212" s="22" t="s">
        <v>8354</v>
      </c>
      <c r="E2212" s="22" t="s">
        <v>2527</v>
      </c>
      <c r="F2212" s="22" t="s">
        <v>8355</v>
      </c>
      <c r="G2212" s="28" t="s">
        <v>2012</v>
      </c>
      <c r="H2212" s="22" t="s">
        <v>2536</v>
      </c>
      <c r="I2212" s="22" t="s">
        <v>2537</v>
      </c>
      <c r="J2212" s="22" t="s">
        <v>261</v>
      </c>
      <c r="K2212" s="22" t="s">
        <v>924</v>
      </c>
      <c r="L2212" s="22" t="s">
        <v>2531</v>
      </c>
      <c r="M2212" s="22" t="s">
        <v>2532</v>
      </c>
      <c r="N2212" s="28" t="s">
        <v>2494</v>
      </c>
      <c r="O2212" s="28" t="s">
        <v>2016</v>
      </c>
      <c r="P2212" s="29">
        <v>0</v>
      </c>
      <c r="Q2212" s="28" t="s">
        <v>1164</v>
      </c>
      <c r="R2212" s="41">
        <v>0</v>
      </c>
      <c r="S2212" s="34">
        <v>49.984000000000002</v>
      </c>
      <c r="T2212" s="32">
        <v>0.77752888888799998</v>
      </c>
      <c r="U2212" s="32">
        <v>0</v>
      </c>
      <c r="V2212" s="41">
        <v>0</v>
      </c>
      <c r="W2212" s="21"/>
      <c r="X2212" s="21"/>
    </row>
    <row r="2213" spans="1:24" ht="15.75" thickBot="1" x14ac:dyDescent="0.3">
      <c r="A2213" t="str">
        <f t="shared" si="34"/>
        <v>RMS26103B60A</v>
      </c>
      <c r="B2213" s="22" t="s">
        <v>8356</v>
      </c>
      <c r="C2213" s="21"/>
      <c r="D2213" s="22" t="s">
        <v>8357</v>
      </c>
      <c r="E2213" s="22" t="s">
        <v>2527</v>
      </c>
      <c r="F2213" s="22" t="s">
        <v>4393</v>
      </c>
      <c r="G2213" s="28" t="s">
        <v>2012</v>
      </c>
      <c r="H2213" s="22" t="s">
        <v>2536</v>
      </c>
      <c r="I2213" s="22" t="s">
        <v>2537</v>
      </c>
      <c r="J2213" s="22" t="s">
        <v>261</v>
      </c>
      <c r="K2213" s="22" t="s">
        <v>924</v>
      </c>
      <c r="L2213" s="22" t="s">
        <v>2531</v>
      </c>
      <c r="M2213" s="22" t="s">
        <v>2532</v>
      </c>
      <c r="N2213" s="28" t="s">
        <v>2494</v>
      </c>
      <c r="O2213" s="28" t="s">
        <v>2016</v>
      </c>
      <c r="P2213" s="29">
        <v>0</v>
      </c>
      <c r="Q2213" s="28" t="s">
        <v>1164</v>
      </c>
      <c r="R2213" s="41">
        <v>0</v>
      </c>
      <c r="S2213" s="34">
        <v>1791.36</v>
      </c>
      <c r="T2213" s="32">
        <v>27.865600000000001</v>
      </c>
      <c r="U2213" s="32">
        <v>0</v>
      </c>
      <c r="V2213" s="41">
        <v>0</v>
      </c>
      <c r="W2213" s="21"/>
      <c r="X2213" s="21"/>
    </row>
    <row r="2214" spans="1:24" ht="15.75" thickBot="1" x14ac:dyDescent="0.3">
      <c r="A2214" t="str">
        <f t="shared" si="34"/>
        <v>RMS26103B60B</v>
      </c>
      <c r="B2214" s="22" t="s">
        <v>8358</v>
      </c>
      <c r="C2214" s="21"/>
      <c r="D2214" s="22" t="s">
        <v>8359</v>
      </c>
      <c r="E2214" s="22" t="s">
        <v>5472</v>
      </c>
      <c r="F2214" s="22" t="s">
        <v>5473</v>
      </c>
      <c r="G2214" s="28" t="s">
        <v>2012</v>
      </c>
      <c r="H2214" s="22" t="s">
        <v>2536</v>
      </c>
      <c r="I2214" s="22" t="s">
        <v>2537</v>
      </c>
      <c r="J2214" s="22" t="s">
        <v>261</v>
      </c>
      <c r="K2214" s="22" t="s">
        <v>924</v>
      </c>
      <c r="L2214" s="22" t="s">
        <v>3136</v>
      </c>
      <c r="M2214" s="22" t="s">
        <v>2532</v>
      </c>
      <c r="N2214" s="28" t="s">
        <v>2494</v>
      </c>
      <c r="O2214" s="28" t="s">
        <v>2016</v>
      </c>
      <c r="P2214" s="29">
        <v>948.12</v>
      </c>
      <c r="Q2214" s="28" t="s">
        <v>1164</v>
      </c>
      <c r="R2214" s="21"/>
      <c r="S2214" s="21"/>
      <c r="T2214" s="21"/>
      <c r="U2214" s="21"/>
      <c r="V2214" s="21"/>
      <c r="W2214" s="21"/>
      <c r="X2214" s="21"/>
    </row>
    <row r="2215" spans="1:24" ht="15.75" thickBot="1" x14ac:dyDescent="0.3">
      <c r="A2215" t="str">
        <f t="shared" si="34"/>
        <v>RMS26108A70RLA</v>
      </c>
      <c r="B2215" s="22" t="s">
        <v>8360</v>
      </c>
      <c r="C2215" s="22" t="s">
        <v>8361</v>
      </c>
      <c r="D2215" s="22" t="s">
        <v>8362</v>
      </c>
      <c r="E2215" s="22" t="s">
        <v>2527</v>
      </c>
      <c r="F2215" s="22" t="s">
        <v>2535</v>
      </c>
      <c r="G2215" s="28" t="s">
        <v>2012</v>
      </c>
      <c r="H2215" s="22" t="s">
        <v>2716</v>
      </c>
      <c r="I2215" s="22" t="s">
        <v>2717</v>
      </c>
      <c r="J2215" s="22" t="s">
        <v>261</v>
      </c>
      <c r="K2215" s="22" t="s">
        <v>924</v>
      </c>
      <c r="L2215" s="22" t="s">
        <v>2531</v>
      </c>
      <c r="M2215" s="22" t="s">
        <v>2532</v>
      </c>
      <c r="N2215" s="28" t="s">
        <v>2494</v>
      </c>
      <c r="O2215" s="28" t="s">
        <v>2016</v>
      </c>
      <c r="P2215" s="29">
        <v>44.8</v>
      </c>
      <c r="Q2215" s="28" t="s">
        <v>1164</v>
      </c>
      <c r="R2215" s="41">
        <v>0.11567658754</v>
      </c>
      <c r="S2215" s="29">
        <v>24897</v>
      </c>
      <c r="T2215" s="32">
        <v>387.28666666666697</v>
      </c>
      <c r="U2215" s="32">
        <v>0</v>
      </c>
      <c r="V2215" s="41">
        <v>0.11567658754</v>
      </c>
      <c r="W2215" s="21"/>
      <c r="X2215" s="21"/>
    </row>
    <row r="2216" spans="1:24" ht="15.75" thickBot="1" x14ac:dyDescent="0.3">
      <c r="A2216" t="str">
        <f t="shared" si="34"/>
        <v>RMS2626290RLAA</v>
      </c>
      <c r="B2216" s="22" t="s">
        <v>8363</v>
      </c>
      <c r="C2216" s="22" t="s">
        <v>8364</v>
      </c>
      <c r="D2216" s="22" t="s">
        <v>8365</v>
      </c>
      <c r="E2216" s="22" t="s">
        <v>2527</v>
      </c>
      <c r="F2216" s="22" t="s">
        <v>8366</v>
      </c>
      <c r="G2216" s="28" t="s">
        <v>2012</v>
      </c>
      <c r="H2216" s="22" t="s">
        <v>2716</v>
      </c>
      <c r="I2216" s="22" t="s">
        <v>2717</v>
      </c>
      <c r="J2216" s="22" t="s">
        <v>494</v>
      </c>
      <c r="K2216" s="22" t="s">
        <v>924</v>
      </c>
      <c r="L2216" s="22" t="s">
        <v>2531</v>
      </c>
      <c r="M2216" s="22" t="s">
        <v>2532</v>
      </c>
      <c r="N2216" s="28" t="s">
        <v>2494</v>
      </c>
      <c r="O2216" s="28" t="s">
        <v>2016</v>
      </c>
      <c r="P2216" s="29">
        <v>10310</v>
      </c>
      <c r="Q2216" s="28" t="s">
        <v>1164</v>
      </c>
      <c r="R2216" s="21"/>
      <c r="S2216" s="21"/>
      <c r="T2216" s="21"/>
      <c r="U2216" s="21"/>
      <c r="V2216" s="21"/>
      <c r="W2216" s="21"/>
      <c r="X2216" s="21"/>
    </row>
    <row r="2217" spans="1:24" ht="15.75" thickBot="1" x14ac:dyDescent="0.3">
      <c r="A2217" t="str">
        <f t="shared" si="34"/>
        <v>RMS26268A04RLAD</v>
      </c>
      <c r="B2217" s="22" t="s">
        <v>8367</v>
      </c>
      <c r="C2217" s="22" t="s">
        <v>8368</v>
      </c>
      <c r="D2217" s="22" t="s">
        <v>3493</v>
      </c>
      <c r="E2217" s="22" t="s">
        <v>2527</v>
      </c>
      <c r="F2217" s="22" t="s">
        <v>8366</v>
      </c>
      <c r="G2217" s="28" t="s">
        <v>2012</v>
      </c>
      <c r="H2217" s="22" t="s">
        <v>2543</v>
      </c>
      <c r="I2217" s="22" t="s">
        <v>2544</v>
      </c>
      <c r="J2217" s="22" t="s">
        <v>494</v>
      </c>
      <c r="K2217" s="22" t="s">
        <v>924</v>
      </c>
      <c r="L2217" s="22" t="s">
        <v>2531</v>
      </c>
      <c r="M2217" s="22" t="s">
        <v>2532</v>
      </c>
      <c r="N2217" s="28" t="s">
        <v>2494</v>
      </c>
      <c r="O2217" s="28" t="s">
        <v>2016</v>
      </c>
      <c r="P2217" s="29">
        <v>21565</v>
      </c>
      <c r="Q2217" s="28" t="s">
        <v>1164</v>
      </c>
      <c r="R2217" s="21"/>
      <c r="S2217" s="21"/>
      <c r="T2217" s="21"/>
      <c r="U2217" s="21"/>
      <c r="V2217" s="21"/>
      <c r="W2217" s="21"/>
      <c r="X2217" s="21"/>
    </row>
    <row r="2218" spans="1:24" ht="15.75" thickBot="1" x14ac:dyDescent="0.3">
      <c r="A2218" t="str">
        <f t="shared" si="34"/>
        <v>RMS2641212RLAA</v>
      </c>
      <c r="B2218" s="22" t="s">
        <v>8369</v>
      </c>
      <c r="C2218" s="22" t="s">
        <v>8370</v>
      </c>
      <c r="D2218" s="22" t="s">
        <v>8371</v>
      </c>
      <c r="E2218" s="22" t="s">
        <v>2527</v>
      </c>
      <c r="F2218" s="22" t="s">
        <v>8372</v>
      </c>
      <c r="G2218" s="28" t="s">
        <v>2012</v>
      </c>
      <c r="H2218" s="22" t="s">
        <v>2543</v>
      </c>
      <c r="I2218" s="22" t="s">
        <v>2544</v>
      </c>
      <c r="J2218" s="22" t="s">
        <v>261</v>
      </c>
      <c r="K2218" s="22" t="s">
        <v>924</v>
      </c>
      <c r="L2218" s="22" t="s">
        <v>2531</v>
      </c>
      <c r="M2218" s="22" t="s">
        <v>2532</v>
      </c>
      <c r="N2218" s="28" t="s">
        <v>2494</v>
      </c>
      <c r="O2218" s="28" t="s">
        <v>2016</v>
      </c>
      <c r="P2218" s="29">
        <v>0</v>
      </c>
      <c r="Q2218" s="28" t="s">
        <v>1164</v>
      </c>
      <c r="R2218" s="41">
        <v>0</v>
      </c>
      <c r="S2218" s="34">
        <v>184908.24</v>
      </c>
      <c r="T2218" s="32">
        <v>2876.3503999999998</v>
      </c>
      <c r="U2218" s="32">
        <v>0</v>
      </c>
      <c r="V2218" s="41">
        <v>0</v>
      </c>
      <c r="W2218" s="21"/>
      <c r="X2218" s="21"/>
    </row>
    <row r="2219" spans="1:24" ht="15.75" thickBot="1" x14ac:dyDescent="0.3">
      <c r="A2219" t="str">
        <f t="shared" si="34"/>
        <v>RMS26454W66A</v>
      </c>
      <c r="B2219" s="22" t="s">
        <v>8373</v>
      </c>
      <c r="C2219" s="21"/>
      <c r="D2219" s="22" t="s">
        <v>8374</v>
      </c>
      <c r="E2219" s="22" t="s">
        <v>2527</v>
      </c>
      <c r="F2219" s="22" t="s">
        <v>8375</v>
      </c>
      <c r="G2219" s="28" t="s">
        <v>2012</v>
      </c>
      <c r="H2219" s="22" t="s">
        <v>2536</v>
      </c>
      <c r="I2219" s="22" t="s">
        <v>2537</v>
      </c>
      <c r="J2219" s="22" t="s">
        <v>261</v>
      </c>
      <c r="K2219" s="22" t="s">
        <v>924</v>
      </c>
      <c r="L2219" s="22" t="s">
        <v>2531</v>
      </c>
      <c r="M2219" s="22" t="s">
        <v>2532</v>
      </c>
      <c r="N2219" s="28" t="s">
        <v>2494</v>
      </c>
      <c r="O2219" s="28" t="s">
        <v>2016</v>
      </c>
      <c r="P2219" s="29">
        <v>1347.0809999999999</v>
      </c>
      <c r="Q2219" s="28" t="s">
        <v>1164</v>
      </c>
      <c r="R2219" s="21"/>
      <c r="S2219" s="21"/>
      <c r="T2219" s="21"/>
      <c r="U2219" s="21"/>
      <c r="V2219" s="21"/>
      <c r="W2219" s="21"/>
      <c r="X2219" s="21"/>
    </row>
    <row r="2220" spans="1:24" ht="15.75" thickBot="1" x14ac:dyDescent="0.3">
      <c r="A2220" t="str">
        <f t="shared" si="34"/>
        <v>RMS26454W66B</v>
      </c>
      <c r="B2220" s="22" t="s">
        <v>8376</v>
      </c>
      <c r="C2220" s="21"/>
      <c r="D2220" s="22" t="s">
        <v>8377</v>
      </c>
      <c r="E2220" s="22" t="s">
        <v>2527</v>
      </c>
      <c r="F2220" s="22" t="s">
        <v>5167</v>
      </c>
      <c r="G2220" s="28" t="s">
        <v>2012</v>
      </c>
      <c r="H2220" s="22" t="s">
        <v>2536</v>
      </c>
      <c r="I2220" s="22" t="s">
        <v>2537</v>
      </c>
      <c r="J2220" s="22" t="s">
        <v>261</v>
      </c>
      <c r="K2220" s="22" t="s">
        <v>924</v>
      </c>
      <c r="L2220" s="22" t="s">
        <v>2531</v>
      </c>
      <c r="M2220" s="22" t="s">
        <v>2532</v>
      </c>
      <c r="N2220" s="28" t="s">
        <v>2494</v>
      </c>
      <c r="O2220" s="28" t="s">
        <v>2016</v>
      </c>
      <c r="P2220" s="29">
        <v>897</v>
      </c>
      <c r="Q2220" s="28" t="s">
        <v>1164</v>
      </c>
      <c r="R2220" s="21"/>
      <c r="S2220" s="21"/>
      <c r="T2220" s="21"/>
      <c r="U2220" s="21"/>
      <c r="V2220" s="21"/>
      <c r="W2220" s="21"/>
      <c r="X2220" s="21"/>
    </row>
    <row r="2221" spans="1:24" ht="15.75" thickBot="1" x14ac:dyDescent="0.3">
      <c r="A2221" t="str">
        <f t="shared" si="34"/>
        <v>RMS2650840AA</v>
      </c>
      <c r="B2221" s="22" t="s">
        <v>8378</v>
      </c>
      <c r="C2221" s="22" t="s">
        <v>8379</v>
      </c>
      <c r="D2221" s="22" t="s">
        <v>8380</v>
      </c>
      <c r="E2221" s="22" t="s">
        <v>2527</v>
      </c>
      <c r="F2221" s="22" t="s">
        <v>5167</v>
      </c>
      <c r="G2221" s="28" t="s">
        <v>2012</v>
      </c>
      <c r="H2221" s="22" t="s">
        <v>2529</v>
      </c>
      <c r="I2221" s="22" t="s">
        <v>2530</v>
      </c>
      <c r="J2221" s="22" t="s">
        <v>261</v>
      </c>
      <c r="K2221" s="22" t="s">
        <v>924</v>
      </c>
      <c r="L2221" s="22" t="s">
        <v>2531</v>
      </c>
      <c r="M2221" s="22" t="s">
        <v>2532</v>
      </c>
      <c r="N2221" s="28" t="s">
        <v>2494</v>
      </c>
      <c r="O2221" s="28" t="s">
        <v>2016</v>
      </c>
      <c r="P2221" s="29">
        <v>0</v>
      </c>
      <c r="Q2221" s="28" t="s">
        <v>1164</v>
      </c>
      <c r="R2221" s="41">
        <v>0</v>
      </c>
      <c r="S2221" s="34">
        <v>14724.03</v>
      </c>
      <c r="T2221" s="32">
        <v>229.04046666666699</v>
      </c>
      <c r="U2221" s="32">
        <v>0</v>
      </c>
      <c r="V2221" s="41">
        <v>0</v>
      </c>
      <c r="W2221" s="21"/>
      <c r="X2221" s="21"/>
    </row>
    <row r="2222" spans="1:24" ht="15.75" thickBot="1" x14ac:dyDescent="0.3">
      <c r="A2222" t="str">
        <f t="shared" si="34"/>
        <v>RMS2650844AA</v>
      </c>
      <c r="B2222" s="22" t="s">
        <v>8381</v>
      </c>
      <c r="C2222" s="21"/>
      <c r="D2222" s="22" t="s">
        <v>8382</v>
      </c>
      <c r="E2222" s="22" t="s">
        <v>2527</v>
      </c>
      <c r="F2222" s="22" t="s">
        <v>5167</v>
      </c>
      <c r="G2222" s="28" t="s">
        <v>2012</v>
      </c>
      <c r="H2222" s="22" t="s">
        <v>2536</v>
      </c>
      <c r="I2222" s="22" t="s">
        <v>2537</v>
      </c>
      <c r="J2222" s="22" t="s">
        <v>261</v>
      </c>
      <c r="K2222" s="22" t="s">
        <v>924</v>
      </c>
      <c r="L2222" s="22" t="s">
        <v>2531</v>
      </c>
      <c r="M2222" s="22" t="s">
        <v>2532</v>
      </c>
      <c r="N2222" s="28" t="s">
        <v>2494</v>
      </c>
      <c r="O2222" s="28" t="s">
        <v>2016</v>
      </c>
      <c r="P2222" s="29">
        <v>0</v>
      </c>
      <c r="Q2222" s="28" t="s">
        <v>1164</v>
      </c>
      <c r="R2222" s="21"/>
      <c r="S2222" s="21"/>
      <c r="T2222" s="21"/>
      <c r="U2222" s="21"/>
      <c r="V2222" s="21"/>
      <c r="W2222" s="21"/>
      <c r="X2222" s="21"/>
    </row>
    <row r="2223" spans="1:24" ht="15.75" thickBot="1" x14ac:dyDescent="0.3">
      <c r="A2223" t="str">
        <f t="shared" si="34"/>
        <v>RMS2662570A</v>
      </c>
      <c r="B2223" s="22" t="s">
        <v>8383</v>
      </c>
      <c r="C2223" s="21"/>
      <c r="D2223" s="22" t="s">
        <v>8384</v>
      </c>
      <c r="E2223" s="22" t="s">
        <v>2527</v>
      </c>
      <c r="F2223" s="22" t="s">
        <v>3957</v>
      </c>
      <c r="G2223" s="28" t="s">
        <v>2012</v>
      </c>
      <c r="H2223" s="22" t="s">
        <v>2536</v>
      </c>
      <c r="I2223" s="22" t="s">
        <v>2537</v>
      </c>
      <c r="J2223" s="22" t="s">
        <v>261</v>
      </c>
      <c r="K2223" s="22" t="s">
        <v>924</v>
      </c>
      <c r="L2223" s="22" t="s">
        <v>2531</v>
      </c>
      <c r="M2223" s="22" t="s">
        <v>2532</v>
      </c>
      <c r="N2223" s="28" t="s">
        <v>2494</v>
      </c>
      <c r="O2223" s="28" t="s">
        <v>2016</v>
      </c>
      <c r="P2223" s="29">
        <v>6.8780000000000001</v>
      </c>
      <c r="Q2223" s="28" t="s">
        <v>1164</v>
      </c>
      <c r="R2223" s="41">
        <v>0.340621592862</v>
      </c>
      <c r="S2223" s="34">
        <v>1298.0889999999999</v>
      </c>
      <c r="T2223" s="32">
        <v>20.192495555554999</v>
      </c>
      <c r="U2223" s="32">
        <v>0</v>
      </c>
      <c r="V2223" s="41">
        <v>0.340621592862</v>
      </c>
      <c r="W2223" s="21"/>
      <c r="X2223" s="21"/>
    </row>
    <row r="2224" spans="1:24" ht="15.75" thickBot="1" x14ac:dyDescent="0.3">
      <c r="A2224" t="str">
        <f t="shared" si="34"/>
        <v>RMS5801612</v>
      </c>
      <c r="B2224" s="22" t="s">
        <v>8385</v>
      </c>
      <c r="C2224" s="22" t="s">
        <v>8386</v>
      </c>
      <c r="D2224" s="22" t="s">
        <v>8387</v>
      </c>
      <c r="E2224" s="22" t="s">
        <v>2527</v>
      </c>
      <c r="F2224" s="22" t="s">
        <v>3384</v>
      </c>
      <c r="G2224" s="28" t="s">
        <v>2012</v>
      </c>
      <c r="H2224" s="22" t="s">
        <v>2852</v>
      </c>
      <c r="I2224" s="22" t="s">
        <v>2853</v>
      </c>
      <c r="J2224" s="22" t="s">
        <v>261</v>
      </c>
      <c r="K2224" s="22" t="s">
        <v>924</v>
      </c>
      <c r="L2224" s="22" t="s">
        <v>2531</v>
      </c>
      <c r="M2224" s="22" t="s">
        <v>2532</v>
      </c>
      <c r="N2224" s="28" t="s">
        <v>2494</v>
      </c>
      <c r="O2224" s="28" t="s">
        <v>2016</v>
      </c>
      <c r="P2224" s="29">
        <v>418.27</v>
      </c>
      <c r="Q2224" s="28" t="s">
        <v>1164</v>
      </c>
      <c r="R2224" s="21"/>
      <c r="S2224" s="21"/>
      <c r="T2224" s="21"/>
      <c r="U2224" s="21"/>
      <c r="V2224" s="21"/>
      <c r="W2224" s="21"/>
      <c r="X2224" s="21"/>
    </row>
    <row r="2225" spans="1:24" ht="15.75" thickBot="1" x14ac:dyDescent="0.3">
      <c r="A2225" t="str">
        <f t="shared" si="34"/>
        <v>RMS6X37PIA1AA</v>
      </c>
      <c r="B2225" s="22" t="s">
        <v>8388</v>
      </c>
      <c r="C2225" s="22" t="s">
        <v>8389</v>
      </c>
      <c r="D2225" s="22" t="s">
        <v>8390</v>
      </c>
      <c r="E2225" s="22" t="s">
        <v>2527</v>
      </c>
      <c r="F2225" s="22" t="s">
        <v>4420</v>
      </c>
      <c r="G2225" s="28" t="s">
        <v>2012</v>
      </c>
      <c r="H2225" s="22" t="s">
        <v>2536</v>
      </c>
      <c r="I2225" s="22" t="s">
        <v>2537</v>
      </c>
      <c r="J2225" s="22" t="s">
        <v>1164</v>
      </c>
      <c r="K2225" s="22" t="s">
        <v>5458</v>
      </c>
      <c r="L2225" s="22" t="s">
        <v>2531</v>
      </c>
      <c r="M2225" s="22" t="s">
        <v>2532</v>
      </c>
      <c r="N2225" s="28" t="s">
        <v>2494</v>
      </c>
      <c r="O2225" s="28" t="s">
        <v>2016</v>
      </c>
      <c r="P2225" s="29">
        <v>7046</v>
      </c>
      <c r="Q2225" s="28" t="s">
        <v>1164</v>
      </c>
      <c r="R2225" s="21"/>
      <c r="S2225" s="21"/>
      <c r="T2225" s="21"/>
      <c r="U2225" s="21"/>
      <c r="V2225" s="21"/>
      <c r="W2225" s="21"/>
      <c r="X2225" s="21"/>
    </row>
    <row r="2226" spans="1:24" ht="15.75" thickBot="1" x14ac:dyDescent="0.3">
      <c r="A2226" t="str">
        <f t="shared" si="34"/>
        <v>RMS8186RLAA</v>
      </c>
      <c r="B2226" s="22" t="s">
        <v>8391</v>
      </c>
      <c r="C2226" s="22" t="s">
        <v>8392</v>
      </c>
      <c r="D2226" s="22" t="s">
        <v>8393</v>
      </c>
      <c r="E2226" s="22" t="s">
        <v>2527</v>
      </c>
      <c r="F2226" s="22" t="s">
        <v>8394</v>
      </c>
      <c r="G2226" s="28" t="s">
        <v>5499</v>
      </c>
      <c r="H2226" s="22" t="s">
        <v>2716</v>
      </c>
      <c r="I2226" s="22" t="s">
        <v>2717</v>
      </c>
      <c r="J2226" s="22" t="s">
        <v>494</v>
      </c>
      <c r="K2226" s="22" t="s">
        <v>924</v>
      </c>
      <c r="L2226" s="22" t="s">
        <v>2531</v>
      </c>
      <c r="M2226" s="22" t="s">
        <v>2532</v>
      </c>
      <c r="N2226" s="28" t="s">
        <v>2494</v>
      </c>
      <c r="O2226" s="28" t="s">
        <v>2016</v>
      </c>
      <c r="P2226" s="29">
        <v>2555</v>
      </c>
      <c r="Q2226" s="28" t="s">
        <v>1164</v>
      </c>
      <c r="R2226" s="21"/>
      <c r="S2226" s="21"/>
      <c r="T2226" s="21"/>
      <c r="U2226" s="21"/>
      <c r="V2226" s="21"/>
      <c r="W2226" s="21"/>
      <c r="X2226" s="21"/>
    </row>
    <row r="2227" spans="1:24" ht="15.75" thickBot="1" x14ac:dyDescent="0.3">
      <c r="A2227" t="str">
        <f t="shared" si="34"/>
        <v>RMS8B236RLAA</v>
      </c>
      <c r="B2227" s="22" t="s">
        <v>8395</v>
      </c>
      <c r="C2227" s="22" t="s">
        <v>8396</v>
      </c>
      <c r="D2227" s="22" t="s">
        <v>8397</v>
      </c>
      <c r="E2227" s="22" t="s">
        <v>2527</v>
      </c>
      <c r="F2227" s="22" t="s">
        <v>8398</v>
      </c>
      <c r="G2227" s="28" t="s">
        <v>5499</v>
      </c>
      <c r="H2227" s="22" t="s">
        <v>2716</v>
      </c>
      <c r="I2227" s="22" t="s">
        <v>2717</v>
      </c>
      <c r="J2227" s="22" t="s">
        <v>494</v>
      </c>
      <c r="K2227" s="22" t="s">
        <v>924</v>
      </c>
      <c r="L2227" s="22" t="s">
        <v>2531</v>
      </c>
      <c r="M2227" s="22" t="s">
        <v>2532</v>
      </c>
      <c r="N2227" s="28" t="s">
        <v>2494</v>
      </c>
      <c r="O2227" s="28" t="s">
        <v>2016</v>
      </c>
      <c r="P2227" s="29">
        <v>0</v>
      </c>
      <c r="Q2227" s="28" t="s">
        <v>1164</v>
      </c>
      <c r="R2227" s="21"/>
      <c r="S2227" s="21"/>
      <c r="T2227" s="21"/>
      <c r="U2227" s="21"/>
      <c r="V2227" s="21"/>
      <c r="W2227" s="21"/>
      <c r="X2227" s="21"/>
    </row>
    <row r="2228" spans="1:24" ht="15.75" thickBot="1" x14ac:dyDescent="0.3">
      <c r="A2228" t="str">
        <f t="shared" si="34"/>
        <v>RMS9A762A</v>
      </c>
      <c r="B2228" s="22" t="s">
        <v>8399</v>
      </c>
      <c r="C2228" s="21"/>
      <c r="D2228" s="22" t="s">
        <v>8400</v>
      </c>
      <c r="E2228" s="22" t="s">
        <v>2527</v>
      </c>
      <c r="F2228" s="22" t="s">
        <v>4256</v>
      </c>
      <c r="G2228" s="28" t="s">
        <v>2012</v>
      </c>
      <c r="H2228" s="22" t="s">
        <v>2536</v>
      </c>
      <c r="I2228" s="22" t="s">
        <v>2537</v>
      </c>
      <c r="J2228" s="22" t="s">
        <v>261</v>
      </c>
      <c r="K2228" s="22" t="s">
        <v>924</v>
      </c>
      <c r="L2228" s="22" t="s">
        <v>2531</v>
      </c>
      <c r="M2228" s="22" t="s">
        <v>2532</v>
      </c>
      <c r="N2228" s="28" t="s">
        <v>2494</v>
      </c>
      <c r="O2228" s="28" t="s">
        <v>2016</v>
      </c>
      <c r="P2228" s="29">
        <v>0</v>
      </c>
      <c r="Q2228" s="28" t="s">
        <v>1164</v>
      </c>
      <c r="R2228" s="41">
        <v>0</v>
      </c>
      <c r="S2228" s="34">
        <v>4599.0929999999998</v>
      </c>
      <c r="T2228" s="32">
        <v>71.541446666666005</v>
      </c>
      <c r="U2228" s="32">
        <v>0</v>
      </c>
      <c r="V2228" s="41">
        <v>0</v>
      </c>
      <c r="W2228" s="21"/>
      <c r="X2228" s="21"/>
    </row>
    <row r="2229" spans="1:24" ht="15.75" thickBot="1" x14ac:dyDescent="0.3">
      <c r="A2229" t="str">
        <f t="shared" si="34"/>
        <v>RMSBR58016A02A</v>
      </c>
      <c r="B2229" s="22" t="s">
        <v>8401</v>
      </c>
      <c r="C2229" s="22" t="s">
        <v>8402</v>
      </c>
      <c r="D2229" s="22" t="s">
        <v>8403</v>
      </c>
      <c r="E2229" s="22" t="s">
        <v>2527</v>
      </c>
      <c r="F2229" s="22" t="s">
        <v>8404</v>
      </c>
      <c r="G2229" s="28" t="s">
        <v>2012</v>
      </c>
      <c r="H2229" s="22" t="s">
        <v>2549</v>
      </c>
      <c r="I2229" s="22" t="s">
        <v>2550</v>
      </c>
      <c r="J2229" s="22" t="s">
        <v>364</v>
      </c>
      <c r="K2229" s="22" t="s">
        <v>924</v>
      </c>
      <c r="L2229" s="22" t="s">
        <v>2531</v>
      </c>
      <c r="M2229" s="22" t="s">
        <v>2532</v>
      </c>
      <c r="N2229" s="28" t="s">
        <v>2494</v>
      </c>
      <c r="O2229" s="28" t="s">
        <v>2016</v>
      </c>
      <c r="P2229" s="29">
        <v>57.035400000000003</v>
      </c>
      <c r="Q2229" s="28" t="s">
        <v>1164</v>
      </c>
      <c r="R2229" s="41">
        <v>0.208990946461</v>
      </c>
      <c r="S2229" s="34">
        <v>17544.116099999999</v>
      </c>
      <c r="T2229" s="32">
        <v>272.90847266666702</v>
      </c>
      <c r="U2229" s="32">
        <v>0</v>
      </c>
      <c r="V2229" s="41">
        <v>0.208990946461</v>
      </c>
      <c r="W2229" s="21"/>
      <c r="X2229" s="21"/>
    </row>
    <row r="2230" spans="1:24" ht="15.75" thickBot="1" x14ac:dyDescent="0.3">
      <c r="A2230" t="str">
        <f t="shared" si="34"/>
        <v>RMSBR58016B28A</v>
      </c>
      <c r="B2230" s="22" t="s">
        <v>8405</v>
      </c>
      <c r="C2230" s="22" t="s">
        <v>8406</v>
      </c>
      <c r="D2230" s="22" t="s">
        <v>8407</v>
      </c>
      <c r="E2230" s="22" t="s">
        <v>2527</v>
      </c>
      <c r="F2230" s="22" t="s">
        <v>8408</v>
      </c>
      <c r="G2230" s="28" t="s">
        <v>2012</v>
      </c>
      <c r="H2230" s="22" t="s">
        <v>2556</v>
      </c>
      <c r="I2230" s="22" t="s">
        <v>2557</v>
      </c>
      <c r="J2230" s="22" t="s">
        <v>364</v>
      </c>
      <c r="K2230" s="22" t="s">
        <v>924</v>
      </c>
      <c r="L2230" s="22" t="s">
        <v>2531</v>
      </c>
      <c r="M2230" s="22" t="s">
        <v>2532</v>
      </c>
      <c r="N2230" s="28" t="s">
        <v>2494</v>
      </c>
      <c r="O2230" s="28" t="s">
        <v>2016</v>
      </c>
      <c r="P2230" s="29">
        <v>618.44820000000004</v>
      </c>
      <c r="Q2230" s="28" t="s">
        <v>1164</v>
      </c>
      <c r="R2230" s="41">
        <v>0.99794739854000003</v>
      </c>
      <c r="S2230" s="34">
        <v>39839.158199999998</v>
      </c>
      <c r="T2230" s="32">
        <v>619.720238666667</v>
      </c>
      <c r="U2230" s="32">
        <v>0</v>
      </c>
      <c r="V2230" s="41">
        <v>0.99794739854000003</v>
      </c>
      <c r="W2230" s="21"/>
      <c r="X2230" s="21"/>
    </row>
    <row r="2231" spans="1:24" ht="15.75" thickBot="1" x14ac:dyDescent="0.3">
      <c r="A2231" t="str">
        <f t="shared" si="34"/>
        <v>RMSBR58101B50ARL</v>
      </c>
      <c r="B2231" s="22" t="s">
        <v>8409</v>
      </c>
      <c r="C2231" s="22" t="s">
        <v>8410</v>
      </c>
      <c r="D2231" s="22" t="s">
        <v>8411</v>
      </c>
      <c r="E2231" s="22" t="s">
        <v>3132</v>
      </c>
      <c r="F2231" s="22" t="s">
        <v>5071</v>
      </c>
      <c r="G2231" s="28" t="s">
        <v>2012</v>
      </c>
      <c r="H2231" s="22" t="s">
        <v>8412</v>
      </c>
      <c r="I2231" s="22" t="s">
        <v>2717</v>
      </c>
      <c r="J2231" s="22" t="s">
        <v>364</v>
      </c>
      <c r="K2231" s="22" t="s">
        <v>924</v>
      </c>
      <c r="L2231" s="22" t="s">
        <v>3136</v>
      </c>
      <c r="M2231" s="22" t="s">
        <v>2532</v>
      </c>
      <c r="N2231" s="28" t="s">
        <v>2494</v>
      </c>
      <c r="O2231" s="28" t="s">
        <v>2016</v>
      </c>
      <c r="P2231" s="29">
        <v>-5513.36</v>
      </c>
      <c r="Q2231" s="28" t="s">
        <v>1164</v>
      </c>
      <c r="R2231" s="41">
        <v>-1.1355669208729999</v>
      </c>
      <c r="S2231" s="34">
        <v>312117.48</v>
      </c>
      <c r="T2231" s="32">
        <v>4855.1607999999997</v>
      </c>
      <c r="U2231" s="32">
        <v>0</v>
      </c>
      <c r="V2231" s="41">
        <v>0</v>
      </c>
      <c r="W2231" s="21"/>
      <c r="X2231" s="21"/>
    </row>
    <row r="2232" spans="1:24" ht="15.75" thickBot="1" x14ac:dyDescent="0.3">
      <c r="A2232" t="str">
        <f t="shared" si="34"/>
        <v>RMSBR5810780A</v>
      </c>
      <c r="B2232" s="22" t="s">
        <v>8413</v>
      </c>
      <c r="C2232" s="22" t="s">
        <v>8414</v>
      </c>
      <c r="D2232" s="22" t="s">
        <v>8415</v>
      </c>
      <c r="E2232" s="22" t="s">
        <v>3132</v>
      </c>
      <c r="F2232" s="22" t="s">
        <v>2570</v>
      </c>
      <c r="G2232" s="28" t="s">
        <v>2012</v>
      </c>
      <c r="H2232" s="22" t="s">
        <v>8412</v>
      </c>
      <c r="I2232" s="22" t="s">
        <v>2717</v>
      </c>
      <c r="J2232" s="22" t="s">
        <v>364</v>
      </c>
      <c r="K2232" s="22" t="s">
        <v>924</v>
      </c>
      <c r="L2232" s="22" t="s">
        <v>3136</v>
      </c>
      <c r="M2232" s="22" t="s">
        <v>2532</v>
      </c>
      <c r="N2232" s="28" t="s">
        <v>2494</v>
      </c>
      <c r="O2232" s="28" t="s">
        <v>2016</v>
      </c>
      <c r="P2232" s="29">
        <v>-617.04</v>
      </c>
      <c r="Q2232" s="28" t="s">
        <v>1164</v>
      </c>
      <c r="R2232" s="41">
        <v>-0.25801726571299999</v>
      </c>
      <c r="S2232" s="34">
        <v>153737.22</v>
      </c>
      <c r="T2232" s="32">
        <v>2391.46786666667</v>
      </c>
      <c r="U2232" s="32">
        <v>0</v>
      </c>
      <c r="V2232" s="41">
        <v>0</v>
      </c>
      <c r="W2232" s="21"/>
      <c r="X2232" s="21"/>
    </row>
    <row r="2233" spans="1:24" ht="15.75" thickBot="1" x14ac:dyDescent="0.3">
      <c r="A2233" t="str">
        <f t="shared" si="34"/>
        <v>RMSBR58107A96ARL</v>
      </c>
      <c r="B2233" s="22" t="s">
        <v>8416</v>
      </c>
      <c r="C2233" s="22" t="s">
        <v>8417</v>
      </c>
      <c r="D2233" s="22" t="s">
        <v>8418</v>
      </c>
      <c r="E2233" s="22" t="s">
        <v>3132</v>
      </c>
      <c r="F2233" s="22" t="s">
        <v>8419</v>
      </c>
      <c r="G2233" s="28" t="s">
        <v>2012</v>
      </c>
      <c r="H2233" s="22" t="s">
        <v>8412</v>
      </c>
      <c r="I2233" s="22" t="s">
        <v>2717</v>
      </c>
      <c r="J2233" s="22" t="s">
        <v>364</v>
      </c>
      <c r="K2233" s="22" t="s">
        <v>924</v>
      </c>
      <c r="L2233" s="22" t="s">
        <v>3136</v>
      </c>
      <c r="M2233" s="22" t="s">
        <v>2532</v>
      </c>
      <c r="N2233" s="28" t="s">
        <v>2494</v>
      </c>
      <c r="O2233" s="28" t="s">
        <v>2016</v>
      </c>
      <c r="P2233" s="29">
        <v>0</v>
      </c>
      <c r="Q2233" s="28" t="s">
        <v>1164</v>
      </c>
      <c r="R2233" s="41">
        <v>0</v>
      </c>
      <c r="S2233" s="34">
        <v>694053.03599999996</v>
      </c>
      <c r="T2233" s="32">
        <v>10796.38056</v>
      </c>
      <c r="U2233" s="32">
        <v>0</v>
      </c>
      <c r="V2233" s="41">
        <v>0</v>
      </c>
      <c r="W2233" s="21"/>
      <c r="X2233" s="21"/>
    </row>
    <row r="2234" spans="1:24" ht="15.75" thickBot="1" x14ac:dyDescent="0.3">
      <c r="A2234" t="str">
        <f t="shared" si="34"/>
        <v>RMSBR58111K36A</v>
      </c>
      <c r="B2234" s="22" t="s">
        <v>8420</v>
      </c>
      <c r="C2234" s="22" t="s">
        <v>8421</v>
      </c>
      <c r="D2234" s="22" t="s">
        <v>8422</v>
      </c>
      <c r="E2234" s="22" t="s">
        <v>3132</v>
      </c>
      <c r="F2234" s="22" t="s">
        <v>2129</v>
      </c>
      <c r="G2234" s="28" t="s">
        <v>2012</v>
      </c>
      <c r="H2234" s="22" t="s">
        <v>2852</v>
      </c>
      <c r="I2234" s="22" t="s">
        <v>2853</v>
      </c>
      <c r="J2234" s="22" t="s">
        <v>364</v>
      </c>
      <c r="K2234" s="22" t="s">
        <v>924</v>
      </c>
      <c r="L2234" s="22" t="s">
        <v>3136</v>
      </c>
      <c r="M2234" s="22" t="s">
        <v>2532</v>
      </c>
      <c r="N2234" s="28" t="s">
        <v>2494</v>
      </c>
      <c r="O2234" s="28" t="s">
        <v>2016</v>
      </c>
      <c r="P2234" s="29">
        <v>4486.2429099999999</v>
      </c>
      <c r="Q2234" s="28" t="s">
        <v>1164</v>
      </c>
      <c r="R2234" s="41">
        <v>0.354246678644</v>
      </c>
      <c r="S2234" s="34">
        <v>814125.71328000003</v>
      </c>
      <c r="T2234" s="32">
        <v>12664.1777621333</v>
      </c>
      <c r="U2234" s="32">
        <v>0</v>
      </c>
      <c r="V2234" s="41">
        <v>0.354246678644</v>
      </c>
      <c r="W2234" s="21"/>
      <c r="X2234" s="21"/>
    </row>
    <row r="2235" spans="1:24" ht="15.75" thickBot="1" x14ac:dyDescent="0.3">
      <c r="A2235" t="str">
        <f t="shared" si="34"/>
        <v>RMSBR58112A56ARL</v>
      </c>
      <c r="B2235" s="22" t="s">
        <v>8423</v>
      </c>
      <c r="C2235" s="22" t="s">
        <v>8424</v>
      </c>
      <c r="D2235" s="22" t="s">
        <v>8425</v>
      </c>
      <c r="E2235" s="22" t="s">
        <v>3132</v>
      </c>
      <c r="F2235" s="22" t="s">
        <v>5071</v>
      </c>
      <c r="G2235" s="28" t="s">
        <v>2012</v>
      </c>
      <c r="H2235" s="22" t="s">
        <v>8412</v>
      </c>
      <c r="I2235" s="22" t="s">
        <v>2717</v>
      </c>
      <c r="J2235" s="22" t="s">
        <v>364</v>
      </c>
      <c r="K2235" s="22" t="s">
        <v>924</v>
      </c>
      <c r="L2235" s="22" t="s">
        <v>3136</v>
      </c>
      <c r="M2235" s="22" t="s">
        <v>2532</v>
      </c>
      <c r="N2235" s="28" t="s">
        <v>2494</v>
      </c>
      <c r="O2235" s="28" t="s">
        <v>2016</v>
      </c>
      <c r="P2235" s="29">
        <v>1480</v>
      </c>
      <c r="Q2235" s="28" t="s">
        <v>1164</v>
      </c>
      <c r="R2235" s="41">
        <v>0.20685386489999999</v>
      </c>
      <c r="S2235" s="34">
        <v>459952.04</v>
      </c>
      <c r="T2235" s="32">
        <v>7154.8095111111097</v>
      </c>
      <c r="U2235" s="32">
        <v>0</v>
      </c>
      <c r="V2235" s="41">
        <v>0.20685386489999999</v>
      </c>
      <c r="W2235" s="21"/>
      <c r="X2235" s="21"/>
    </row>
    <row r="2236" spans="1:24" ht="15.75" thickBot="1" x14ac:dyDescent="0.3">
      <c r="A2236" t="str">
        <f t="shared" si="34"/>
        <v>RMSBR5B852W</v>
      </c>
      <c r="B2236" s="22" t="s">
        <v>8426</v>
      </c>
      <c r="C2236" s="21"/>
      <c r="D2236" s="22" t="s">
        <v>8427</v>
      </c>
      <c r="E2236" s="22" t="s">
        <v>2527</v>
      </c>
      <c r="F2236" s="22" t="s">
        <v>4939</v>
      </c>
      <c r="G2236" s="28" t="s">
        <v>2012</v>
      </c>
      <c r="H2236" s="22" t="s">
        <v>2536</v>
      </c>
      <c r="I2236" s="22" t="s">
        <v>2537</v>
      </c>
      <c r="J2236" s="22" t="s">
        <v>364</v>
      </c>
      <c r="K2236" s="22" t="s">
        <v>924</v>
      </c>
      <c r="L2236" s="22" t="s">
        <v>2531</v>
      </c>
      <c r="M2236" s="22" t="s">
        <v>2532</v>
      </c>
      <c r="N2236" s="28" t="s">
        <v>2494</v>
      </c>
      <c r="O2236" s="28" t="s">
        <v>2016</v>
      </c>
      <c r="P2236" s="29">
        <v>1054.375</v>
      </c>
      <c r="Q2236" s="28" t="s">
        <v>1164</v>
      </c>
      <c r="R2236" s="21"/>
      <c r="S2236" s="21"/>
      <c r="T2236" s="21"/>
      <c r="U2236" s="21"/>
      <c r="V2236" s="21"/>
      <c r="W2236" s="21"/>
      <c r="X2236" s="21"/>
    </row>
    <row r="2237" spans="1:24" ht="15.75" thickBot="1" x14ac:dyDescent="0.3">
      <c r="A2237" t="str">
        <f t="shared" si="34"/>
        <v>RMSBR61111C98ARL</v>
      </c>
      <c r="B2237" s="22" t="s">
        <v>8428</v>
      </c>
      <c r="C2237" s="22" t="s">
        <v>8429</v>
      </c>
      <c r="D2237" s="22" t="s">
        <v>8430</v>
      </c>
      <c r="E2237" s="22" t="s">
        <v>8431</v>
      </c>
      <c r="F2237" s="22" t="s">
        <v>8432</v>
      </c>
      <c r="G2237" s="28" t="s">
        <v>2012</v>
      </c>
      <c r="H2237" s="22" t="s">
        <v>4402</v>
      </c>
      <c r="I2237" s="22" t="s">
        <v>4403</v>
      </c>
      <c r="J2237" s="22" t="s">
        <v>364</v>
      </c>
      <c r="K2237" s="22" t="s">
        <v>924</v>
      </c>
      <c r="L2237" s="22" t="s">
        <v>3136</v>
      </c>
      <c r="M2237" s="22" t="s">
        <v>2532</v>
      </c>
      <c r="N2237" s="28" t="s">
        <v>2494</v>
      </c>
      <c r="O2237" s="28" t="s">
        <v>2016</v>
      </c>
      <c r="P2237" s="29">
        <v>0</v>
      </c>
      <c r="Q2237" s="28" t="s">
        <v>1164</v>
      </c>
      <c r="R2237" s="21"/>
      <c r="S2237" s="21"/>
      <c r="T2237" s="21"/>
      <c r="U2237" s="21"/>
      <c r="V2237" s="21"/>
      <c r="W2237" s="21"/>
      <c r="X2237" s="21"/>
    </row>
    <row r="2238" spans="1:24" ht="15.75" thickBot="1" x14ac:dyDescent="0.3">
      <c r="A2238" t="str">
        <f t="shared" si="34"/>
        <v>RMSBR6C038D</v>
      </c>
      <c r="B2238" s="22" t="s">
        <v>8433</v>
      </c>
      <c r="C2238" s="22" t="s">
        <v>8434</v>
      </c>
      <c r="D2238" s="22" t="s">
        <v>8435</v>
      </c>
      <c r="E2238" s="22" t="s">
        <v>3132</v>
      </c>
      <c r="F2238" s="22" t="s">
        <v>3133</v>
      </c>
      <c r="G2238" s="28" t="s">
        <v>2012</v>
      </c>
      <c r="H2238" s="22" t="s">
        <v>2549</v>
      </c>
      <c r="I2238" s="22" t="s">
        <v>2550</v>
      </c>
      <c r="J2238" s="22" t="s">
        <v>364</v>
      </c>
      <c r="K2238" s="22" t="s">
        <v>924</v>
      </c>
      <c r="L2238" s="22" t="s">
        <v>3136</v>
      </c>
      <c r="M2238" s="22" t="s">
        <v>2532</v>
      </c>
      <c r="N2238" s="28" t="s">
        <v>2494</v>
      </c>
      <c r="O2238" s="28" t="s">
        <v>2016</v>
      </c>
      <c r="P2238" s="29">
        <v>6757</v>
      </c>
      <c r="Q2238" s="28" t="s">
        <v>1164</v>
      </c>
      <c r="R2238" s="21"/>
      <c r="S2238" s="21"/>
      <c r="T2238" s="21"/>
      <c r="U2238" s="21"/>
      <c r="V2238" s="21"/>
      <c r="W2238" s="21"/>
      <c r="X2238" s="21"/>
    </row>
    <row r="2239" spans="1:24" ht="15.75" thickBot="1" x14ac:dyDescent="0.3">
      <c r="A2239" t="str">
        <f t="shared" si="34"/>
        <v>RMSBRS28126APIA01</v>
      </c>
      <c r="B2239" s="22" t="s">
        <v>8436</v>
      </c>
      <c r="C2239" s="22" t="s">
        <v>8437</v>
      </c>
      <c r="D2239" s="22" t="s">
        <v>8438</v>
      </c>
      <c r="E2239" s="22" t="s">
        <v>3123</v>
      </c>
      <c r="F2239" s="22" t="s">
        <v>8439</v>
      </c>
      <c r="G2239" s="28" t="s">
        <v>2012</v>
      </c>
      <c r="H2239" s="22" t="s">
        <v>2549</v>
      </c>
      <c r="I2239" s="22" t="s">
        <v>2550</v>
      </c>
      <c r="J2239" s="22" t="s">
        <v>364</v>
      </c>
      <c r="K2239" s="22" t="s">
        <v>924</v>
      </c>
      <c r="L2239" s="22" t="s">
        <v>2558</v>
      </c>
      <c r="M2239" s="22" t="s">
        <v>2532</v>
      </c>
      <c r="N2239" s="28" t="s">
        <v>2494</v>
      </c>
      <c r="O2239" s="28" t="s">
        <v>2016</v>
      </c>
      <c r="P2239" s="29">
        <v>0</v>
      </c>
      <c r="Q2239" s="28" t="s">
        <v>1164</v>
      </c>
      <c r="R2239" s="21"/>
      <c r="S2239" s="21"/>
      <c r="T2239" s="21"/>
      <c r="U2239" s="21"/>
      <c r="V2239" s="21"/>
      <c r="W2239" s="21"/>
      <c r="X2239" s="21"/>
    </row>
    <row r="2240" spans="1:24" ht="15.75" thickBot="1" x14ac:dyDescent="0.3">
      <c r="A2240" t="str">
        <f t="shared" si="34"/>
        <v>RMSBRS517C84</v>
      </c>
      <c r="B2240" s="22" t="s">
        <v>8440</v>
      </c>
      <c r="C2240" s="22" t="s">
        <v>8441</v>
      </c>
      <c r="D2240" s="22" t="s">
        <v>8442</v>
      </c>
      <c r="E2240" s="22" t="s">
        <v>3132</v>
      </c>
      <c r="F2240" s="22" t="s">
        <v>8443</v>
      </c>
      <c r="G2240" s="28" t="s">
        <v>2012</v>
      </c>
      <c r="H2240" s="22" t="s">
        <v>2852</v>
      </c>
      <c r="I2240" s="22" t="s">
        <v>2853</v>
      </c>
      <c r="J2240" s="22" t="s">
        <v>364</v>
      </c>
      <c r="K2240" s="22" t="s">
        <v>924</v>
      </c>
      <c r="L2240" s="22" t="s">
        <v>3136</v>
      </c>
      <c r="M2240" s="22" t="s">
        <v>2532</v>
      </c>
      <c r="N2240" s="28" t="s">
        <v>2494</v>
      </c>
      <c r="O2240" s="28" t="s">
        <v>2016</v>
      </c>
      <c r="P2240" s="29">
        <v>0</v>
      </c>
      <c r="Q2240" s="28" t="s">
        <v>1164</v>
      </c>
      <c r="R2240" s="41">
        <v>0</v>
      </c>
      <c r="S2240" s="34">
        <v>10027.562</v>
      </c>
      <c r="T2240" s="32">
        <v>155.98429777777801</v>
      </c>
      <c r="U2240" s="32">
        <v>0</v>
      </c>
      <c r="V2240" s="41">
        <v>0</v>
      </c>
      <c r="W2240" s="21"/>
      <c r="X2240" s="21"/>
    </row>
    <row r="2241" spans="1:24" ht="15.75" thickBot="1" x14ac:dyDescent="0.3">
      <c r="A2241" t="str">
        <f t="shared" si="34"/>
        <v>RMSBRX502A74A</v>
      </c>
      <c r="B2241" s="22" t="s">
        <v>8444</v>
      </c>
      <c r="C2241" s="22" t="s">
        <v>8445</v>
      </c>
      <c r="D2241" s="22" t="s">
        <v>8446</v>
      </c>
      <c r="E2241" s="22" t="s">
        <v>3132</v>
      </c>
      <c r="F2241" s="22" t="s">
        <v>3976</v>
      </c>
      <c r="G2241" s="28" t="s">
        <v>2012</v>
      </c>
      <c r="H2241" s="22" t="s">
        <v>2716</v>
      </c>
      <c r="I2241" s="22" t="s">
        <v>2717</v>
      </c>
      <c r="J2241" s="22" t="s">
        <v>364</v>
      </c>
      <c r="K2241" s="22" t="s">
        <v>924</v>
      </c>
      <c r="L2241" s="22" t="s">
        <v>3136</v>
      </c>
      <c r="M2241" s="22" t="s">
        <v>2532</v>
      </c>
      <c r="N2241" s="28" t="s">
        <v>2494</v>
      </c>
      <c r="O2241" s="28" t="s">
        <v>2016</v>
      </c>
      <c r="P2241" s="29">
        <v>0</v>
      </c>
      <c r="Q2241" s="28" t="s">
        <v>1164</v>
      </c>
      <c r="R2241" s="41">
        <v>0</v>
      </c>
      <c r="S2241" s="34">
        <v>7.5422000000000002</v>
      </c>
      <c r="T2241" s="32">
        <v>0.11732311111099999</v>
      </c>
      <c r="U2241" s="32">
        <v>0</v>
      </c>
      <c r="V2241" s="41">
        <v>0</v>
      </c>
      <c r="W2241" s="21"/>
      <c r="X2241" s="21"/>
    </row>
    <row r="2242" spans="1:24" ht="15.75" thickBot="1" x14ac:dyDescent="0.3">
      <c r="A2242" t="str">
        <f t="shared" si="34"/>
        <v>RMSBRX502D12A</v>
      </c>
      <c r="B2242" s="22" t="s">
        <v>8447</v>
      </c>
      <c r="C2242" s="22" t="s">
        <v>8448</v>
      </c>
      <c r="D2242" s="22" t="s">
        <v>4716</v>
      </c>
      <c r="E2242" s="22" t="s">
        <v>3132</v>
      </c>
      <c r="F2242" s="22" t="s">
        <v>8449</v>
      </c>
      <c r="G2242" s="28" t="s">
        <v>2012</v>
      </c>
      <c r="H2242" s="22" t="s">
        <v>2549</v>
      </c>
      <c r="I2242" s="22" t="s">
        <v>2550</v>
      </c>
      <c r="J2242" s="22" t="s">
        <v>364</v>
      </c>
      <c r="K2242" s="22" t="s">
        <v>924</v>
      </c>
      <c r="L2242" s="22" t="s">
        <v>3136</v>
      </c>
      <c r="M2242" s="22" t="s">
        <v>2532</v>
      </c>
      <c r="N2242" s="28" t="s">
        <v>2494</v>
      </c>
      <c r="O2242" s="28" t="s">
        <v>2016</v>
      </c>
      <c r="P2242" s="29">
        <v>19455</v>
      </c>
      <c r="Q2242" s="28" t="s">
        <v>1164</v>
      </c>
      <c r="R2242" s="21"/>
      <c r="S2242" s="21"/>
      <c r="T2242" s="21"/>
      <c r="U2242" s="21"/>
      <c r="V2242" s="21"/>
      <c r="W2242" s="21"/>
      <c r="X2242" s="21"/>
    </row>
    <row r="2243" spans="1:24" ht="15.75" thickBot="1" x14ac:dyDescent="0.3">
      <c r="A2243" t="str">
        <f t="shared" si="34"/>
        <v>RMSDT41516</v>
      </c>
      <c r="B2243" s="22" t="s">
        <v>8450</v>
      </c>
      <c r="C2243" s="22" t="s">
        <v>8451</v>
      </c>
      <c r="D2243" s="22" t="s">
        <v>8452</v>
      </c>
      <c r="E2243" s="22" t="s">
        <v>2527</v>
      </c>
      <c r="F2243" s="22" t="s">
        <v>8453</v>
      </c>
      <c r="G2243" s="28" t="s">
        <v>2012</v>
      </c>
      <c r="H2243" s="22" t="s">
        <v>2013</v>
      </c>
      <c r="I2243" s="21"/>
      <c r="J2243" s="22" t="s">
        <v>394</v>
      </c>
      <c r="K2243" s="22" t="s">
        <v>924</v>
      </c>
      <c r="L2243" s="22" t="s">
        <v>2531</v>
      </c>
      <c r="M2243" s="22" t="s">
        <v>2532</v>
      </c>
      <c r="N2243" s="28" t="s">
        <v>2494</v>
      </c>
      <c r="O2243" s="28" t="s">
        <v>2016</v>
      </c>
      <c r="P2243" s="29">
        <v>6360</v>
      </c>
      <c r="Q2243" s="28" t="s">
        <v>1164</v>
      </c>
      <c r="R2243" s="21"/>
      <c r="S2243" s="21"/>
      <c r="T2243" s="21"/>
      <c r="U2243" s="21"/>
      <c r="V2243" s="21"/>
      <c r="W2243" s="21"/>
      <c r="X2243" s="21"/>
    </row>
    <row r="2244" spans="1:24" ht="15.75" thickBot="1" x14ac:dyDescent="0.3">
      <c r="A2244" t="str">
        <f t="shared" si="34"/>
        <v>RMSDT42642</v>
      </c>
      <c r="B2244" s="22" t="s">
        <v>8454</v>
      </c>
      <c r="C2244" s="22" t="s">
        <v>8455</v>
      </c>
      <c r="D2244" s="22" t="s">
        <v>8456</v>
      </c>
      <c r="E2244" s="22" t="s">
        <v>2527</v>
      </c>
      <c r="F2244" s="22" t="s">
        <v>8453</v>
      </c>
      <c r="G2244" s="28" t="s">
        <v>2012</v>
      </c>
      <c r="H2244" s="22" t="s">
        <v>2013</v>
      </c>
      <c r="I2244" s="21"/>
      <c r="J2244" s="22" t="s">
        <v>394</v>
      </c>
      <c r="K2244" s="22" t="s">
        <v>924</v>
      </c>
      <c r="L2244" s="22" t="s">
        <v>2531</v>
      </c>
      <c r="M2244" s="22" t="s">
        <v>2532</v>
      </c>
      <c r="N2244" s="28" t="s">
        <v>2494</v>
      </c>
      <c r="O2244" s="28" t="s">
        <v>2016</v>
      </c>
      <c r="P2244" s="29">
        <v>5869</v>
      </c>
      <c r="Q2244" s="28" t="s">
        <v>1164</v>
      </c>
      <c r="R2244" s="21"/>
      <c r="S2244" s="21"/>
      <c r="T2244" s="21"/>
      <c r="U2244" s="21"/>
      <c r="V2244" s="21"/>
      <c r="W2244" s="21"/>
      <c r="X2244" s="21"/>
    </row>
    <row r="2245" spans="1:24" ht="15.75" thickBot="1" x14ac:dyDescent="0.3">
      <c r="A2245" t="str">
        <f t="shared" ref="A2245:A2306" si="35">TRIM(B2245)</f>
        <v>RMSDT56922</v>
      </c>
      <c r="B2245" s="22" t="s">
        <v>8457</v>
      </c>
      <c r="C2245" s="22" t="s">
        <v>6518</v>
      </c>
      <c r="D2245" s="22" t="s">
        <v>8458</v>
      </c>
      <c r="E2245" s="22" t="s">
        <v>2527</v>
      </c>
      <c r="F2245" s="22" t="s">
        <v>8453</v>
      </c>
      <c r="G2245" s="28" t="s">
        <v>2012</v>
      </c>
      <c r="H2245" s="22" t="s">
        <v>2013</v>
      </c>
      <c r="I2245" s="21"/>
      <c r="J2245" s="22" t="s">
        <v>394</v>
      </c>
      <c r="K2245" s="22" t="s">
        <v>924</v>
      </c>
      <c r="L2245" s="22" t="s">
        <v>2531</v>
      </c>
      <c r="M2245" s="22" t="s">
        <v>2532</v>
      </c>
      <c r="N2245" s="28" t="s">
        <v>2494</v>
      </c>
      <c r="O2245" s="28" t="s">
        <v>2016</v>
      </c>
      <c r="P2245" s="29">
        <v>6175</v>
      </c>
      <c r="Q2245" s="28" t="s">
        <v>1164</v>
      </c>
      <c r="R2245" s="21"/>
      <c r="S2245" s="21"/>
      <c r="T2245" s="21"/>
      <c r="U2245" s="21"/>
      <c r="V2245" s="21"/>
      <c r="W2245" s="21"/>
      <c r="X2245" s="21"/>
    </row>
    <row r="2246" spans="1:24" ht="15.75" thickBot="1" x14ac:dyDescent="0.3">
      <c r="A2246" t="str">
        <f t="shared" si="35"/>
        <v>RMSE104B02</v>
      </c>
      <c r="B2246" s="22" t="s">
        <v>8459</v>
      </c>
      <c r="C2246" s="22" t="s">
        <v>8460</v>
      </c>
      <c r="D2246" s="22" t="s">
        <v>8461</v>
      </c>
      <c r="E2246" s="22" t="s">
        <v>2527</v>
      </c>
      <c r="F2246" s="22" t="s">
        <v>2570</v>
      </c>
      <c r="G2246" s="28" t="s">
        <v>2012</v>
      </c>
      <c r="H2246" s="22" t="s">
        <v>2716</v>
      </c>
      <c r="I2246" s="22" t="s">
        <v>2717</v>
      </c>
      <c r="J2246" s="22" t="s">
        <v>261</v>
      </c>
      <c r="K2246" s="22" t="s">
        <v>924</v>
      </c>
      <c r="L2246" s="22" t="s">
        <v>2531</v>
      </c>
      <c r="M2246" s="22" t="s">
        <v>2532</v>
      </c>
      <c r="N2246" s="28" t="s">
        <v>2494</v>
      </c>
      <c r="O2246" s="28" t="s">
        <v>2016</v>
      </c>
      <c r="P2246" s="29">
        <v>0</v>
      </c>
      <c r="Q2246" s="28" t="s">
        <v>1164</v>
      </c>
      <c r="R2246" s="41">
        <v>0</v>
      </c>
      <c r="S2246" s="34">
        <v>17059.52</v>
      </c>
      <c r="T2246" s="32">
        <v>265.37031111111099</v>
      </c>
      <c r="U2246" s="32">
        <v>0</v>
      </c>
      <c r="V2246" s="41">
        <v>0</v>
      </c>
      <c r="W2246" s="21"/>
      <c r="X2246" s="21"/>
    </row>
    <row r="2247" spans="1:24" ht="15.75" thickBot="1" x14ac:dyDescent="0.3">
      <c r="A2247" t="str">
        <f t="shared" si="35"/>
        <v>RMSE105A88RL</v>
      </c>
      <c r="B2247" s="22" t="s">
        <v>8462</v>
      </c>
      <c r="C2247" s="22" t="s">
        <v>8463</v>
      </c>
      <c r="D2247" s="22" t="s">
        <v>8464</v>
      </c>
      <c r="E2247" s="22" t="s">
        <v>2527</v>
      </c>
      <c r="F2247" s="22" t="s">
        <v>8465</v>
      </c>
      <c r="G2247" s="28" t="s">
        <v>2012</v>
      </c>
      <c r="H2247" s="22" t="s">
        <v>2556</v>
      </c>
      <c r="I2247" s="22" t="s">
        <v>2557</v>
      </c>
      <c r="J2247" s="22" t="s">
        <v>261</v>
      </c>
      <c r="K2247" s="22" t="s">
        <v>924</v>
      </c>
      <c r="L2247" s="22" t="s">
        <v>2531</v>
      </c>
      <c r="M2247" s="22" t="s">
        <v>2532</v>
      </c>
      <c r="N2247" s="28" t="s">
        <v>2494</v>
      </c>
      <c r="O2247" s="28" t="s">
        <v>2016</v>
      </c>
      <c r="P2247" s="29">
        <v>96.644000000000005</v>
      </c>
      <c r="Q2247" s="28" t="s">
        <v>1164</v>
      </c>
      <c r="R2247" s="41">
        <v>0.315974300629</v>
      </c>
      <c r="S2247" s="34">
        <v>19662.449000000001</v>
      </c>
      <c r="T2247" s="32">
        <v>305.86031777777799</v>
      </c>
      <c r="U2247" s="32">
        <v>0</v>
      </c>
      <c r="V2247" s="41">
        <v>0.315974300629</v>
      </c>
      <c r="W2247" s="21"/>
      <c r="X2247" s="21"/>
    </row>
    <row r="2248" spans="1:24" ht="15.75" thickBot="1" x14ac:dyDescent="0.3">
      <c r="A2248" t="str">
        <f t="shared" si="35"/>
        <v>RMSE190995A</v>
      </c>
      <c r="B2248" s="22" t="s">
        <v>8466</v>
      </c>
      <c r="C2248" s="22" t="s">
        <v>8467</v>
      </c>
      <c r="D2248" s="22" t="s">
        <v>8468</v>
      </c>
      <c r="E2248" s="22" t="s">
        <v>2554</v>
      </c>
      <c r="F2248" s="22" t="s">
        <v>2555</v>
      </c>
      <c r="G2248" s="28" t="s">
        <v>2012</v>
      </c>
      <c r="H2248" s="22" t="s">
        <v>2556</v>
      </c>
      <c r="I2248" s="22" t="s">
        <v>2557</v>
      </c>
      <c r="J2248" s="22" t="s">
        <v>261</v>
      </c>
      <c r="K2248" s="22" t="s">
        <v>924</v>
      </c>
      <c r="L2248" s="22" t="s">
        <v>2558</v>
      </c>
      <c r="M2248" s="22" t="s">
        <v>2532</v>
      </c>
      <c r="N2248" s="28" t="s">
        <v>2494</v>
      </c>
      <c r="O2248" s="28" t="s">
        <v>2016</v>
      </c>
      <c r="P2248" s="29">
        <v>0</v>
      </c>
      <c r="Q2248" s="28" t="s">
        <v>1164</v>
      </c>
      <c r="R2248" s="41">
        <v>0</v>
      </c>
      <c r="S2248" s="34">
        <v>23802.420999999998</v>
      </c>
      <c r="T2248" s="32">
        <v>370.25988222222202</v>
      </c>
      <c r="U2248" s="32">
        <v>0</v>
      </c>
      <c r="V2248" s="41">
        <v>0</v>
      </c>
      <c r="W2248" s="21"/>
      <c r="X2248" s="21"/>
    </row>
    <row r="2249" spans="1:24" ht="15.75" thickBot="1" x14ac:dyDescent="0.3">
      <c r="A2249" t="str">
        <f t="shared" si="35"/>
        <v>RMSE26290RL</v>
      </c>
      <c r="B2249" s="22" t="s">
        <v>8469</v>
      </c>
      <c r="C2249" s="22" t="s">
        <v>8470</v>
      </c>
      <c r="D2249" s="22" t="s">
        <v>8471</v>
      </c>
      <c r="E2249" s="22" t="s">
        <v>2527</v>
      </c>
      <c r="F2249" s="22" t="s">
        <v>8308</v>
      </c>
      <c r="G2249" s="28" t="s">
        <v>2012</v>
      </c>
      <c r="H2249" s="22" t="s">
        <v>2716</v>
      </c>
      <c r="I2249" s="22" t="s">
        <v>2717</v>
      </c>
      <c r="J2249" s="22" t="s">
        <v>261</v>
      </c>
      <c r="K2249" s="22" t="s">
        <v>924</v>
      </c>
      <c r="L2249" s="22" t="s">
        <v>2531</v>
      </c>
      <c r="M2249" s="22" t="s">
        <v>2532</v>
      </c>
      <c r="N2249" s="28" t="s">
        <v>2494</v>
      </c>
      <c r="O2249" s="28" t="s">
        <v>2016</v>
      </c>
      <c r="P2249" s="29">
        <v>453.048</v>
      </c>
      <c r="Q2249" s="28" t="s">
        <v>1164</v>
      </c>
      <c r="R2249" s="41">
        <v>0.54073603349199995</v>
      </c>
      <c r="S2249" s="34">
        <v>53860.872000000003</v>
      </c>
      <c r="T2249" s="32">
        <v>837.83578666666699</v>
      </c>
      <c r="U2249" s="32">
        <v>0</v>
      </c>
      <c r="V2249" s="41">
        <v>0.54073603349199995</v>
      </c>
      <c r="W2249" s="21"/>
      <c r="X2249" s="21"/>
    </row>
    <row r="2250" spans="1:24" ht="15.75" thickBot="1" x14ac:dyDescent="0.3">
      <c r="A2250" t="str">
        <f t="shared" si="35"/>
        <v>RMSE279E12RL</v>
      </c>
      <c r="B2250" s="22" t="s">
        <v>8472</v>
      </c>
      <c r="C2250" s="22" t="s">
        <v>8473</v>
      </c>
      <c r="D2250" s="22" t="s">
        <v>8474</v>
      </c>
      <c r="E2250" s="22" t="s">
        <v>2527</v>
      </c>
      <c r="F2250" s="22" t="s">
        <v>2570</v>
      </c>
      <c r="G2250" s="28" t="s">
        <v>2012</v>
      </c>
      <c r="H2250" s="22" t="s">
        <v>2716</v>
      </c>
      <c r="I2250" s="22" t="s">
        <v>2717</v>
      </c>
      <c r="J2250" s="22" t="s">
        <v>261</v>
      </c>
      <c r="K2250" s="22" t="s">
        <v>924</v>
      </c>
      <c r="L2250" s="22" t="s">
        <v>2531</v>
      </c>
      <c r="M2250" s="22" t="s">
        <v>2532</v>
      </c>
      <c r="N2250" s="28" t="s">
        <v>2494</v>
      </c>
      <c r="O2250" s="28" t="s">
        <v>2016</v>
      </c>
      <c r="P2250" s="29">
        <v>0</v>
      </c>
      <c r="Q2250" s="28" t="s">
        <v>1164</v>
      </c>
      <c r="R2250" s="41">
        <v>0</v>
      </c>
      <c r="S2250" s="34">
        <v>14987.531999999999</v>
      </c>
      <c r="T2250" s="32">
        <v>233.13938666666701</v>
      </c>
      <c r="U2250" s="32">
        <v>0</v>
      </c>
      <c r="V2250" s="41">
        <v>0</v>
      </c>
      <c r="W2250" s="21"/>
      <c r="X2250" s="21"/>
    </row>
    <row r="2251" spans="1:24" ht="15.75" thickBot="1" x14ac:dyDescent="0.3">
      <c r="A2251" t="str">
        <f t="shared" si="35"/>
        <v>RMSE312A48-01</v>
      </c>
      <c r="B2251" s="22" t="s">
        <v>8475</v>
      </c>
      <c r="C2251" s="22" t="s">
        <v>8476</v>
      </c>
      <c r="D2251" s="22" t="s">
        <v>8477</v>
      </c>
      <c r="E2251" s="22" t="s">
        <v>3123</v>
      </c>
      <c r="F2251" s="22" t="s">
        <v>8478</v>
      </c>
      <c r="G2251" s="28" t="s">
        <v>2012</v>
      </c>
      <c r="H2251" s="22" t="s">
        <v>2847</v>
      </c>
      <c r="I2251" s="22" t="s">
        <v>2848</v>
      </c>
      <c r="J2251" s="22" t="s">
        <v>261</v>
      </c>
      <c r="K2251" s="22" t="s">
        <v>924</v>
      </c>
      <c r="L2251" s="22" t="s">
        <v>2558</v>
      </c>
      <c r="M2251" s="22" t="s">
        <v>2532</v>
      </c>
      <c r="N2251" s="28" t="s">
        <v>2494</v>
      </c>
      <c r="O2251" s="28" t="s">
        <v>2016</v>
      </c>
      <c r="P2251" s="29">
        <v>0</v>
      </c>
      <c r="Q2251" s="28" t="s">
        <v>1164</v>
      </c>
      <c r="R2251" s="41">
        <v>0</v>
      </c>
      <c r="S2251" s="34">
        <v>29973.108</v>
      </c>
      <c r="T2251" s="32">
        <v>466.24834666666698</v>
      </c>
      <c r="U2251" s="32">
        <v>0</v>
      </c>
      <c r="V2251" s="41">
        <v>0</v>
      </c>
      <c r="W2251" s="21"/>
      <c r="X2251" s="21"/>
    </row>
    <row r="2252" spans="1:24" ht="15.75" thickBot="1" x14ac:dyDescent="0.3">
      <c r="A2252" t="str">
        <f t="shared" si="35"/>
        <v>RMSE312A49-01</v>
      </c>
      <c r="B2252" s="22" t="s">
        <v>8479</v>
      </c>
      <c r="C2252" s="22" t="s">
        <v>8480</v>
      </c>
      <c r="D2252" s="22" t="s">
        <v>8481</v>
      </c>
      <c r="E2252" s="22" t="s">
        <v>2554</v>
      </c>
      <c r="F2252" s="22" t="s">
        <v>8482</v>
      </c>
      <c r="G2252" s="28" t="s">
        <v>2012</v>
      </c>
      <c r="H2252" s="22" t="s">
        <v>2847</v>
      </c>
      <c r="I2252" s="22" t="s">
        <v>2848</v>
      </c>
      <c r="J2252" s="22" t="s">
        <v>261</v>
      </c>
      <c r="K2252" s="22" t="s">
        <v>924</v>
      </c>
      <c r="L2252" s="22" t="s">
        <v>2558</v>
      </c>
      <c r="M2252" s="22" t="s">
        <v>2532</v>
      </c>
      <c r="N2252" s="28" t="s">
        <v>2494</v>
      </c>
      <c r="O2252" s="28" t="s">
        <v>2016</v>
      </c>
      <c r="P2252" s="29">
        <v>88.644000000000005</v>
      </c>
      <c r="Q2252" s="28" t="s">
        <v>1164</v>
      </c>
      <c r="R2252" s="41">
        <v>0.89647429656599997</v>
      </c>
      <c r="S2252" s="34">
        <v>6356.616</v>
      </c>
      <c r="T2252" s="32">
        <v>98.880693333332999</v>
      </c>
      <c r="U2252" s="32">
        <v>0</v>
      </c>
      <c r="V2252" s="41">
        <v>0.89647429656599997</v>
      </c>
      <c r="W2252" s="21"/>
      <c r="X2252" s="21"/>
    </row>
    <row r="2253" spans="1:24" ht="15.75" thickBot="1" x14ac:dyDescent="0.3">
      <c r="A2253" t="str">
        <f t="shared" si="35"/>
        <v>RMSE40396</v>
      </c>
      <c r="B2253" s="22" t="s">
        <v>8483</v>
      </c>
      <c r="C2253" s="22" t="s">
        <v>3404</v>
      </c>
      <c r="D2253" s="22" t="s">
        <v>8484</v>
      </c>
      <c r="E2253" s="22" t="s">
        <v>2527</v>
      </c>
      <c r="F2253" s="22" t="s">
        <v>8485</v>
      </c>
      <c r="G2253" s="28" t="s">
        <v>2012</v>
      </c>
      <c r="H2253" s="22" t="s">
        <v>2536</v>
      </c>
      <c r="I2253" s="22" t="s">
        <v>2537</v>
      </c>
      <c r="J2253" s="22" t="s">
        <v>261</v>
      </c>
      <c r="K2253" s="22" t="s">
        <v>924</v>
      </c>
      <c r="L2253" s="22" t="s">
        <v>2531</v>
      </c>
      <c r="M2253" s="22" t="s">
        <v>2532</v>
      </c>
      <c r="N2253" s="28" t="s">
        <v>2494</v>
      </c>
      <c r="O2253" s="28" t="s">
        <v>2016</v>
      </c>
      <c r="P2253" s="29">
        <v>2888.0140000000001</v>
      </c>
      <c r="Q2253" s="28" t="s">
        <v>1164</v>
      </c>
      <c r="R2253" s="21"/>
      <c r="S2253" s="21"/>
      <c r="T2253" s="21"/>
      <c r="U2253" s="21"/>
      <c r="V2253" s="21"/>
      <c r="W2253" s="21"/>
      <c r="X2253" s="21"/>
    </row>
    <row r="2254" spans="1:24" ht="15.75" thickBot="1" x14ac:dyDescent="0.3">
      <c r="A2254" t="str">
        <f t="shared" si="35"/>
        <v>RMSE41022RL</v>
      </c>
      <c r="B2254" s="22" t="s">
        <v>8486</v>
      </c>
      <c r="C2254" s="22" t="s">
        <v>8487</v>
      </c>
      <c r="D2254" s="22" t="s">
        <v>8488</v>
      </c>
      <c r="E2254" s="22" t="s">
        <v>2527</v>
      </c>
      <c r="F2254" s="22" t="s">
        <v>2857</v>
      </c>
      <c r="G2254" s="28" t="s">
        <v>2012</v>
      </c>
      <c r="H2254" s="22" t="s">
        <v>2858</v>
      </c>
      <c r="I2254" s="22" t="s">
        <v>2859</v>
      </c>
      <c r="J2254" s="22" t="s">
        <v>261</v>
      </c>
      <c r="K2254" s="22" t="s">
        <v>924</v>
      </c>
      <c r="L2254" s="22" t="s">
        <v>2531</v>
      </c>
      <c r="M2254" s="22" t="s">
        <v>2532</v>
      </c>
      <c r="N2254" s="28" t="s">
        <v>2494</v>
      </c>
      <c r="O2254" s="28" t="s">
        <v>2016</v>
      </c>
      <c r="P2254" s="29">
        <v>40.314999999999998</v>
      </c>
      <c r="Q2254" s="28" t="s">
        <v>1164</v>
      </c>
      <c r="R2254" s="41">
        <v>2.3462376851999998E-2</v>
      </c>
      <c r="S2254" s="34">
        <v>110461.041</v>
      </c>
      <c r="T2254" s="32">
        <v>1718.28286</v>
      </c>
      <c r="U2254" s="32">
        <v>0</v>
      </c>
      <c r="V2254" s="41">
        <v>2.3462376851999998E-2</v>
      </c>
      <c r="W2254" s="21"/>
      <c r="X2254" s="21"/>
    </row>
    <row r="2255" spans="1:24" ht="15.75" thickBot="1" x14ac:dyDescent="0.3">
      <c r="A2255" t="str">
        <f t="shared" si="35"/>
        <v>RMSE410A36RLAA</v>
      </c>
      <c r="B2255" s="22" t="s">
        <v>8489</v>
      </c>
      <c r="C2255" s="21"/>
      <c r="D2255" s="22" t="s">
        <v>8490</v>
      </c>
      <c r="E2255" s="22" t="s">
        <v>8491</v>
      </c>
      <c r="F2255" s="22" t="s">
        <v>8492</v>
      </c>
      <c r="G2255" s="28" t="s">
        <v>2012</v>
      </c>
      <c r="H2255" s="22" t="s">
        <v>2013</v>
      </c>
      <c r="I2255" s="21"/>
      <c r="J2255" s="22" t="s">
        <v>261</v>
      </c>
      <c r="K2255" s="22" t="s">
        <v>924</v>
      </c>
      <c r="L2255" s="22" t="s">
        <v>2531</v>
      </c>
      <c r="M2255" s="22" t="s">
        <v>2532</v>
      </c>
      <c r="N2255" s="28" t="s">
        <v>2494</v>
      </c>
      <c r="O2255" s="28" t="s">
        <v>2016</v>
      </c>
      <c r="P2255" s="29">
        <v>4374.2359999999999</v>
      </c>
      <c r="Q2255" s="28" t="s">
        <v>1164</v>
      </c>
      <c r="R2255" s="21"/>
      <c r="S2255" s="21"/>
      <c r="T2255" s="21"/>
      <c r="U2255" s="21"/>
      <c r="V2255" s="21"/>
      <c r="W2255" s="21"/>
      <c r="X2255" s="21"/>
    </row>
    <row r="2256" spans="1:24" ht="15.75" thickBot="1" x14ac:dyDescent="0.3">
      <c r="A2256" t="str">
        <f t="shared" si="35"/>
        <v>RMSGM84117805</v>
      </c>
      <c r="B2256" s="22" t="s">
        <v>8493</v>
      </c>
      <c r="C2256" s="22" t="s">
        <v>8237</v>
      </c>
      <c r="D2256" s="22" t="s">
        <v>8494</v>
      </c>
      <c r="E2256" s="22" t="s">
        <v>2720</v>
      </c>
      <c r="F2256" s="22" t="s">
        <v>8495</v>
      </c>
      <c r="G2256" s="28" t="s">
        <v>5499</v>
      </c>
      <c r="H2256" s="22" t="s">
        <v>8496</v>
      </c>
      <c r="I2256" s="22" t="s">
        <v>8497</v>
      </c>
      <c r="J2256" s="22" t="s">
        <v>404</v>
      </c>
      <c r="K2256" s="22" t="s">
        <v>924</v>
      </c>
      <c r="L2256" s="22" t="s">
        <v>2531</v>
      </c>
      <c r="M2256" s="22" t="s">
        <v>2532</v>
      </c>
      <c r="N2256" s="28" t="s">
        <v>2494</v>
      </c>
      <c r="O2256" s="28" t="s">
        <v>2016</v>
      </c>
      <c r="P2256" s="29">
        <v>2020</v>
      </c>
      <c r="Q2256" s="28" t="s">
        <v>1164</v>
      </c>
      <c r="R2256" s="21"/>
      <c r="S2256" s="21"/>
      <c r="T2256" s="21"/>
      <c r="U2256" s="21"/>
      <c r="V2256" s="21"/>
      <c r="W2256" s="21"/>
      <c r="X2256" s="21"/>
    </row>
    <row r="2257" spans="1:24" ht="15.75" thickBot="1" x14ac:dyDescent="0.3">
      <c r="A2257" t="str">
        <f t="shared" si="35"/>
        <v>RMSGM85154949</v>
      </c>
      <c r="B2257" s="22" t="s">
        <v>8498</v>
      </c>
      <c r="C2257" s="22" t="s">
        <v>8499</v>
      </c>
      <c r="D2257" s="22" t="s">
        <v>8500</v>
      </c>
      <c r="E2257" s="22" t="s">
        <v>2527</v>
      </c>
      <c r="F2257" s="22" t="s">
        <v>8501</v>
      </c>
      <c r="G2257" s="28" t="s">
        <v>2012</v>
      </c>
      <c r="H2257" s="22" t="s">
        <v>2013</v>
      </c>
      <c r="I2257" s="21"/>
      <c r="J2257" s="22" t="s">
        <v>404</v>
      </c>
      <c r="K2257" s="22" t="s">
        <v>924</v>
      </c>
      <c r="L2257" s="22" t="s">
        <v>2531</v>
      </c>
      <c r="M2257" s="22" t="s">
        <v>2532</v>
      </c>
      <c r="N2257" s="28" t="s">
        <v>2494</v>
      </c>
      <c r="O2257" s="28" t="s">
        <v>2016</v>
      </c>
      <c r="P2257" s="29">
        <v>867</v>
      </c>
      <c r="Q2257" s="28" t="s">
        <v>1164</v>
      </c>
      <c r="R2257" s="21"/>
      <c r="S2257" s="21"/>
      <c r="T2257" s="21"/>
      <c r="U2257" s="21"/>
      <c r="V2257" s="21"/>
      <c r="W2257" s="21"/>
      <c r="X2257" s="21"/>
    </row>
    <row r="2258" spans="1:24" ht="15.75" thickBot="1" x14ac:dyDescent="0.3">
      <c r="A2258" t="str">
        <f t="shared" si="35"/>
        <v>RMSGM85861637</v>
      </c>
      <c r="B2258" s="22" t="s">
        <v>8502</v>
      </c>
      <c r="C2258" s="22" t="s">
        <v>2028</v>
      </c>
      <c r="D2258" s="22" t="s">
        <v>8494</v>
      </c>
      <c r="E2258" s="22" t="s">
        <v>2720</v>
      </c>
      <c r="F2258" s="22" t="s">
        <v>8503</v>
      </c>
      <c r="G2258" s="28" t="s">
        <v>2012</v>
      </c>
      <c r="H2258" s="22" t="s">
        <v>8496</v>
      </c>
      <c r="I2258" s="22" t="s">
        <v>8497</v>
      </c>
      <c r="J2258" s="22" t="s">
        <v>404</v>
      </c>
      <c r="K2258" s="22" t="s">
        <v>924</v>
      </c>
      <c r="L2258" s="22" t="s">
        <v>2531</v>
      </c>
      <c r="M2258" s="22" t="s">
        <v>2532</v>
      </c>
      <c r="N2258" s="28" t="s">
        <v>2494</v>
      </c>
      <c r="O2258" s="28" t="s">
        <v>2016</v>
      </c>
      <c r="P2258" s="29">
        <v>31290</v>
      </c>
      <c r="Q2258" s="28" t="s">
        <v>1164</v>
      </c>
      <c r="R2258" s="21"/>
      <c r="S2258" s="21"/>
      <c r="T2258" s="21"/>
      <c r="U2258" s="21"/>
      <c r="V2258" s="21"/>
      <c r="W2258" s="21"/>
      <c r="X2258" s="21"/>
    </row>
    <row r="2259" spans="1:24" ht="15.75" thickBot="1" x14ac:dyDescent="0.3">
      <c r="A2259" t="str">
        <f t="shared" si="35"/>
        <v>RMSGMBEE87993/89750</v>
      </c>
      <c r="B2259" s="22" t="s">
        <v>8504</v>
      </c>
      <c r="C2259" s="22" t="s">
        <v>8505</v>
      </c>
      <c r="D2259" s="22" t="s">
        <v>8506</v>
      </c>
      <c r="E2259" s="22" t="s">
        <v>2527</v>
      </c>
      <c r="F2259" s="22" t="s">
        <v>8507</v>
      </c>
      <c r="G2259" s="28" t="s">
        <v>2012</v>
      </c>
      <c r="H2259" s="22" t="s">
        <v>3658</v>
      </c>
      <c r="I2259" s="22" t="s">
        <v>3659</v>
      </c>
      <c r="J2259" s="22" t="s">
        <v>404</v>
      </c>
      <c r="K2259" s="22" t="s">
        <v>924</v>
      </c>
      <c r="L2259" s="22" t="s">
        <v>2531</v>
      </c>
      <c r="M2259" s="22" t="s">
        <v>2532</v>
      </c>
      <c r="N2259" s="28" t="s">
        <v>2494</v>
      </c>
      <c r="O2259" s="28" t="s">
        <v>2016</v>
      </c>
      <c r="P2259" s="29">
        <v>37540</v>
      </c>
      <c r="Q2259" s="28" t="s">
        <v>3554</v>
      </c>
      <c r="R2259" s="21"/>
      <c r="S2259" s="21"/>
      <c r="T2259" s="21"/>
      <c r="U2259" s="21"/>
      <c r="V2259" s="21"/>
      <c r="W2259" s="21"/>
      <c r="X2259" s="21"/>
    </row>
    <row r="2260" spans="1:24" ht="15.75" thickBot="1" x14ac:dyDescent="0.3">
      <c r="A2260" t="str">
        <f t="shared" si="35"/>
        <v>RMST285775609/10</v>
      </c>
      <c r="B2260" s="22" t="s">
        <v>8508</v>
      </c>
      <c r="C2260" s="22" t="s">
        <v>8509</v>
      </c>
      <c r="D2260" s="22" t="s">
        <v>8510</v>
      </c>
      <c r="E2260" s="22" t="s">
        <v>8511</v>
      </c>
      <c r="F2260" s="22" t="s">
        <v>8512</v>
      </c>
      <c r="G2260" s="28" t="s">
        <v>2012</v>
      </c>
      <c r="H2260" s="22" t="s">
        <v>2013</v>
      </c>
      <c r="I2260" s="21"/>
      <c r="J2260" s="22" t="s">
        <v>404</v>
      </c>
      <c r="K2260" s="22" t="s">
        <v>924</v>
      </c>
      <c r="L2260" s="22" t="s">
        <v>3136</v>
      </c>
      <c r="M2260" s="22" t="s">
        <v>2532</v>
      </c>
      <c r="N2260" s="28" t="s">
        <v>2494</v>
      </c>
      <c r="O2260" s="28" t="s">
        <v>2016</v>
      </c>
      <c r="P2260" s="29">
        <v>3811.6509999999998</v>
      </c>
      <c r="Q2260" s="28" t="s">
        <v>1164</v>
      </c>
      <c r="R2260" s="21"/>
      <c r="S2260" s="21"/>
      <c r="T2260" s="21"/>
      <c r="U2260" s="21"/>
      <c r="V2260" s="21"/>
      <c r="W2260" s="21"/>
      <c r="X2260" s="21"/>
    </row>
    <row r="2261" spans="1:24" ht="15.75" thickBot="1" x14ac:dyDescent="0.3">
      <c r="A2261" t="str">
        <f t="shared" si="35"/>
        <v>RMSU7592K004BARL</v>
      </c>
      <c r="B2261" s="22" t="s">
        <v>8513</v>
      </c>
      <c r="C2261" s="22" t="s">
        <v>8514</v>
      </c>
      <c r="D2261" s="22" t="s">
        <v>8515</v>
      </c>
      <c r="E2261" s="22" t="s">
        <v>2527</v>
      </c>
      <c r="F2261" s="22" t="s">
        <v>8516</v>
      </c>
      <c r="G2261" s="28" t="s">
        <v>5499</v>
      </c>
      <c r="H2261" s="22" t="s">
        <v>2013</v>
      </c>
      <c r="I2261" s="21"/>
      <c r="J2261" s="22" t="s">
        <v>3324</v>
      </c>
      <c r="K2261" s="22" t="s">
        <v>3324</v>
      </c>
      <c r="L2261" s="22" t="s">
        <v>2531</v>
      </c>
      <c r="M2261" s="22" t="s">
        <v>2532</v>
      </c>
      <c r="N2261" s="28" t="s">
        <v>2494</v>
      </c>
      <c r="O2261" s="28" t="s">
        <v>2016</v>
      </c>
      <c r="P2261" s="29">
        <v>12627</v>
      </c>
      <c r="Q2261" s="28" t="s">
        <v>1164</v>
      </c>
      <c r="R2261" s="21"/>
      <c r="S2261" s="21"/>
      <c r="T2261" s="21"/>
      <c r="U2261" s="21"/>
      <c r="V2261" s="21"/>
      <c r="W2261" s="21"/>
      <c r="X2261" s="21"/>
    </row>
    <row r="2262" spans="1:24" ht="15.75" thickBot="1" x14ac:dyDescent="0.3">
      <c r="A2262" t="str">
        <f t="shared" si="35"/>
        <v>RMSU7592K316BARL</v>
      </c>
      <c r="B2262" s="22" t="s">
        <v>8517</v>
      </c>
      <c r="C2262" s="22" t="s">
        <v>8518</v>
      </c>
      <c r="D2262" s="22" t="s">
        <v>8519</v>
      </c>
      <c r="E2262" s="22" t="s">
        <v>2527</v>
      </c>
      <c r="F2262" s="22" t="s">
        <v>8516</v>
      </c>
      <c r="G2262" s="28" t="s">
        <v>5499</v>
      </c>
      <c r="H2262" s="22" t="s">
        <v>2013</v>
      </c>
      <c r="I2262" s="21"/>
      <c r="J2262" s="22" t="s">
        <v>3324</v>
      </c>
      <c r="K2262" s="22" t="s">
        <v>3324</v>
      </c>
      <c r="L2262" s="22" t="s">
        <v>2531</v>
      </c>
      <c r="M2262" s="22" t="s">
        <v>2532</v>
      </c>
      <c r="N2262" s="28" t="s">
        <v>2494</v>
      </c>
      <c r="O2262" s="28" t="s">
        <v>2016</v>
      </c>
      <c r="P2262" s="29">
        <v>13722</v>
      </c>
      <c r="Q2262" s="28" t="s">
        <v>1164</v>
      </c>
      <c r="R2262" s="21"/>
      <c r="S2262" s="21"/>
      <c r="T2262" s="21"/>
      <c r="U2262" s="21"/>
      <c r="V2262" s="21"/>
      <c r="W2262" s="21"/>
      <c r="X2262" s="21"/>
    </row>
    <row r="2263" spans="1:24" ht="15.75" thickBot="1" x14ac:dyDescent="0.3">
      <c r="A2263" t="str">
        <f t="shared" si="35"/>
        <v>RMSWL68424957/8</v>
      </c>
      <c r="B2263" s="22" t="s">
        <v>8520</v>
      </c>
      <c r="C2263" s="22" t="s">
        <v>3407</v>
      </c>
      <c r="D2263" s="22" t="s">
        <v>3408</v>
      </c>
      <c r="E2263" s="22" t="s">
        <v>2527</v>
      </c>
      <c r="F2263" s="22" t="s">
        <v>8521</v>
      </c>
      <c r="G2263" s="28" t="s">
        <v>2012</v>
      </c>
      <c r="H2263" s="22" t="s">
        <v>3987</v>
      </c>
      <c r="I2263" s="22" t="s">
        <v>3988</v>
      </c>
      <c r="J2263" s="22" t="s">
        <v>1117</v>
      </c>
      <c r="K2263" s="22" t="s">
        <v>924</v>
      </c>
      <c r="L2263" s="22" t="s">
        <v>2531</v>
      </c>
      <c r="M2263" s="22" t="s">
        <v>2532</v>
      </c>
      <c r="N2263" s="28" t="s">
        <v>2494</v>
      </c>
      <c r="O2263" s="28" t="s">
        <v>2016</v>
      </c>
      <c r="P2263" s="29">
        <v>34272.447999999997</v>
      </c>
      <c r="Q2263" s="28" t="s">
        <v>1164</v>
      </c>
      <c r="R2263" s="21"/>
      <c r="S2263" s="21"/>
      <c r="T2263" s="21"/>
      <c r="U2263" s="21"/>
      <c r="V2263" s="21"/>
      <c r="W2263" s="21"/>
      <c r="X2263" s="21"/>
    </row>
    <row r="2264" spans="1:24" ht="15.75" thickBot="1" x14ac:dyDescent="0.3">
      <c r="A2264" t="str">
        <f t="shared" si="35"/>
        <v>RMSWL68426191</v>
      </c>
      <c r="B2264" s="22" t="s">
        <v>8522</v>
      </c>
      <c r="C2264" s="21"/>
      <c r="D2264" s="22" t="s">
        <v>8523</v>
      </c>
      <c r="E2264" s="22" t="s">
        <v>2527</v>
      </c>
      <c r="F2264" s="22" t="s">
        <v>3569</v>
      </c>
      <c r="G2264" s="28" t="s">
        <v>2012</v>
      </c>
      <c r="H2264" s="22" t="s">
        <v>2536</v>
      </c>
      <c r="I2264" s="22" t="s">
        <v>2537</v>
      </c>
      <c r="J2264" s="22" t="s">
        <v>1117</v>
      </c>
      <c r="K2264" s="22" t="s">
        <v>924</v>
      </c>
      <c r="L2264" s="22" t="s">
        <v>2531</v>
      </c>
      <c r="M2264" s="22" t="s">
        <v>2532</v>
      </c>
      <c r="N2264" s="28" t="s">
        <v>2494</v>
      </c>
      <c r="O2264" s="28" t="s">
        <v>2016</v>
      </c>
      <c r="P2264" s="29">
        <v>0</v>
      </c>
      <c r="Q2264" s="28" t="s">
        <v>1164</v>
      </c>
      <c r="R2264" s="21"/>
      <c r="S2264" s="21"/>
      <c r="T2264" s="21"/>
      <c r="U2264" s="21"/>
      <c r="V2264" s="21"/>
      <c r="W2264" s="21"/>
      <c r="X2264" s="21"/>
    </row>
    <row r="2265" spans="1:24" ht="15.75" thickBot="1" x14ac:dyDescent="0.3">
      <c r="A2265" t="str">
        <f t="shared" si="35"/>
        <v>RMSWL68507882/3</v>
      </c>
      <c r="B2265" s="22" t="s">
        <v>8524</v>
      </c>
      <c r="C2265" s="21"/>
      <c r="D2265" s="22" t="s">
        <v>8525</v>
      </c>
      <c r="E2265" s="22" t="s">
        <v>2527</v>
      </c>
      <c r="F2265" s="22" t="s">
        <v>4578</v>
      </c>
      <c r="G2265" s="28" t="s">
        <v>2012</v>
      </c>
      <c r="H2265" s="22" t="s">
        <v>2536</v>
      </c>
      <c r="I2265" s="22" t="s">
        <v>2537</v>
      </c>
      <c r="J2265" s="22" t="s">
        <v>1117</v>
      </c>
      <c r="K2265" s="22" t="s">
        <v>924</v>
      </c>
      <c r="L2265" s="22" t="s">
        <v>2531</v>
      </c>
      <c r="M2265" s="22" t="s">
        <v>2532</v>
      </c>
      <c r="N2265" s="28" t="s">
        <v>2494</v>
      </c>
      <c r="O2265" s="28" t="s">
        <v>2016</v>
      </c>
      <c r="P2265" s="29">
        <v>0</v>
      </c>
      <c r="Q2265" s="28" t="s">
        <v>1164</v>
      </c>
      <c r="R2265" s="41">
        <v>0</v>
      </c>
      <c r="S2265" s="34">
        <v>7318.2060000000001</v>
      </c>
      <c r="T2265" s="32">
        <v>113.83875999999999</v>
      </c>
      <c r="U2265" s="32">
        <v>0</v>
      </c>
      <c r="V2265" s="41">
        <v>0</v>
      </c>
      <c r="W2265" s="21"/>
      <c r="X2265" s="21"/>
    </row>
    <row r="2266" spans="1:24" ht="15.75" thickBot="1" x14ac:dyDescent="0.3">
      <c r="A2266" t="str">
        <f t="shared" si="35"/>
        <v>SB3V 16E166 ZA</v>
      </c>
      <c r="B2266" s="22" t="s">
        <v>8526</v>
      </c>
      <c r="C2266" s="22" t="s">
        <v>8527</v>
      </c>
      <c r="D2266" s="22" t="s">
        <v>2573</v>
      </c>
      <c r="E2266" s="21"/>
      <c r="F2266" s="22" t="s">
        <v>2574</v>
      </c>
      <c r="G2266" s="28" t="s">
        <v>5499</v>
      </c>
      <c r="H2266" s="22" t="s">
        <v>2080</v>
      </c>
      <c r="I2266" s="21"/>
      <c r="J2266" s="22" t="s">
        <v>364</v>
      </c>
      <c r="K2266" s="22" t="s">
        <v>262</v>
      </c>
      <c r="L2266" s="21"/>
      <c r="M2266" s="22" t="s">
        <v>2014</v>
      </c>
      <c r="N2266" s="28" t="s">
        <v>2015</v>
      </c>
      <c r="O2266" s="28" t="s">
        <v>2016</v>
      </c>
      <c r="P2266" s="29">
        <v>0</v>
      </c>
      <c r="Q2266" s="28" t="s">
        <v>2017</v>
      </c>
      <c r="R2266" s="21"/>
      <c r="S2266" s="21"/>
      <c r="T2266" s="21"/>
      <c r="U2266" s="21"/>
      <c r="V2266" s="21"/>
      <c r="W2266" s="21"/>
      <c r="X2266" s="21"/>
    </row>
    <row r="2267" spans="1:24" ht="15.75" thickBot="1" x14ac:dyDescent="0.3">
      <c r="A2267" t="str">
        <f t="shared" si="35"/>
        <v>STA819333-1</v>
      </c>
      <c r="B2267" s="22" t="s">
        <v>948</v>
      </c>
      <c r="C2267" s="22" t="s">
        <v>8528</v>
      </c>
      <c r="D2267" s="22" t="s">
        <v>8529</v>
      </c>
      <c r="E2267" s="22" t="s">
        <v>8530</v>
      </c>
      <c r="F2267" s="22" t="s">
        <v>8531</v>
      </c>
      <c r="G2267" s="28" t="s">
        <v>2012</v>
      </c>
      <c r="H2267" s="22" t="s">
        <v>8532</v>
      </c>
      <c r="I2267" s="21"/>
      <c r="J2267" s="22" t="s">
        <v>364</v>
      </c>
      <c r="K2267" s="22" t="s">
        <v>262</v>
      </c>
      <c r="L2267" s="21"/>
      <c r="M2267" s="22" t="s">
        <v>2014</v>
      </c>
      <c r="N2267" s="28" t="s">
        <v>2015</v>
      </c>
      <c r="O2267" s="28" t="s">
        <v>2016</v>
      </c>
      <c r="P2267" s="29">
        <v>66</v>
      </c>
      <c r="Q2267" s="28" t="s">
        <v>2017</v>
      </c>
      <c r="R2267" s="41">
        <v>0.16697588126099999</v>
      </c>
      <c r="S2267" s="29">
        <v>25410</v>
      </c>
      <c r="T2267" s="32">
        <v>395.26666666666699</v>
      </c>
      <c r="U2267" s="32">
        <v>0</v>
      </c>
      <c r="V2267" s="41">
        <v>0.16697588126099999</v>
      </c>
      <c r="W2267" s="21"/>
      <c r="X2267" s="21"/>
    </row>
    <row r="2268" spans="1:24" ht="15.75" thickBot="1" x14ac:dyDescent="0.3">
      <c r="A2268" t="str">
        <f t="shared" si="35"/>
        <v>T1WB 2610020 AA01</v>
      </c>
      <c r="B2268" s="22" t="s">
        <v>8533</v>
      </c>
      <c r="C2268" s="22" t="s">
        <v>8534</v>
      </c>
      <c r="D2268" s="22" t="s">
        <v>2257</v>
      </c>
      <c r="E2268" s="22" t="s">
        <v>2258</v>
      </c>
      <c r="F2268" s="22" t="s">
        <v>2030</v>
      </c>
      <c r="G2268" s="28" t="s">
        <v>2012</v>
      </c>
      <c r="H2268" s="22" t="s">
        <v>2080</v>
      </c>
      <c r="I2268" s="21"/>
      <c r="J2268" s="22" t="s">
        <v>261</v>
      </c>
      <c r="K2268" s="22" t="s">
        <v>924</v>
      </c>
      <c r="L2268" s="21"/>
      <c r="M2268" s="22" t="s">
        <v>2014</v>
      </c>
      <c r="N2268" s="28" t="s">
        <v>2015</v>
      </c>
      <c r="O2268" s="28" t="s">
        <v>2016</v>
      </c>
      <c r="P2268" s="29">
        <v>2</v>
      </c>
      <c r="Q2268" s="28" t="s">
        <v>2017</v>
      </c>
      <c r="R2268" s="21"/>
      <c r="S2268" s="21"/>
      <c r="T2268" s="21"/>
      <c r="U2268" s="21"/>
      <c r="V2268" s="21"/>
      <c r="W2268" s="21"/>
      <c r="X2268" s="21"/>
    </row>
    <row r="2269" spans="1:24" ht="15.75" thickBot="1" x14ac:dyDescent="0.3">
      <c r="A2269" t="str">
        <f t="shared" si="35"/>
        <v>T1WB E23942 BB1HO8</v>
      </c>
      <c r="B2269" s="22" t="s">
        <v>1041</v>
      </c>
      <c r="C2269" s="22" t="s">
        <v>222</v>
      </c>
      <c r="D2269" s="22" t="s">
        <v>6</v>
      </c>
      <c r="E2269" s="21"/>
      <c r="F2269" s="22" t="s">
        <v>2419</v>
      </c>
      <c r="G2269" s="28" t="s">
        <v>2012</v>
      </c>
      <c r="H2269" s="22" t="s">
        <v>2055</v>
      </c>
      <c r="I2269" s="21"/>
      <c r="J2269" s="22" t="s">
        <v>261</v>
      </c>
      <c r="K2269" s="22" t="s">
        <v>262</v>
      </c>
      <c r="L2269" s="21"/>
      <c r="M2269" s="22" t="s">
        <v>2014</v>
      </c>
      <c r="N2269" s="28" t="s">
        <v>2015</v>
      </c>
      <c r="O2269" s="28" t="s">
        <v>2016</v>
      </c>
      <c r="P2269" s="29">
        <v>0</v>
      </c>
      <c r="Q2269" s="28" t="s">
        <v>2017</v>
      </c>
      <c r="R2269" s="41">
        <v>0</v>
      </c>
      <c r="S2269" s="29">
        <v>6</v>
      </c>
      <c r="T2269" s="32">
        <v>9.3333333332999993E-2</v>
      </c>
      <c r="U2269" s="32">
        <v>0</v>
      </c>
      <c r="V2269" s="41">
        <v>0</v>
      </c>
      <c r="W2269" s="21"/>
      <c r="X2269" s="21"/>
    </row>
    <row r="2270" spans="1:24" ht="15.75" thickBot="1" x14ac:dyDescent="0.3">
      <c r="A2270" t="str">
        <f t="shared" si="35"/>
        <v>T1WB E23942 BB31Y5</v>
      </c>
      <c r="B2270" s="22" t="s">
        <v>1042</v>
      </c>
      <c r="C2270" s="22" t="s">
        <v>224</v>
      </c>
      <c r="D2270" s="22" t="s">
        <v>6</v>
      </c>
      <c r="E2270" s="21"/>
      <c r="F2270" s="22" t="s">
        <v>2419</v>
      </c>
      <c r="G2270" s="28" t="s">
        <v>2012</v>
      </c>
      <c r="H2270" s="22" t="s">
        <v>2055</v>
      </c>
      <c r="I2270" s="21"/>
      <c r="J2270" s="22" t="s">
        <v>261</v>
      </c>
      <c r="K2270" s="22" t="s">
        <v>262</v>
      </c>
      <c r="L2270" s="21"/>
      <c r="M2270" s="22" t="s">
        <v>2014</v>
      </c>
      <c r="N2270" s="28" t="s">
        <v>2015</v>
      </c>
      <c r="O2270" s="28" t="s">
        <v>2016</v>
      </c>
      <c r="P2270" s="29">
        <v>0</v>
      </c>
      <c r="Q2270" s="28" t="s">
        <v>2017</v>
      </c>
      <c r="R2270" s="41">
        <v>0</v>
      </c>
      <c r="S2270" s="29">
        <v>4</v>
      </c>
      <c r="T2270" s="32">
        <v>6.2222222222000002E-2</v>
      </c>
      <c r="U2270" s="32">
        <v>0</v>
      </c>
      <c r="V2270" s="41">
        <v>0</v>
      </c>
      <c r="W2270" s="21"/>
      <c r="X2270" s="21"/>
    </row>
    <row r="2271" spans="1:24" ht="15.75" thickBot="1" x14ac:dyDescent="0.3">
      <c r="A2271" t="str">
        <f t="shared" si="35"/>
        <v>T1WB E23942 CB1HO8</v>
      </c>
      <c r="B2271" s="22" t="s">
        <v>1043</v>
      </c>
      <c r="C2271" s="22" t="s">
        <v>8535</v>
      </c>
      <c r="D2271" s="22" t="s">
        <v>6</v>
      </c>
      <c r="E2271" s="22" t="s">
        <v>2414</v>
      </c>
      <c r="F2271" s="22" t="s">
        <v>2415</v>
      </c>
      <c r="G2271" s="28" t="s">
        <v>2012</v>
      </c>
      <c r="H2271" s="22" t="s">
        <v>2055</v>
      </c>
      <c r="I2271" s="21"/>
      <c r="J2271" s="22" t="s">
        <v>261</v>
      </c>
      <c r="K2271" s="22" t="s">
        <v>262</v>
      </c>
      <c r="L2271" s="21"/>
      <c r="M2271" s="22" t="s">
        <v>2014</v>
      </c>
      <c r="N2271" s="28" t="s">
        <v>2015</v>
      </c>
      <c r="O2271" s="28" t="s">
        <v>2016</v>
      </c>
      <c r="P2271" s="29">
        <v>0</v>
      </c>
      <c r="Q2271" s="28" t="s">
        <v>2017</v>
      </c>
      <c r="R2271" s="41">
        <v>0</v>
      </c>
      <c r="S2271" s="29">
        <v>2</v>
      </c>
      <c r="T2271" s="32">
        <v>3.1111111111000001E-2</v>
      </c>
      <c r="U2271" s="32">
        <v>0</v>
      </c>
      <c r="V2271" s="41">
        <v>0</v>
      </c>
      <c r="W2271" s="21"/>
      <c r="X2271" s="21"/>
    </row>
    <row r="2272" spans="1:24" ht="15.75" thickBot="1" x14ac:dyDescent="0.3">
      <c r="A2272" t="str">
        <f t="shared" si="35"/>
        <v>T1WB E23942 CB31Y5</v>
      </c>
      <c r="B2272" s="22" t="s">
        <v>1044</v>
      </c>
      <c r="C2272" s="22" t="s">
        <v>8536</v>
      </c>
      <c r="D2272" s="22" t="s">
        <v>6</v>
      </c>
      <c r="E2272" s="22" t="s">
        <v>8537</v>
      </c>
      <c r="F2272" s="22" t="s">
        <v>2415</v>
      </c>
      <c r="G2272" s="28" t="s">
        <v>2012</v>
      </c>
      <c r="H2272" s="22" t="s">
        <v>2055</v>
      </c>
      <c r="I2272" s="21"/>
      <c r="J2272" s="22" t="s">
        <v>261</v>
      </c>
      <c r="K2272" s="22" t="s">
        <v>262</v>
      </c>
      <c r="L2272" s="21"/>
      <c r="M2272" s="22" t="s">
        <v>2014</v>
      </c>
      <c r="N2272" s="28" t="s">
        <v>2015</v>
      </c>
      <c r="O2272" s="28" t="s">
        <v>2016</v>
      </c>
      <c r="P2272" s="29">
        <v>0</v>
      </c>
      <c r="Q2272" s="28" t="s">
        <v>2017</v>
      </c>
      <c r="R2272" s="41">
        <v>0</v>
      </c>
      <c r="S2272" s="29">
        <v>2</v>
      </c>
      <c r="T2272" s="32">
        <v>3.1111111111000001E-2</v>
      </c>
      <c r="U2272" s="32">
        <v>0</v>
      </c>
      <c r="V2272" s="41">
        <v>0</v>
      </c>
      <c r="W2272" s="21"/>
      <c r="X2272" s="21"/>
    </row>
    <row r="2273" spans="1:24" ht="15.75" thickBot="1" x14ac:dyDescent="0.3">
      <c r="A2273" t="str">
        <f t="shared" si="35"/>
        <v>T1WB E23942 DB1HHY</v>
      </c>
      <c r="B2273" s="22" t="s">
        <v>1045</v>
      </c>
      <c r="C2273" s="22" t="s">
        <v>226</v>
      </c>
      <c r="D2273" s="22" t="s">
        <v>6</v>
      </c>
      <c r="E2273" s="21"/>
      <c r="F2273" s="22" t="s">
        <v>2419</v>
      </c>
      <c r="G2273" s="28" t="s">
        <v>2012</v>
      </c>
      <c r="H2273" s="22" t="s">
        <v>2055</v>
      </c>
      <c r="I2273" s="21"/>
      <c r="J2273" s="22" t="s">
        <v>261</v>
      </c>
      <c r="K2273" s="22" t="s">
        <v>262</v>
      </c>
      <c r="L2273" s="21"/>
      <c r="M2273" s="22" t="s">
        <v>2014</v>
      </c>
      <c r="N2273" s="28" t="s">
        <v>2015</v>
      </c>
      <c r="O2273" s="28" t="s">
        <v>2016</v>
      </c>
      <c r="P2273" s="29">
        <v>0</v>
      </c>
      <c r="Q2273" s="28" t="s">
        <v>2017</v>
      </c>
      <c r="R2273" s="41">
        <v>0</v>
      </c>
      <c r="S2273" s="29">
        <v>11</v>
      </c>
      <c r="T2273" s="32">
        <v>0.171111111111</v>
      </c>
      <c r="U2273" s="32">
        <v>0</v>
      </c>
      <c r="V2273" s="41">
        <v>0</v>
      </c>
      <c r="W2273" s="21"/>
      <c r="X2273" s="21"/>
    </row>
    <row r="2274" spans="1:24" ht="15.75" thickBot="1" x14ac:dyDescent="0.3">
      <c r="A2274" t="str">
        <f t="shared" si="35"/>
        <v>T1WB E23942 EA1G1C</v>
      </c>
      <c r="B2274" s="22" t="s">
        <v>1046</v>
      </c>
      <c r="C2274" s="22" t="s">
        <v>8538</v>
      </c>
      <c r="D2274" s="22" t="s">
        <v>6</v>
      </c>
      <c r="E2274" s="21"/>
      <c r="F2274" s="22" t="s">
        <v>2415</v>
      </c>
      <c r="G2274" s="28" t="s">
        <v>2012</v>
      </c>
      <c r="H2274" s="22" t="s">
        <v>2055</v>
      </c>
      <c r="I2274" s="21"/>
      <c r="J2274" s="22" t="s">
        <v>261</v>
      </c>
      <c r="K2274" s="22" t="s">
        <v>262</v>
      </c>
      <c r="L2274" s="21"/>
      <c r="M2274" s="22" t="s">
        <v>2014</v>
      </c>
      <c r="N2274" s="28" t="s">
        <v>2015</v>
      </c>
      <c r="O2274" s="28" t="s">
        <v>2016</v>
      </c>
      <c r="P2274" s="29">
        <v>0</v>
      </c>
      <c r="Q2274" s="28" t="s">
        <v>2017</v>
      </c>
      <c r="R2274" s="41">
        <v>0</v>
      </c>
      <c r="S2274" s="29">
        <v>8</v>
      </c>
      <c r="T2274" s="32">
        <v>0.124444444444</v>
      </c>
      <c r="U2274" s="32">
        <v>0</v>
      </c>
      <c r="V2274" s="41">
        <v>0</v>
      </c>
      <c r="W2274" s="21"/>
      <c r="X2274" s="21"/>
    </row>
    <row r="2275" spans="1:24" ht="15.75" thickBot="1" x14ac:dyDescent="0.3">
      <c r="A2275" t="str">
        <f t="shared" si="35"/>
        <v>T1WB E23942 FA31Y5</v>
      </c>
      <c r="B2275" s="22" t="s">
        <v>1047</v>
      </c>
      <c r="C2275" s="22" t="s">
        <v>8539</v>
      </c>
      <c r="D2275" s="22" t="s">
        <v>8540</v>
      </c>
      <c r="E2275" s="22" t="s">
        <v>8541</v>
      </c>
      <c r="F2275" s="22" t="s">
        <v>2415</v>
      </c>
      <c r="G2275" s="28" t="s">
        <v>2012</v>
      </c>
      <c r="H2275" s="22" t="s">
        <v>2055</v>
      </c>
      <c r="I2275" s="21"/>
      <c r="J2275" s="22" t="s">
        <v>261</v>
      </c>
      <c r="K2275" s="22" t="s">
        <v>262</v>
      </c>
      <c r="L2275" s="21"/>
      <c r="M2275" s="22" t="s">
        <v>2014</v>
      </c>
      <c r="N2275" s="28" t="s">
        <v>2015</v>
      </c>
      <c r="O2275" s="28" t="s">
        <v>2016</v>
      </c>
      <c r="P2275" s="29">
        <v>0</v>
      </c>
      <c r="Q2275" s="28" t="s">
        <v>2017</v>
      </c>
      <c r="R2275" s="41">
        <v>0</v>
      </c>
      <c r="S2275" s="29">
        <v>2</v>
      </c>
      <c r="T2275" s="32">
        <v>3.1111111111000001E-2</v>
      </c>
      <c r="U2275" s="32">
        <v>0</v>
      </c>
      <c r="V2275" s="41">
        <v>0</v>
      </c>
      <c r="W2275" s="21"/>
      <c r="X2275" s="21"/>
    </row>
    <row r="2276" spans="1:24" ht="15.75" thickBot="1" x14ac:dyDescent="0.3">
      <c r="A2276" t="str">
        <f t="shared" si="35"/>
        <v>T1WB E23943 BB1HO8</v>
      </c>
      <c r="B2276" s="22" t="s">
        <v>1002</v>
      </c>
      <c r="C2276" s="22" t="s">
        <v>228</v>
      </c>
      <c r="D2276" s="22" t="s">
        <v>72</v>
      </c>
      <c r="E2276" s="21"/>
      <c r="F2276" s="22" t="s">
        <v>2423</v>
      </c>
      <c r="G2276" s="28" t="s">
        <v>2012</v>
      </c>
      <c r="H2276" s="22" t="s">
        <v>2055</v>
      </c>
      <c r="I2276" s="21"/>
      <c r="J2276" s="22" t="s">
        <v>261</v>
      </c>
      <c r="K2276" s="22" t="s">
        <v>262</v>
      </c>
      <c r="L2276" s="21"/>
      <c r="M2276" s="22" t="s">
        <v>2014</v>
      </c>
      <c r="N2276" s="28" t="s">
        <v>2015</v>
      </c>
      <c r="O2276" s="28" t="s">
        <v>2016</v>
      </c>
      <c r="P2276" s="29">
        <v>0</v>
      </c>
      <c r="Q2276" s="28" t="s">
        <v>2017</v>
      </c>
      <c r="R2276" s="41">
        <v>0</v>
      </c>
      <c r="S2276" s="29">
        <v>6</v>
      </c>
      <c r="T2276" s="32">
        <v>9.3333333332999993E-2</v>
      </c>
      <c r="U2276" s="32">
        <v>0</v>
      </c>
      <c r="V2276" s="41">
        <v>0</v>
      </c>
      <c r="W2276" s="21"/>
      <c r="X2276" s="21"/>
    </row>
    <row r="2277" spans="1:24" ht="15.75" thickBot="1" x14ac:dyDescent="0.3">
      <c r="A2277" t="str">
        <f t="shared" si="35"/>
        <v>T1WB E23943 BB31Y5</v>
      </c>
      <c r="B2277" s="22" t="s">
        <v>1003</v>
      </c>
      <c r="C2277" s="22" t="s">
        <v>230</v>
      </c>
      <c r="D2277" s="22" t="s">
        <v>72</v>
      </c>
      <c r="E2277" s="21"/>
      <c r="F2277" s="22" t="s">
        <v>2423</v>
      </c>
      <c r="G2277" s="28" t="s">
        <v>2012</v>
      </c>
      <c r="H2277" s="22" t="s">
        <v>2055</v>
      </c>
      <c r="I2277" s="21"/>
      <c r="J2277" s="22" t="s">
        <v>261</v>
      </c>
      <c r="K2277" s="22" t="s">
        <v>262</v>
      </c>
      <c r="L2277" s="21"/>
      <c r="M2277" s="22" t="s">
        <v>2014</v>
      </c>
      <c r="N2277" s="28" t="s">
        <v>2015</v>
      </c>
      <c r="O2277" s="28" t="s">
        <v>2016</v>
      </c>
      <c r="P2277" s="29">
        <v>0</v>
      </c>
      <c r="Q2277" s="28" t="s">
        <v>2017</v>
      </c>
      <c r="R2277" s="41">
        <v>0</v>
      </c>
      <c r="S2277" s="29">
        <v>4</v>
      </c>
      <c r="T2277" s="32">
        <v>6.2222222222000002E-2</v>
      </c>
      <c r="U2277" s="32">
        <v>0</v>
      </c>
      <c r="V2277" s="41">
        <v>0</v>
      </c>
      <c r="W2277" s="21"/>
      <c r="X2277" s="21"/>
    </row>
    <row r="2278" spans="1:24" ht="15.75" thickBot="1" x14ac:dyDescent="0.3">
      <c r="A2278" t="str">
        <f t="shared" si="35"/>
        <v>T1WB E23943 CB1HO8</v>
      </c>
      <c r="B2278" s="22" t="s">
        <v>1004</v>
      </c>
      <c r="C2278" s="22" t="s">
        <v>8542</v>
      </c>
      <c r="D2278" s="22" t="s">
        <v>72</v>
      </c>
      <c r="E2278" s="22" t="s">
        <v>2417</v>
      </c>
      <c r="F2278" s="22" t="s">
        <v>2360</v>
      </c>
      <c r="G2278" s="28" t="s">
        <v>2012</v>
      </c>
      <c r="H2278" s="22" t="s">
        <v>2055</v>
      </c>
      <c r="I2278" s="21"/>
      <c r="J2278" s="22" t="s">
        <v>261</v>
      </c>
      <c r="K2278" s="22" t="s">
        <v>262</v>
      </c>
      <c r="L2278" s="21"/>
      <c r="M2278" s="22" t="s">
        <v>2014</v>
      </c>
      <c r="N2278" s="28" t="s">
        <v>2015</v>
      </c>
      <c r="O2278" s="28" t="s">
        <v>2016</v>
      </c>
      <c r="P2278" s="29">
        <v>0</v>
      </c>
      <c r="Q2278" s="28" t="s">
        <v>2017</v>
      </c>
      <c r="R2278" s="41">
        <v>0</v>
      </c>
      <c r="S2278" s="29">
        <v>2</v>
      </c>
      <c r="T2278" s="32">
        <v>3.1111111111000001E-2</v>
      </c>
      <c r="U2278" s="32">
        <v>0</v>
      </c>
      <c r="V2278" s="41">
        <v>0</v>
      </c>
      <c r="W2278" s="21"/>
      <c r="X2278" s="21"/>
    </row>
    <row r="2279" spans="1:24" ht="15.75" thickBot="1" x14ac:dyDescent="0.3">
      <c r="A2279" t="str">
        <f t="shared" si="35"/>
        <v>T1WB E23943 CB31Y5</v>
      </c>
      <c r="B2279" s="22" t="s">
        <v>1005</v>
      </c>
      <c r="C2279" s="22" t="s">
        <v>8543</v>
      </c>
      <c r="D2279" s="22" t="s">
        <v>72</v>
      </c>
      <c r="E2279" s="21"/>
      <c r="F2279" s="22" t="s">
        <v>2360</v>
      </c>
      <c r="G2279" s="28" t="s">
        <v>2012</v>
      </c>
      <c r="H2279" s="22" t="s">
        <v>2055</v>
      </c>
      <c r="I2279" s="21"/>
      <c r="J2279" s="22" t="s">
        <v>261</v>
      </c>
      <c r="K2279" s="22" t="s">
        <v>262</v>
      </c>
      <c r="L2279" s="21"/>
      <c r="M2279" s="22" t="s">
        <v>2014</v>
      </c>
      <c r="N2279" s="28" t="s">
        <v>2015</v>
      </c>
      <c r="O2279" s="28" t="s">
        <v>2016</v>
      </c>
      <c r="P2279" s="29">
        <v>0</v>
      </c>
      <c r="Q2279" s="28" t="s">
        <v>2017</v>
      </c>
      <c r="R2279" s="41">
        <v>0</v>
      </c>
      <c r="S2279" s="29">
        <v>2</v>
      </c>
      <c r="T2279" s="32">
        <v>3.1111111111000001E-2</v>
      </c>
      <c r="U2279" s="32">
        <v>0</v>
      </c>
      <c r="V2279" s="41">
        <v>0</v>
      </c>
      <c r="W2279" s="21"/>
      <c r="X2279" s="21"/>
    </row>
    <row r="2280" spans="1:24" ht="15.75" thickBot="1" x14ac:dyDescent="0.3">
      <c r="A2280" t="str">
        <f t="shared" si="35"/>
        <v>T1WB E23943 DB1HHY</v>
      </c>
      <c r="B2280" s="22" t="s">
        <v>1006</v>
      </c>
      <c r="C2280" s="22" t="s">
        <v>232</v>
      </c>
      <c r="D2280" s="22" t="s">
        <v>72</v>
      </c>
      <c r="E2280" s="21"/>
      <c r="F2280" s="22" t="s">
        <v>2423</v>
      </c>
      <c r="G2280" s="28" t="s">
        <v>2012</v>
      </c>
      <c r="H2280" s="22" t="s">
        <v>2055</v>
      </c>
      <c r="I2280" s="21"/>
      <c r="J2280" s="22" t="s">
        <v>261</v>
      </c>
      <c r="K2280" s="22" t="s">
        <v>262</v>
      </c>
      <c r="L2280" s="21"/>
      <c r="M2280" s="22" t="s">
        <v>2014</v>
      </c>
      <c r="N2280" s="28" t="s">
        <v>2015</v>
      </c>
      <c r="O2280" s="28" t="s">
        <v>2016</v>
      </c>
      <c r="P2280" s="29">
        <v>0</v>
      </c>
      <c r="Q2280" s="28" t="s">
        <v>2017</v>
      </c>
      <c r="R2280" s="41">
        <v>0</v>
      </c>
      <c r="S2280" s="29">
        <v>11</v>
      </c>
      <c r="T2280" s="32">
        <v>0.171111111111</v>
      </c>
      <c r="U2280" s="32">
        <v>0</v>
      </c>
      <c r="V2280" s="41">
        <v>0</v>
      </c>
      <c r="W2280" s="21"/>
      <c r="X2280" s="21"/>
    </row>
    <row r="2281" spans="1:24" ht="15.75" thickBot="1" x14ac:dyDescent="0.3">
      <c r="A2281" t="str">
        <f t="shared" si="35"/>
        <v>T1WB E23943 EA1G1C</v>
      </c>
      <c r="B2281" s="22" t="s">
        <v>1007</v>
      </c>
      <c r="C2281" s="22" t="s">
        <v>8544</v>
      </c>
      <c r="D2281" s="22" t="s">
        <v>72</v>
      </c>
      <c r="E2281" s="21"/>
      <c r="F2281" s="22" t="s">
        <v>2360</v>
      </c>
      <c r="G2281" s="28" t="s">
        <v>2012</v>
      </c>
      <c r="H2281" s="22" t="s">
        <v>2055</v>
      </c>
      <c r="I2281" s="21"/>
      <c r="J2281" s="22" t="s">
        <v>261</v>
      </c>
      <c r="K2281" s="22" t="s">
        <v>262</v>
      </c>
      <c r="L2281" s="21"/>
      <c r="M2281" s="22" t="s">
        <v>2014</v>
      </c>
      <c r="N2281" s="28" t="s">
        <v>2015</v>
      </c>
      <c r="O2281" s="28" t="s">
        <v>2016</v>
      </c>
      <c r="P2281" s="29">
        <v>0</v>
      </c>
      <c r="Q2281" s="28" t="s">
        <v>2017</v>
      </c>
      <c r="R2281" s="41">
        <v>0</v>
      </c>
      <c r="S2281" s="29">
        <v>8</v>
      </c>
      <c r="T2281" s="32">
        <v>0.124444444444</v>
      </c>
      <c r="U2281" s="32">
        <v>0</v>
      </c>
      <c r="V2281" s="41">
        <v>0</v>
      </c>
      <c r="W2281" s="21"/>
      <c r="X2281" s="21"/>
    </row>
    <row r="2282" spans="1:24" ht="15.75" thickBot="1" x14ac:dyDescent="0.3">
      <c r="A2282" t="str">
        <f t="shared" si="35"/>
        <v>T1WB E23943 FA1HO8</v>
      </c>
      <c r="B2282" s="22" t="s">
        <v>1008</v>
      </c>
      <c r="C2282" s="22" t="s">
        <v>8545</v>
      </c>
      <c r="D2282" s="22" t="s">
        <v>72</v>
      </c>
      <c r="E2282" s="22" t="s">
        <v>2417</v>
      </c>
      <c r="F2282" s="22" t="s">
        <v>2360</v>
      </c>
      <c r="G2282" s="28" t="s">
        <v>2012</v>
      </c>
      <c r="H2282" s="22" t="s">
        <v>2055</v>
      </c>
      <c r="I2282" s="21"/>
      <c r="J2282" s="22" t="s">
        <v>261</v>
      </c>
      <c r="K2282" s="22" t="s">
        <v>262</v>
      </c>
      <c r="L2282" s="21"/>
      <c r="M2282" s="22" t="s">
        <v>2014</v>
      </c>
      <c r="N2282" s="28" t="s">
        <v>2015</v>
      </c>
      <c r="O2282" s="28" t="s">
        <v>2016</v>
      </c>
      <c r="P2282" s="29">
        <v>0</v>
      </c>
      <c r="Q2282" s="28" t="s">
        <v>2017</v>
      </c>
      <c r="R2282" s="41">
        <v>0</v>
      </c>
      <c r="S2282" s="29">
        <v>10</v>
      </c>
      <c r="T2282" s="32">
        <v>0.155555555555</v>
      </c>
      <c r="U2282" s="32">
        <v>0</v>
      </c>
      <c r="V2282" s="41">
        <v>0</v>
      </c>
      <c r="W2282" s="21"/>
      <c r="X2282" s="21"/>
    </row>
    <row r="2283" spans="1:24" ht="15.75" thickBot="1" x14ac:dyDescent="0.3">
      <c r="A2283" t="str">
        <f t="shared" si="35"/>
        <v>T1WB E23943 FA31Y5</v>
      </c>
      <c r="B2283" s="22" t="s">
        <v>1009</v>
      </c>
      <c r="C2283" s="22" t="s">
        <v>8546</v>
      </c>
      <c r="D2283" s="22" t="s">
        <v>72</v>
      </c>
      <c r="E2283" s="21"/>
      <c r="F2283" s="22" t="s">
        <v>2360</v>
      </c>
      <c r="G2283" s="28" t="s">
        <v>2012</v>
      </c>
      <c r="H2283" s="22" t="s">
        <v>2055</v>
      </c>
      <c r="I2283" s="21"/>
      <c r="J2283" s="22" t="s">
        <v>261</v>
      </c>
      <c r="K2283" s="22" t="s">
        <v>262</v>
      </c>
      <c r="L2283" s="21"/>
      <c r="M2283" s="22" t="s">
        <v>2014</v>
      </c>
      <c r="N2283" s="28" t="s">
        <v>2015</v>
      </c>
      <c r="O2283" s="28" t="s">
        <v>2016</v>
      </c>
      <c r="P2283" s="29">
        <v>0</v>
      </c>
      <c r="Q2283" s="28" t="s">
        <v>2017</v>
      </c>
      <c r="R2283" s="41">
        <v>0</v>
      </c>
      <c r="S2283" s="29">
        <v>2</v>
      </c>
      <c r="T2283" s="32">
        <v>3.1111111111000001E-2</v>
      </c>
      <c r="U2283" s="32">
        <v>0</v>
      </c>
      <c r="V2283" s="41">
        <v>0</v>
      </c>
      <c r="W2283" s="21"/>
      <c r="X2283" s="21"/>
    </row>
    <row r="2284" spans="1:24" ht="15.75" thickBot="1" x14ac:dyDescent="0.3">
      <c r="A2284" t="str">
        <f t="shared" si="35"/>
        <v>T1WB E27406 BB1HO8</v>
      </c>
      <c r="B2284" s="22" t="s">
        <v>1049</v>
      </c>
      <c r="C2284" s="22" t="s">
        <v>234</v>
      </c>
      <c r="D2284" s="22" t="s">
        <v>134</v>
      </c>
      <c r="E2284" s="22" t="s">
        <v>2417</v>
      </c>
      <c r="F2284" s="22" t="s">
        <v>2369</v>
      </c>
      <c r="G2284" s="28" t="s">
        <v>2012</v>
      </c>
      <c r="H2284" s="22" t="s">
        <v>2055</v>
      </c>
      <c r="I2284" s="21"/>
      <c r="J2284" s="22" t="s">
        <v>261</v>
      </c>
      <c r="K2284" s="22" t="s">
        <v>262</v>
      </c>
      <c r="L2284" s="21"/>
      <c r="M2284" s="22" t="s">
        <v>2014</v>
      </c>
      <c r="N2284" s="28" t="s">
        <v>2015</v>
      </c>
      <c r="O2284" s="28" t="s">
        <v>2016</v>
      </c>
      <c r="P2284" s="29">
        <v>0</v>
      </c>
      <c r="Q2284" s="28" t="s">
        <v>2017</v>
      </c>
      <c r="R2284" s="41">
        <v>0</v>
      </c>
      <c r="S2284" s="29">
        <v>6</v>
      </c>
      <c r="T2284" s="32">
        <v>9.3333333332999993E-2</v>
      </c>
      <c r="U2284" s="32">
        <v>0</v>
      </c>
      <c r="V2284" s="41">
        <v>0</v>
      </c>
      <c r="W2284" s="21"/>
      <c r="X2284" s="21"/>
    </row>
    <row r="2285" spans="1:24" ht="15.75" thickBot="1" x14ac:dyDescent="0.3">
      <c r="A2285" t="str">
        <f t="shared" si="35"/>
        <v>T1WB E27406 BB31Y5</v>
      </c>
      <c r="B2285" s="22" t="s">
        <v>1050</v>
      </c>
      <c r="C2285" s="22" t="s">
        <v>236</v>
      </c>
      <c r="D2285" s="22" t="s">
        <v>134</v>
      </c>
      <c r="E2285" s="22" t="s">
        <v>2417</v>
      </c>
      <c r="F2285" s="22" t="s">
        <v>2369</v>
      </c>
      <c r="G2285" s="28" t="s">
        <v>2012</v>
      </c>
      <c r="H2285" s="22" t="s">
        <v>2055</v>
      </c>
      <c r="I2285" s="21"/>
      <c r="J2285" s="22" t="s">
        <v>261</v>
      </c>
      <c r="K2285" s="22" t="s">
        <v>262</v>
      </c>
      <c r="L2285" s="21"/>
      <c r="M2285" s="22" t="s">
        <v>2014</v>
      </c>
      <c r="N2285" s="28" t="s">
        <v>2015</v>
      </c>
      <c r="O2285" s="28" t="s">
        <v>2016</v>
      </c>
      <c r="P2285" s="29">
        <v>0</v>
      </c>
      <c r="Q2285" s="28" t="s">
        <v>2017</v>
      </c>
      <c r="R2285" s="41">
        <v>0</v>
      </c>
      <c r="S2285" s="29">
        <v>4</v>
      </c>
      <c r="T2285" s="32">
        <v>6.2222222222000002E-2</v>
      </c>
      <c r="U2285" s="32">
        <v>0</v>
      </c>
      <c r="V2285" s="41">
        <v>0</v>
      </c>
      <c r="W2285" s="21"/>
      <c r="X2285" s="21"/>
    </row>
    <row r="2286" spans="1:24" ht="15.75" thickBot="1" x14ac:dyDescent="0.3">
      <c r="A2286" t="str">
        <f t="shared" si="35"/>
        <v>T1WB E27406 CB1HO8</v>
      </c>
      <c r="B2286" s="22" t="s">
        <v>1051</v>
      </c>
      <c r="C2286" s="22" t="s">
        <v>8547</v>
      </c>
      <c r="D2286" s="22" t="s">
        <v>134</v>
      </c>
      <c r="E2286" s="22" t="s">
        <v>2417</v>
      </c>
      <c r="F2286" s="22" t="s">
        <v>2436</v>
      </c>
      <c r="G2286" s="28" t="s">
        <v>2012</v>
      </c>
      <c r="H2286" s="22" t="s">
        <v>2055</v>
      </c>
      <c r="I2286" s="21"/>
      <c r="J2286" s="22" t="s">
        <v>261</v>
      </c>
      <c r="K2286" s="22" t="s">
        <v>262</v>
      </c>
      <c r="L2286" s="21"/>
      <c r="M2286" s="22" t="s">
        <v>2014</v>
      </c>
      <c r="N2286" s="28" t="s">
        <v>2015</v>
      </c>
      <c r="O2286" s="28" t="s">
        <v>2016</v>
      </c>
      <c r="P2286" s="29">
        <v>0</v>
      </c>
      <c r="Q2286" s="28" t="s">
        <v>2017</v>
      </c>
      <c r="R2286" s="41">
        <v>0</v>
      </c>
      <c r="S2286" s="29">
        <v>10</v>
      </c>
      <c r="T2286" s="32">
        <v>0.155555555555</v>
      </c>
      <c r="U2286" s="32">
        <v>0</v>
      </c>
      <c r="V2286" s="41">
        <v>0</v>
      </c>
      <c r="W2286" s="21"/>
      <c r="X2286" s="21"/>
    </row>
    <row r="2287" spans="1:24" ht="15.75" thickBot="1" x14ac:dyDescent="0.3">
      <c r="A2287" t="str">
        <f t="shared" si="35"/>
        <v>T1WB E27406 CB31Y5</v>
      </c>
      <c r="B2287" s="22" t="s">
        <v>1052</v>
      </c>
      <c r="C2287" s="22" t="s">
        <v>8548</v>
      </c>
      <c r="D2287" s="22" t="s">
        <v>134</v>
      </c>
      <c r="E2287" s="22" t="s">
        <v>2417</v>
      </c>
      <c r="F2287" s="22" t="s">
        <v>2436</v>
      </c>
      <c r="G2287" s="28" t="s">
        <v>2012</v>
      </c>
      <c r="H2287" s="22" t="s">
        <v>2055</v>
      </c>
      <c r="I2287" s="21"/>
      <c r="J2287" s="22" t="s">
        <v>261</v>
      </c>
      <c r="K2287" s="22" t="s">
        <v>262</v>
      </c>
      <c r="L2287" s="21"/>
      <c r="M2287" s="22" t="s">
        <v>2014</v>
      </c>
      <c r="N2287" s="28" t="s">
        <v>2015</v>
      </c>
      <c r="O2287" s="28" t="s">
        <v>2016</v>
      </c>
      <c r="P2287" s="29">
        <v>0</v>
      </c>
      <c r="Q2287" s="28" t="s">
        <v>2017</v>
      </c>
      <c r="R2287" s="41">
        <v>0</v>
      </c>
      <c r="S2287" s="29">
        <v>3</v>
      </c>
      <c r="T2287" s="32">
        <v>4.6666666666000001E-2</v>
      </c>
      <c r="U2287" s="32">
        <v>0</v>
      </c>
      <c r="V2287" s="41">
        <v>0</v>
      </c>
      <c r="W2287" s="21"/>
      <c r="X2287" s="21"/>
    </row>
    <row r="2288" spans="1:24" ht="15.75" thickBot="1" x14ac:dyDescent="0.3">
      <c r="A2288" t="str">
        <f t="shared" si="35"/>
        <v>T1WB E27406 DB1HHY</v>
      </c>
      <c r="B2288" s="22" t="s">
        <v>1053</v>
      </c>
      <c r="C2288" s="22" t="s">
        <v>238</v>
      </c>
      <c r="D2288" s="22" t="s">
        <v>134</v>
      </c>
      <c r="E2288" s="22" t="s">
        <v>2441</v>
      </c>
      <c r="F2288" s="22" t="s">
        <v>2369</v>
      </c>
      <c r="G2288" s="28" t="s">
        <v>2012</v>
      </c>
      <c r="H2288" s="22" t="s">
        <v>2055</v>
      </c>
      <c r="I2288" s="21"/>
      <c r="J2288" s="22" t="s">
        <v>261</v>
      </c>
      <c r="K2288" s="22" t="s">
        <v>262</v>
      </c>
      <c r="L2288" s="21"/>
      <c r="M2288" s="22" t="s">
        <v>2014</v>
      </c>
      <c r="N2288" s="28" t="s">
        <v>2015</v>
      </c>
      <c r="O2288" s="28" t="s">
        <v>2016</v>
      </c>
      <c r="P2288" s="29">
        <v>0</v>
      </c>
      <c r="Q2288" s="28" t="s">
        <v>2017</v>
      </c>
      <c r="R2288" s="41">
        <v>0</v>
      </c>
      <c r="S2288" s="29">
        <v>11</v>
      </c>
      <c r="T2288" s="32">
        <v>0.171111111111</v>
      </c>
      <c r="U2288" s="32">
        <v>0</v>
      </c>
      <c r="V2288" s="41">
        <v>0</v>
      </c>
      <c r="W2288" s="21"/>
      <c r="X2288" s="21"/>
    </row>
    <row r="2289" spans="1:24" ht="15.75" thickBot="1" x14ac:dyDescent="0.3">
      <c r="A2289" t="str">
        <f t="shared" si="35"/>
        <v>T1WB E27407 BB1HO8</v>
      </c>
      <c r="B2289" s="22" t="s">
        <v>1010</v>
      </c>
      <c r="C2289" s="22" t="s">
        <v>240</v>
      </c>
      <c r="D2289" s="22" t="s">
        <v>176</v>
      </c>
      <c r="E2289" s="21"/>
      <c r="F2289" s="22" t="s">
        <v>2375</v>
      </c>
      <c r="G2289" s="28" t="s">
        <v>2012</v>
      </c>
      <c r="H2289" s="22" t="s">
        <v>2055</v>
      </c>
      <c r="I2289" s="21"/>
      <c r="J2289" s="22" t="s">
        <v>261</v>
      </c>
      <c r="K2289" s="22" t="s">
        <v>262</v>
      </c>
      <c r="L2289" s="21"/>
      <c r="M2289" s="22" t="s">
        <v>2014</v>
      </c>
      <c r="N2289" s="28" t="s">
        <v>2015</v>
      </c>
      <c r="O2289" s="28" t="s">
        <v>2016</v>
      </c>
      <c r="P2289" s="29">
        <v>0</v>
      </c>
      <c r="Q2289" s="28" t="s">
        <v>2017</v>
      </c>
      <c r="R2289" s="41">
        <v>0</v>
      </c>
      <c r="S2289" s="29">
        <v>6</v>
      </c>
      <c r="T2289" s="32">
        <v>9.3333333332999993E-2</v>
      </c>
      <c r="U2289" s="32">
        <v>0</v>
      </c>
      <c r="V2289" s="41">
        <v>0</v>
      </c>
      <c r="W2289" s="21"/>
      <c r="X2289" s="21"/>
    </row>
    <row r="2290" spans="1:24" ht="15.75" thickBot="1" x14ac:dyDescent="0.3">
      <c r="A2290" t="str">
        <f t="shared" si="35"/>
        <v>T1WB E27407 BB31Y5</v>
      </c>
      <c r="B2290" s="22" t="s">
        <v>1011</v>
      </c>
      <c r="C2290" s="22" t="s">
        <v>242</v>
      </c>
      <c r="D2290" s="22" t="s">
        <v>176</v>
      </c>
      <c r="E2290" s="21"/>
      <c r="F2290" s="22" t="s">
        <v>2375</v>
      </c>
      <c r="G2290" s="28" t="s">
        <v>2012</v>
      </c>
      <c r="H2290" s="22" t="s">
        <v>2055</v>
      </c>
      <c r="I2290" s="21"/>
      <c r="J2290" s="22" t="s">
        <v>261</v>
      </c>
      <c r="K2290" s="22" t="s">
        <v>262</v>
      </c>
      <c r="L2290" s="21"/>
      <c r="M2290" s="22" t="s">
        <v>2014</v>
      </c>
      <c r="N2290" s="28" t="s">
        <v>2015</v>
      </c>
      <c r="O2290" s="28" t="s">
        <v>2016</v>
      </c>
      <c r="P2290" s="29">
        <v>0</v>
      </c>
      <c r="Q2290" s="28" t="s">
        <v>2017</v>
      </c>
      <c r="R2290" s="41">
        <v>0</v>
      </c>
      <c r="S2290" s="29">
        <v>4</v>
      </c>
      <c r="T2290" s="32">
        <v>6.2222222222000002E-2</v>
      </c>
      <c r="U2290" s="32">
        <v>0</v>
      </c>
      <c r="V2290" s="41">
        <v>0</v>
      </c>
      <c r="W2290" s="21"/>
      <c r="X2290" s="21"/>
    </row>
    <row r="2291" spans="1:24" ht="15.75" thickBot="1" x14ac:dyDescent="0.3">
      <c r="A2291" t="str">
        <f t="shared" si="35"/>
        <v>T1WB E27407 CB1HO8</v>
      </c>
      <c r="B2291" s="22" t="s">
        <v>1012</v>
      </c>
      <c r="C2291" s="22" t="s">
        <v>8549</v>
      </c>
      <c r="D2291" s="22" t="s">
        <v>176</v>
      </c>
      <c r="E2291" s="22" t="s">
        <v>2417</v>
      </c>
      <c r="F2291" s="22" t="s">
        <v>2443</v>
      </c>
      <c r="G2291" s="28" t="s">
        <v>2012</v>
      </c>
      <c r="H2291" s="22" t="s">
        <v>2055</v>
      </c>
      <c r="I2291" s="21"/>
      <c r="J2291" s="22" t="s">
        <v>261</v>
      </c>
      <c r="K2291" s="22" t="s">
        <v>262</v>
      </c>
      <c r="L2291" s="21"/>
      <c r="M2291" s="22" t="s">
        <v>2014</v>
      </c>
      <c r="N2291" s="28" t="s">
        <v>2015</v>
      </c>
      <c r="O2291" s="28" t="s">
        <v>2016</v>
      </c>
      <c r="P2291" s="29">
        <v>0</v>
      </c>
      <c r="Q2291" s="28" t="s">
        <v>2017</v>
      </c>
      <c r="R2291" s="41">
        <v>0</v>
      </c>
      <c r="S2291" s="29">
        <v>10</v>
      </c>
      <c r="T2291" s="32">
        <v>0.155555555555</v>
      </c>
      <c r="U2291" s="32">
        <v>0</v>
      </c>
      <c r="V2291" s="41">
        <v>0</v>
      </c>
      <c r="W2291" s="21"/>
      <c r="X2291" s="21"/>
    </row>
    <row r="2292" spans="1:24" ht="15.75" thickBot="1" x14ac:dyDescent="0.3">
      <c r="A2292" t="str">
        <f t="shared" si="35"/>
        <v>T1WB E27407 CB31Y5</v>
      </c>
      <c r="B2292" s="22" t="s">
        <v>1013</v>
      </c>
      <c r="C2292" s="22" t="s">
        <v>8550</v>
      </c>
      <c r="D2292" s="22" t="s">
        <v>176</v>
      </c>
      <c r="E2292" s="22" t="s">
        <v>2417</v>
      </c>
      <c r="F2292" s="22" t="s">
        <v>2443</v>
      </c>
      <c r="G2292" s="28" t="s">
        <v>2012</v>
      </c>
      <c r="H2292" s="22" t="s">
        <v>2055</v>
      </c>
      <c r="I2292" s="21"/>
      <c r="J2292" s="22" t="s">
        <v>261</v>
      </c>
      <c r="K2292" s="22" t="s">
        <v>262</v>
      </c>
      <c r="L2292" s="21"/>
      <c r="M2292" s="22" t="s">
        <v>2014</v>
      </c>
      <c r="N2292" s="28" t="s">
        <v>2015</v>
      </c>
      <c r="O2292" s="28" t="s">
        <v>2016</v>
      </c>
      <c r="P2292" s="29">
        <v>0</v>
      </c>
      <c r="Q2292" s="28" t="s">
        <v>2017</v>
      </c>
      <c r="R2292" s="41">
        <v>0</v>
      </c>
      <c r="S2292" s="29">
        <v>3</v>
      </c>
      <c r="T2292" s="32">
        <v>4.6666666666000001E-2</v>
      </c>
      <c r="U2292" s="32">
        <v>0</v>
      </c>
      <c r="V2292" s="41">
        <v>0</v>
      </c>
      <c r="W2292" s="21"/>
      <c r="X2292" s="21"/>
    </row>
    <row r="2293" spans="1:24" ht="15.75" thickBot="1" x14ac:dyDescent="0.3">
      <c r="A2293" t="str">
        <f t="shared" si="35"/>
        <v>T1WB E27407 DB1HHY</v>
      </c>
      <c r="B2293" s="22" t="s">
        <v>1014</v>
      </c>
      <c r="C2293" s="22" t="s">
        <v>244</v>
      </c>
      <c r="D2293" s="22" t="s">
        <v>176</v>
      </c>
      <c r="E2293" s="21"/>
      <c r="F2293" s="22" t="s">
        <v>2375</v>
      </c>
      <c r="G2293" s="28" t="s">
        <v>2012</v>
      </c>
      <c r="H2293" s="22" t="s">
        <v>2055</v>
      </c>
      <c r="I2293" s="21"/>
      <c r="J2293" s="22" t="s">
        <v>261</v>
      </c>
      <c r="K2293" s="22" t="s">
        <v>262</v>
      </c>
      <c r="L2293" s="21"/>
      <c r="M2293" s="22" t="s">
        <v>2014</v>
      </c>
      <c r="N2293" s="28" t="s">
        <v>2015</v>
      </c>
      <c r="O2293" s="28" t="s">
        <v>2016</v>
      </c>
      <c r="P2293" s="29">
        <v>0</v>
      </c>
      <c r="Q2293" s="28" t="s">
        <v>2017</v>
      </c>
      <c r="R2293" s="41">
        <v>0</v>
      </c>
      <c r="S2293" s="29">
        <v>11</v>
      </c>
      <c r="T2293" s="32">
        <v>0.171111111111</v>
      </c>
      <c r="U2293" s="32">
        <v>0</v>
      </c>
      <c r="V2293" s="41">
        <v>0</v>
      </c>
      <c r="W2293" s="21"/>
      <c r="X2293" s="21"/>
    </row>
    <row r="2294" spans="1:24" ht="15.75" thickBot="1" x14ac:dyDescent="0.3">
      <c r="A2294" t="str">
        <f t="shared" si="35"/>
        <v>T1WB E28252 AA</v>
      </c>
      <c r="B2294" s="22" t="s">
        <v>8551</v>
      </c>
      <c r="C2294" s="22" t="s">
        <v>5325</v>
      </c>
      <c r="D2294" s="22" t="s">
        <v>2447</v>
      </c>
      <c r="E2294" s="21"/>
      <c r="F2294" s="22" t="s">
        <v>2030</v>
      </c>
      <c r="G2294" s="28" t="s">
        <v>2012</v>
      </c>
      <c r="H2294" s="22" t="s">
        <v>2080</v>
      </c>
      <c r="I2294" s="21"/>
      <c r="J2294" s="22" t="s">
        <v>261</v>
      </c>
      <c r="K2294" s="22" t="s">
        <v>924</v>
      </c>
      <c r="L2294" s="21"/>
      <c r="M2294" s="22" t="s">
        <v>2014</v>
      </c>
      <c r="N2294" s="28" t="s">
        <v>2015</v>
      </c>
      <c r="O2294" s="28" t="s">
        <v>2016</v>
      </c>
      <c r="P2294" s="29">
        <v>11</v>
      </c>
      <c r="Q2294" s="28" t="s">
        <v>2017</v>
      </c>
      <c r="R2294" s="21"/>
      <c r="S2294" s="21"/>
      <c r="T2294" s="21"/>
      <c r="U2294" s="21"/>
      <c r="V2294" s="21"/>
      <c r="W2294" s="21"/>
      <c r="X2294" s="21"/>
    </row>
    <row r="2295" spans="1:24" ht="15.75" thickBot="1" x14ac:dyDescent="0.3">
      <c r="A2295" t="str">
        <f t="shared" si="35"/>
        <v>T1WB E28252 AB</v>
      </c>
      <c r="B2295" s="22" t="s">
        <v>1986</v>
      </c>
      <c r="C2295" s="22" t="s">
        <v>8552</v>
      </c>
      <c r="D2295" s="22" t="s">
        <v>2447</v>
      </c>
      <c r="E2295" s="21"/>
      <c r="F2295" s="22" t="s">
        <v>2030</v>
      </c>
      <c r="G2295" s="28" t="s">
        <v>2012</v>
      </c>
      <c r="H2295" s="22" t="s">
        <v>2080</v>
      </c>
      <c r="I2295" s="21"/>
      <c r="J2295" s="22" t="s">
        <v>261</v>
      </c>
      <c r="K2295" s="22" t="s">
        <v>924</v>
      </c>
      <c r="L2295" s="21"/>
      <c r="M2295" s="22" t="s">
        <v>2014</v>
      </c>
      <c r="N2295" s="28" t="s">
        <v>2015</v>
      </c>
      <c r="O2295" s="28" t="s">
        <v>2016</v>
      </c>
      <c r="P2295" s="29">
        <v>0</v>
      </c>
      <c r="Q2295" s="28" t="s">
        <v>2017</v>
      </c>
      <c r="R2295" s="41">
        <v>0</v>
      </c>
      <c r="S2295" s="29">
        <v>110</v>
      </c>
      <c r="T2295" s="32">
        <v>1.711111111111</v>
      </c>
      <c r="U2295" s="32">
        <v>0</v>
      </c>
      <c r="V2295" s="41">
        <v>0</v>
      </c>
      <c r="W2295" s="21"/>
      <c r="X2295" s="21"/>
    </row>
    <row r="2296" spans="1:24" ht="15.75" thickBot="1" x14ac:dyDescent="0.3">
      <c r="A2296" t="str">
        <f t="shared" si="35"/>
        <v>T1WB E28253 AA</v>
      </c>
      <c r="B2296" s="22" t="s">
        <v>8553</v>
      </c>
      <c r="C2296" s="22" t="s">
        <v>5327</v>
      </c>
      <c r="D2296" s="22" t="s">
        <v>2447</v>
      </c>
      <c r="E2296" s="21"/>
      <c r="F2296" s="22" t="s">
        <v>2030</v>
      </c>
      <c r="G2296" s="28" t="s">
        <v>2012</v>
      </c>
      <c r="H2296" s="22" t="s">
        <v>2080</v>
      </c>
      <c r="I2296" s="21"/>
      <c r="J2296" s="22" t="s">
        <v>261</v>
      </c>
      <c r="K2296" s="22" t="s">
        <v>924</v>
      </c>
      <c r="L2296" s="21"/>
      <c r="M2296" s="22" t="s">
        <v>2014</v>
      </c>
      <c r="N2296" s="28" t="s">
        <v>2015</v>
      </c>
      <c r="O2296" s="28" t="s">
        <v>2016</v>
      </c>
      <c r="P2296" s="29">
        <v>22</v>
      </c>
      <c r="Q2296" s="28" t="s">
        <v>2017</v>
      </c>
      <c r="R2296" s="21"/>
      <c r="S2296" s="21"/>
      <c r="T2296" s="21"/>
      <c r="U2296" s="21"/>
      <c r="V2296" s="21"/>
      <c r="W2296" s="21"/>
      <c r="X2296" s="21"/>
    </row>
    <row r="2297" spans="1:24" ht="15.75" thickBot="1" x14ac:dyDescent="0.3">
      <c r="A2297" t="str">
        <f t="shared" si="35"/>
        <v>T1WB E28253 AB</v>
      </c>
      <c r="B2297" s="22" t="s">
        <v>1983</v>
      </c>
      <c r="C2297" s="22" t="s">
        <v>8554</v>
      </c>
      <c r="D2297" s="22" t="s">
        <v>2447</v>
      </c>
      <c r="E2297" s="21"/>
      <c r="F2297" s="22" t="s">
        <v>2030</v>
      </c>
      <c r="G2297" s="28" t="s">
        <v>2012</v>
      </c>
      <c r="H2297" s="22" t="s">
        <v>2080</v>
      </c>
      <c r="I2297" s="21"/>
      <c r="J2297" s="22" t="s">
        <v>261</v>
      </c>
      <c r="K2297" s="22" t="s">
        <v>924</v>
      </c>
      <c r="L2297" s="21"/>
      <c r="M2297" s="22" t="s">
        <v>2014</v>
      </c>
      <c r="N2297" s="28" t="s">
        <v>2015</v>
      </c>
      <c r="O2297" s="28" t="s">
        <v>2016</v>
      </c>
      <c r="P2297" s="29">
        <v>0</v>
      </c>
      <c r="Q2297" s="28" t="s">
        <v>2017</v>
      </c>
      <c r="R2297" s="41">
        <v>0</v>
      </c>
      <c r="S2297" s="29">
        <v>110</v>
      </c>
      <c r="T2297" s="32">
        <v>1.711111111111</v>
      </c>
      <c r="U2297" s="32">
        <v>0</v>
      </c>
      <c r="V2297" s="41">
        <v>0</v>
      </c>
      <c r="W2297" s="21"/>
      <c r="X2297" s="21"/>
    </row>
    <row r="2298" spans="1:24" ht="15.75" thickBot="1" x14ac:dyDescent="0.3">
      <c r="A2298" t="str">
        <f t="shared" si="35"/>
        <v>T1WB E50291 AA</v>
      </c>
      <c r="B2298" s="22" t="s">
        <v>8555</v>
      </c>
      <c r="C2298" s="22" t="s">
        <v>8556</v>
      </c>
      <c r="D2298" s="22" t="s">
        <v>4731</v>
      </c>
      <c r="E2298" s="21"/>
      <c r="F2298" s="22" t="s">
        <v>2030</v>
      </c>
      <c r="G2298" s="28" t="s">
        <v>2012</v>
      </c>
      <c r="H2298" s="22" t="s">
        <v>2080</v>
      </c>
      <c r="I2298" s="21"/>
      <c r="J2298" s="22" t="s">
        <v>261</v>
      </c>
      <c r="K2298" s="22" t="s">
        <v>924</v>
      </c>
      <c r="L2298" s="21"/>
      <c r="M2298" s="22" t="s">
        <v>2014</v>
      </c>
      <c r="N2298" s="28" t="s">
        <v>2015</v>
      </c>
      <c r="O2298" s="28" t="s">
        <v>2016</v>
      </c>
      <c r="P2298" s="29">
        <v>0</v>
      </c>
      <c r="Q2298" s="28" t="s">
        <v>2017</v>
      </c>
      <c r="R2298" s="21"/>
      <c r="S2298" s="21"/>
      <c r="T2298" s="21"/>
      <c r="U2298" s="21"/>
      <c r="V2298" s="21"/>
      <c r="W2298" s="21"/>
      <c r="X2298" s="21"/>
    </row>
    <row r="2299" spans="1:24" ht="15.75" thickBot="1" x14ac:dyDescent="0.3">
      <c r="A2299" t="str">
        <f t="shared" si="35"/>
        <v>V2DB 16E166 AA</v>
      </c>
      <c r="B2299" s="22" t="s">
        <v>369</v>
      </c>
      <c r="C2299" s="22" t="s">
        <v>8557</v>
      </c>
      <c r="D2299" s="22" t="s">
        <v>8558</v>
      </c>
      <c r="E2299" s="21"/>
      <c r="F2299" s="22" t="s">
        <v>2472</v>
      </c>
      <c r="G2299" s="28" t="s">
        <v>2012</v>
      </c>
      <c r="H2299" s="22" t="s">
        <v>2080</v>
      </c>
      <c r="I2299" s="21"/>
      <c r="J2299" s="22" t="s">
        <v>364</v>
      </c>
      <c r="K2299" s="22" t="s">
        <v>262</v>
      </c>
      <c r="L2299" s="21"/>
      <c r="M2299" s="22" t="s">
        <v>2014</v>
      </c>
      <c r="N2299" s="28" t="s">
        <v>2015</v>
      </c>
      <c r="O2299" s="28" t="s">
        <v>2016</v>
      </c>
      <c r="P2299" s="29">
        <v>0</v>
      </c>
      <c r="Q2299" s="28" t="s">
        <v>2017</v>
      </c>
      <c r="R2299" s="21"/>
      <c r="S2299" s="21"/>
      <c r="T2299" s="21"/>
      <c r="U2299" s="21"/>
      <c r="V2299" s="21"/>
      <c r="W2299" s="21"/>
      <c r="X2299" s="21"/>
    </row>
    <row r="2300" spans="1:24" ht="15.75" thickBot="1" x14ac:dyDescent="0.3">
      <c r="A2300" t="str">
        <f t="shared" si="35"/>
        <v>VEND-016-0030</v>
      </c>
      <c r="B2300" s="22" t="s">
        <v>8559</v>
      </c>
      <c r="C2300" s="22" t="s">
        <v>8560</v>
      </c>
      <c r="D2300" s="22" t="s">
        <v>8561</v>
      </c>
      <c r="E2300" s="22" t="s">
        <v>8562</v>
      </c>
      <c r="F2300" s="22" t="s">
        <v>8563</v>
      </c>
      <c r="G2300" s="28" t="s">
        <v>5499</v>
      </c>
      <c r="H2300" s="22" t="s">
        <v>5885</v>
      </c>
      <c r="I2300" s="22" t="s">
        <v>5886</v>
      </c>
      <c r="J2300" s="22" t="s">
        <v>5887</v>
      </c>
      <c r="K2300" s="22" t="s">
        <v>3324</v>
      </c>
      <c r="L2300" s="22" t="s">
        <v>5888</v>
      </c>
      <c r="M2300" s="22" t="s">
        <v>5889</v>
      </c>
      <c r="N2300" s="28" t="s">
        <v>2494</v>
      </c>
      <c r="O2300" s="28" t="s">
        <v>2016</v>
      </c>
      <c r="P2300" s="29">
        <v>2</v>
      </c>
      <c r="Q2300" s="28" t="s">
        <v>2017</v>
      </c>
      <c r="R2300" s="21"/>
      <c r="S2300" s="21"/>
      <c r="T2300" s="21"/>
      <c r="U2300" s="21"/>
      <c r="V2300" s="21"/>
      <c r="W2300" s="21"/>
      <c r="X2300" s="21"/>
    </row>
    <row r="2301" spans="1:24" ht="15.75" thickBot="1" x14ac:dyDescent="0.3">
      <c r="A2301" t="str">
        <f t="shared" si="35"/>
        <v>VEND-016-0070</v>
      </c>
      <c r="B2301" s="22" t="s">
        <v>8564</v>
      </c>
      <c r="C2301" s="22" t="s">
        <v>8565</v>
      </c>
      <c r="D2301" s="22" t="s">
        <v>8566</v>
      </c>
      <c r="E2301" s="22" t="s">
        <v>8567</v>
      </c>
      <c r="F2301" s="22" t="s">
        <v>8563</v>
      </c>
      <c r="G2301" s="28" t="s">
        <v>5499</v>
      </c>
      <c r="H2301" s="22" t="s">
        <v>5885</v>
      </c>
      <c r="I2301" s="22" t="s">
        <v>5886</v>
      </c>
      <c r="J2301" s="22" t="s">
        <v>5887</v>
      </c>
      <c r="K2301" s="22" t="s">
        <v>3324</v>
      </c>
      <c r="L2301" s="22" t="s">
        <v>5888</v>
      </c>
      <c r="M2301" s="22" t="s">
        <v>5889</v>
      </c>
      <c r="N2301" s="28" t="s">
        <v>2494</v>
      </c>
      <c r="O2301" s="28" t="s">
        <v>2016</v>
      </c>
      <c r="P2301" s="29">
        <v>5</v>
      </c>
      <c r="Q2301" s="28" t="s">
        <v>2017</v>
      </c>
      <c r="R2301" s="21"/>
      <c r="S2301" s="21"/>
      <c r="T2301" s="21"/>
      <c r="U2301" s="21"/>
      <c r="V2301" s="21"/>
      <c r="W2301" s="21"/>
      <c r="X2301" s="21"/>
    </row>
    <row r="2302" spans="1:24" ht="15.75" thickBot="1" x14ac:dyDescent="0.3">
      <c r="A2302" t="str">
        <f t="shared" si="35"/>
        <v>VEND-016-0075</v>
      </c>
      <c r="B2302" s="22" t="s">
        <v>8568</v>
      </c>
      <c r="C2302" s="22" t="s">
        <v>8569</v>
      </c>
      <c r="D2302" s="22" t="s">
        <v>8570</v>
      </c>
      <c r="E2302" s="22" t="s">
        <v>8571</v>
      </c>
      <c r="F2302" s="22" t="s">
        <v>8563</v>
      </c>
      <c r="G2302" s="28" t="s">
        <v>5499</v>
      </c>
      <c r="H2302" s="22" t="s">
        <v>5885</v>
      </c>
      <c r="I2302" s="22" t="s">
        <v>5886</v>
      </c>
      <c r="J2302" s="22" t="s">
        <v>5887</v>
      </c>
      <c r="K2302" s="22" t="s">
        <v>3324</v>
      </c>
      <c r="L2302" s="22" t="s">
        <v>5888</v>
      </c>
      <c r="M2302" s="22" t="s">
        <v>5889</v>
      </c>
      <c r="N2302" s="28" t="s">
        <v>2494</v>
      </c>
      <c r="O2302" s="28" t="s">
        <v>2016</v>
      </c>
      <c r="P2302" s="29">
        <v>1</v>
      </c>
      <c r="Q2302" s="28" t="s">
        <v>2017</v>
      </c>
      <c r="R2302" s="21"/>
      <c r="S2302" s="21"/>
      <c r="T2302" s="21"/>
      <c r="U2302" s="21"/>
      <c r="V2302" s="21"/>
      <c r="W2302" s="21"/>
      <c r="X2302" s="21"/>
    </row>
    <row r="2303" spans="1:24" ht="15.75" thickBot="1" x14ac:dyDescent="0.3">
      <c r="A2303" t="str">
        <f t="shared" si="35"/>
        <v>VEND-035-0040</v>
      </c>
      <c r="B2303" s="22" t="s">
        <v>8572</v>
      </c>
      <c r="C2303" s="22" t="s">
        <v>8573</v>
      </c>
      <c r="D2303" s="22" t="s">
        <v>8574</v>
      </c>
      <c r="E2303" s="22" t="s">
        <v>8575</v>
      </c>
      <c r="F2303" s="22" t="s">
        <v>8576</v>
      </c>
      <c r="G2303" s="28" t="s">
        <v>5499</v>
      </c>
      <c r="H2303" s="22" t="s">
        <v>5885</v>
      </c>
      <c r="I2303" s="22" t="s">
        <v>5886</v>
      </c>
      <c r="J2303" s="22" t="s">
        <v>5887</v>
      </c>
      <c r="K2303" s="22" t="s">
        <v>3324</v>
      </c>
      <c r="L2303" s="22" t="s">
        <v>5888</v>
      </c>
      <c r="M2303" s="22" t="s">
        <v>5889</v>
      </c>
      <c r="N2303" s="28" t="s">
        <v>2494</v>
      </c>
      <c r="O2303" s="28" t="s">
        <v>2016</v>
      </c>
      <c r="P2303" s="29">
        <v>1</v>
      </c>
      <c r="Q2303" s="28" t="s">
        <v>2017</v>
      </c>
      <c r="R2303" s="21"/>
      <c r="S2303" s="21"/>
      <c r="T2303" s="21"/>
      <c r="U2303" s="21"/>
      <c r="V2303" s="21"/>
      <c r="W2303" s="21"/>
      <c r="X2303" s="21"/>
    </row>
    <row r="2304" spans="1:24" ht="15.75" thickBot="1" x14ac:dyDescent="0.3">
      <c r="A2304" t="str">
        <f t="shared" si="35"/>
        <v>VEND-035-2110</v>
      </c>
      <c r="B2304" s="22" t="s">
        <v>8577</v>
      </c>
      <c r="C2304" s="22" t="s">
        <v>8578</v>
      </c>
      <c r="D2304" s="22" t="s">
        <v>8579</v>
      </c>
      <c r="E2304" s="22" t="s">
        <v>8580</v>
      </c>
      <c r="F2304" s="22" t="s">
        <v>8563</v>
      </c>
      <c r="G2304" s="28" t="s">
        <v>5499</v>
      </c>
      <c r="H2304" s="22" t="s">
        <v>5885</v>
      </c>
      <c r="I2304" s="22" t="s">
        <v>5886</v>
      </c>
      <c r="J2304" s="22" t="s">
        <v>5887</v>
      </c>
      <c r="K2304" s="22" t="s">
        <v>3324</v>
      </c>
      <c r="L2304" s="22" t="s">
        <v>5941</v>
      </c>
      <c r="M2304" s="22" t="s">
        <v>5889</v>
      </c>
      <c r="N2304" s="28" t="s">
        <v>2494</v>
      </c>
      <c r="O2304" s="28" t="s">
        <v>2016</v>
      </c>
      <c r="P2304" s="29">
        <v>1</v>
      </c>
      <c r="Q2304" s="28" t="s">
        <v>2017</v>
      </c>
      <c r="R2304" s="21"/>
      <c r="S2304" s="21"/>
      <c r="T2304" s="21"/>
      <c r="U2304" s="21"/>
      <c r="V2304" s="21"/>
      <c r="W2304" s="21"/>
      <c r="X2304" s="21"/>
    </row>
    <row r="2305" spans="1:24" ht="15.75" thickBot="1" x14ac:dyDescent="0.3">
      <c r="A2305" t="str">
        <f t="shared" si="35"/>
        <v>X-MB3B 10723 B</v>
      </c>
      <c r="B2305" s="22" t="s">
        <v>950</v>
      </c>
      <c r="C2305" s="22" t="s">
        <v>8581</v>
      </c>
      <c r="D2305" s="22" t="s">
        <v>4958</v>
      </c>
      <c r="E2305" s="22" t="s">
        <v>8582</v>
      </c>
      <c r="F2305" s="22" t="s">
        <v>2459</v>
      </c>
      <c r="G2305" s="28" t="s">
        <v>2012</v>
      </c>
      <c r="H2305" s="22" t="s">
        <v>8583</v>
      </c>
      <c r="I2305" s="21"/>
      <c r="J2305" s="22" t="s">
        <v>261</v>
      </c>
      <c r="K2305" s="22" t="s">
        <v>924</v>
      </c>
      <c r="L2305" s="21"/>
      <c r="M2305" s="22" t="s">
        <v>6878</v>
      </c>
      <c r="N2305" s="28" t="s">
        <v>2015</v>
      </c>
      <c r="O2305" s="28" t="s">
        <v>2016</v>
      </c>
      <c r="P2305" s="29">
        <v>0</v>
      </c>
      <c r="Q2305" s="28" t="s">
        <v>2017</v>
      </c>
      <c r="R2305" s="41">
        <v>0</v>
      </c>
      <c r="S2305" s="29">
        <v>15000</v>
      </c>
      <c r="T2305" s="32">
        <v>233.333333333333</v>
      </c>
      <c r="U2305" s="32">
        <v>0</v>
      </c>
      <c r="V2305" s="41">
        <v>0</v>
      </c>
      <c r="W2305" s="21"/>
      <c r="X2305" s="21"/>
    </row>
    <row r="2306" spans="1:24" ht="15.75" thickBot="1" x14ac:dyDescent="0.3">
      <c r="A2306" t="str">
        <f t="shared" si="35"/>
        <v>XN1WB 8C291 CD</v>
      </c>
      <c r="B2306" s="22" t="s">
        <v>8584</v>
      </c>
      <c r="C2306" s="22" t="s">
        <v>8585</v>
      </c>
      <c r="D2306" s="22" t="s">
        <v>8586</v>
      </c>
      <c r="E2306" s="21"/>
      <c r="F2306" s="22" t="s">
        <v>7322</v>
      </c>
      <c r="G2306" s="28" t="s">
        <v>2012</v>
      </c>
      <c r="H2306" s="22" t="s">
        <v>2080</v>
      </c>
      <c r="I2306" s="21"/>
      <c r="J2306" s="22" t="s">
        <v>261</v>
      </c>
      <c r="K2306" s="22" t="s">
        <v>262</v>
      </c>
      <c r="L2306" s="21"/>
      <c r="M2306" s="22" t="s">
        <v>2014</v>
      </c>
      <c r="N2306" s="28" t="s">
        <v>2015</v>
      </c>
      <c r="O2306" s="28" t="s">
        <v>2016</v>
      </c>
      <c r="P2306" s="29">
        <v>0</v>
      </c>
      <c r="Q2306" s="28" t="s">
        <v>2017</v>
      </c>
      <c r="R2306" s="21"/>
      <c r="S2306" s="21"/>
      <c r="T2306" s="21"/>
      <c r="U2306" s="21"/>
      <c r="V2306" s="21"/>
      <c r="W2306" s="21"/>
      <c r="X2306" s="21"/>
    </row>
  </sheetData>
  <mergeCells count="2">
    <mergeCell ref="B1:X1"/>
    <mergeCell ref="B2:X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876F-D616-421C-B77C-3FCF3FD3E75A}">
  <dimension ref="A1:F157"/>
  <sheetViews>
    <sheetView workbookViewId="0">
      <selection activeCell="I17" sqref="I17"/>
    </sheetView>
  </sheetViews>
  <sheetFormatPr defaultRowHeight="15" x14ac:dyDescent="0.25"/>
  <cols>
    <col min="1" max="2" width="18.85546875" bestFit="1" customWidth="1"/>
    <col min="3" max="3" width="28" bestFit="1" customWidth="1"/>
    <col min="4" max="4" width="11.42578125" bestFit="1" customWidth="1"/>
    <col min="5" max="5" width="27.28515625" bestFit="1" customWidth="1"/>
    <col min="6" max="6" width="9" bestFit="1" customWidth="1"/>
  </cols>
  <sheetData>
    <row r="1" spans="1:6" ht="18.75" thickBot="1" x14ac:dyDescent="0.3">
      <c r="A1" s="51" t="s">
        <v>8587</v>
      </c>
      <c r="B1" s="15"/>
      <c r="C1" s="15"/>
      <c r="D1" s="15"/>
      <c r="E1" s="15"/>
      <c r="F1" s="15"/>
    </row>
    <row r="2" spans="1:6" ht="15.75" thickBot="1" x14ac:dyDescent="0.3">
      <c r="A2" s="46" t="s">
        <v>8588</v>
      </c>
      <c r="B2" s="46" t="s">
        <v>8589</v>
      </c>
      <c r="C2" s="46" t="s">
        <v>8590</v>
      </c>
      <c r="D2" s="46" t="s">
        <v>8591</v>
      </c>
      <c r="E2" s="46" t="s">
        <v>8592</v>
      </c>
      <c r="F2" s="46" t="s">
        <v>8593</v>
      </c>
    </row>
    <row r="3" spans="1:6" ht="15.75" thickBot="1" x14ac:dyDescent="0.3">
      <c r="A3" s="52" t="s">
        <v>3150</v>
      </c>
      <c r="B3" s="52" t="s">
        <v>3150</v>
      </c>
      <c r="C3" s="52" t="s">
        <v>1252</v>
      </c>
      <c r="D3" s="47" t="s">
        <v>8594</v>
      </c>
      <c r="E3" s="47" t="s">
        <v>8595</v>
      </c>
      <c r="F3" s="48">
        <v>90</v>
      </c>
    </row>
    <row r="4" spans="1:6" ht="15.75" thickBot="1" x14ac:dyDescent="0.3">
      <c r="A4" s="50"/>
      <c r="B4" s="50"/>
      <c r="C4" s="50"/>
      <c r="D4" s="49" t="s">
        <v>8596</v>
      </c>
      <c r="E4" s="49" t="s">
        <v>8597</v>
      </c>
      <c r="F4" s="48">
        <v>270</v>
      </c>
    </row>
    <row r="5" spans="1:6" ht="15.75" thickBot="1" x14ac:dyDescent="0.3">
      <c r="A5" s="49" t="s">
        <v>3236</v>
      </c>
      <c r="B5" s="49" t="s">
        <v>3236</v>
      </c>
      <c r="C5" s="49" t="s">
        <v>1092</v>
      </c>
      <c r="D5" s="49" t="s">
        <v>8598</v>
      </c>
      <c r="E5" s="49" t="s">
        <v>8599</v>
      </c>
      <c r="F5" s="48">
        <v>3366</v>
      </c>
    </row>
    <row r="6" spans="1:6" ht="15.75" thickBot="1" x14ac:dyDescent="0.3">
      <c r="A6" s="49" t="s">
        <v>110</v>
      </c>
      <c r="B6" s="49" t="s">
        <v>110</v>
      </c>
      <c r="C6" s="49" t="s">
        <v>979</v>
      </c>
      <c r="D6" s="49" t="s">
        <v>8600</v>
      </c>
      <c r="E6" s="49" t="s">
        <v>8601</v>
      </c>
      <c r="F6" s="48">
        <v>16</v>
      </c>
    </row>
    <row r="7" spans="1:6" ht="15.75" thickBot="1" x14ac:dyDescent="0.3">
      <c r="A7" s="49" t="s">
        <v>4260</v>
      </c>
      <c r="B7" s="49" t="s">
        <v>4260</v>
      </c>
      <c r="C7" s="49" t="s">
        <v>421</v>
      </c>
      <c r="D7" s="49" t="s">
        <v>8602</v>
      </c>
      <c r="E7" s="49" t="s">
        <v>8603</v>
      </c>
      <c r="F7" s="48">
        <v>72</v>
      </c>
    </row>
    <row r="8" spans="1:6" ht="15.75" thickBot="1" x14ac:dyDescent="0.3">
      <c r="A8" s="49" t="s">
        <v>8604</v>
      </c>
      <c r="B8" s="49" t="s">
        <v>8604</v>
      </c>
      <c r="C8" s="49" t="s">
        <v>1239</v>
      </c>
      <c r="D8" s="49" t="s">
        <v>8605</v>
      </c>
      <c r="E8" s="49" t="s">
        <v>8606</v>
      </c>
      <c r="F8" s="48">
        <v>560</v>
      </c>
    </row>
    <row r="9" spans="1:6" ht="15.75" thickBot="1" x14ac:dyDescent="0.3">
      <c r="A9" s="49" t="s">
        <v>2009</v>
      </c>
      <c r="B9" s="49" t="s">
        <v>2009</v>
      </c>
      <c r="C9" s="49" t="s">
        <v>397</v>
      </c>
      <c r="D9" s="49" t="s">
        <v>8607</v>
      </c>
      <c r="E9" s="49" t="s">
        <v>8608</v>
      </c>
      <c r="F9" s="48">
        <v>1044</v>
      </c>
    </row>
    <row r="10" spans="1:6" ht="15.75" thickBot="1" x14ac:dyDescent="0.3">
      <c r="A10" s="49" t="s">
        <v>2076</v>
      </c>
      <c r="B10" s="49" t="s">
        <v>2076</v>
      </c>
      <c r="C10" s="49" t="s">
        <v>1935</v>
      </c>
      <c r="D10" s="49" t="s">
        <v>8609</v>
      </c>
      <c r="E10" s="49" t="s">
        <v>8610</v>
      </c>
      <c r="F10" s="48">
        <v>650</v>
      </c>
    </row>
    <row r="11" spans="1:6" ht="15.75" thickBot="1" x14ac:dyDescent="0.3">
      <c r="A11" s="49" t="s">
        <v>8611</v>
      </c>
      <c r="B11" s="49" t="s">
        <v>8611</v>
      </c>
      <c r="C11" s="49" t="s">
        <v>1961</v>
      </c>
      <c r="D11" s="49" t="s">
        <v>8605</v>
      </c>
      <c r="E11" s="49" t="s">
        <v>8606</v>
      </c>
      <c r="F11" s="48">
        <v>270</v>
      </c>
    </row>
    <row r="12" spans="1:6" ht="15.75" thickBot="1" x14ac:dyDescent="0.3">
      <c r="A12" s="49" t="s">
        <v>179</v>
      </c>
      <c r="B12" s="49" t="s">
        <v>179</v>
      </c>
      <c r="C12" s="49" t="s">
        <v>994</v>
      </c>
      <c r="D12" s="49" t="s">
        <v>8600</v>
      </c>
      <c r="E12" s="49" t="s">
        <v>8601</v>
      </c>
      <c r="F12" s="48">
        <v>16</v>
      </c>
    </row>
    <row r="13" spans="1:6" ht="15.75" thickBot="1" x14ac:dyDescent="0.3">
      <c r="A13" s="49" t="s">
        <v>8612</v>
      </c>
      <c r="B13" s="49" t="s">
        <v>8612</v>
      </c>
      <c r="C13" s="49" t="s">
        <v>1887</v>
      </c>
      <c r="D13" s="49" t="s">
        <v>8609</v>
      </c>
      <c r="E13" s="49" t="s">
        <v>8610</v>
      </c>
      <c r="F13" s="48">
        <v>360</v>
      </c>
    </row>
    <row r="14" spans="1:6" ht="15.75" thickBot="1" x14ac:dyDescent="0.3">
      <c r="A14" s="49" t="s">
        <v>2424</v>
      </c>
      <c r="B14" s="49" t="s">
        <v>2424</v>
      </c>
      <c r="C14" s="49" t="s">
        <v>534</v>
      </c>
      <c r="D14" s="49" t="s">
        <v>8613</v>
      </c>
      <c r="E14" s="49" t="s">
        <v>8610</v>
      </c>
      <c r="F14" s="48">
        <v>96</v>
      </c>
    </row>
    <row r="15" spans="1:6" ht="15.75" thickBot="1" x14ac:dyDescent="0.3">
      <c r="A15" s="49" t="s">
        <v>3940</v>
      </c>
      <c r="B15" s="49" t="s">
        <v>3940</v>
      </c>
      <c r="C15" s="49" t="s">
        <v>957</v>
      </c>
      <c r="D15" s="49" t="s">
        <v>8605</v>
      </c>
      <c r="E15" s="49" t="s">
        <v>8606</v>
      </c>
      <c r="F15" s="48">
        <v>3600</v>
      </c>
    </row>
    <row r="16" spans="1:6" ht="15.75" thickBot="1" x14ac:dyDescent="0.3">
      <c r="A16" s="49" t="s">
        <v>39</v>
      </c>
      <c r="B16" s="49" t="s">
        <v>39</v>
      </c>
      <c r="C16" s="49" t="s">
        <v>1017</v>
      </c>
      <c r="D16" s="49" t="s">
        <v>8600</v>
      </c>
      <c r="E16" s="49" t="s">
        <v>8601</v>
      </c>
      <c r="F16" s="48">
        <v>2</v>
      </c>
    </row>
    <row r="17" spans="1:6" ht="15.75" thickBot="1" x14ac:dyDescent="0.3">
      <c r="A17" s="49" t="s">
        <v>8614</v>
      </c>
      <c r="B17" s="49" t="s">
        <v>8614</v>
      </c>
      <c r="C17" s="49" t="s">
        <v>383</v>
      </c>
      <c r="D17" s="49" t="s">
        <v>8613</v>
      </c>
      <c r="E17" s="49" t="s">
        <v>8610</v>
      </c>
      <c r="F17" s="48">
        <v>192</v>
      </c>
    </row>
    <row r="18" spans="1:6" ht="15.75" thickBot="1" x14ac:dyDescent="0.3">
      <c r="A18" s="49" t="s">
        <v>8615</v>
      </c>
      <c r="B18" s="49" t="s">
        <v>8615</v>
      </c>
      <c r="C18" s="49" t="s">
        <v>1798</v>
      </c>
      <c r="D18" s="49" t="s">
        <v>8605</v>
      </c>
      <c r="E18" s="49" t="s">
        <v>8606</v>
      </c>
      <c r="F18" s="48">
        <v>1080</v>
      </c>
    </row>
    <row r="19" spans="1:6" ht="15.75" thickBot="1" x14ac:dyDescent="0.3">
      <c r="A19" s="49" t="s">
        <v>2656</v>
      </c>
      <c r="B19" s="49" t="s">
        <v>2656</v>
      </c>
      <c r="C19" s="49" t="s">
        <v>436</v>
      </c>
      <c r="D19" s="49" t="s">
        <v>8602</v>
      </c>
      <c r="E19" s="49" t="s">
        <v>8603</v>
      </c>
      <c r="F19" s="48">
        <v>96</v>
      </c>
    </row>
    <row r="20" spans="1:6" ht="15.75" thickBot="1" x14ac:dyDescent="0.3">
      <c r="A20" s="49" t="s">
        <v>2460</v>
      </c>
      <c r="B20" s="49" t="s">
        <v>2460</v>
      </c>
      <c r="C20" s="49" t="s">
        <v>1156</v>
      </c>
      <c r="D20" s="49" t="s">
        <v>8616</v>
      </c>
      <c r="E20" s="49" t="s">
        <v>8617</v>
      </c>
      <c r="F20" s="48">
        <v>10301</v>
      </c>
    </row>
    <row r="21" spans="1:6" ht="15.75" thickBot="1" x14ac:dyDescent="0.3">
      <c r="A21" s="49" t="s">
        <v>3051</v>
      </c>
      <c r="B21" s="49" t="s">
        <v>3051</v>
      </c>
      <c r="C21" s="49" t="s">
        <v>324</v>
      </c>
      <c r="D21" s="49" t="s">
        <v>8613</v>
      </c>
      <c r="E21" s="49" t="s">
        <v>8610</v>
      </c>
      <c r="F21" s="48">
        <v>384</v>
      </c>
    </row>
    <row r="22" spans="1:6" ht="15.75" thickBot="1" x14ac:dyDescent="0.3">
      <c r="A22" s="49" t="s">
        <v>3063</v>
      </c>
      <c r="B22" s="49" t="s">
        <v>3063</v>
      </c>
      <c r="C22" s="49" t="s">
        <v>1247</v>
      </c>
      <c r="D22" s="49" t="s">
        <v>8605</v>
      </c>
      <c r="E22" s="49" t="s">
        <v>8606</v>
      </c>
      <c r="F22" s="48">
        <v>560</v>
      </c>
    </row>
    <row r="23" spans="1:6" ht="15.75" thickBot="1" x14ac:dyDescent="0.3">
      <c r="A23" s="49" t="s">
        <v>2427</v>
      </c>
      <c r="B23" s="49" t="s">
        <v>2427</v>
      </c>
      <c r="C23" s="49" t="s">
        <v>328</v>
      </c>
      <c r="D23" s="49" t="s">
        <v>8613</v>
      </c>
      <c r="E23" s="49" t="s">
        <v>8610</v>
      </c>
      <c r="F23" s="48">
        <v>216</v>
      </c>
    </row>
    <row r="24" spans="1:6" ht="15.75" thickBot="1" x14ac:dyDescent="0.3">
      <c r="A24" s="49" t="s">
        <v>201</v>
      </c>
      <c r="B24" s="49" t="s">
        <v>201</v>
      </c>
      <c r="C24" s="49" t="s">
        <v>994</v>
      </c>
      <c r="D24" s="49" t="s">
        <v>8600</v>
      </c>
      <c r="E24" s="49" t="s">
        <v>8601</v>
      </c>
      <c r="F24" s="48">
        <v>3</v>
      </c>
    </row>
    <row r="25" spans="1:6" ht="15.75" thickBot="1" x14ac:dyDescent="0.3">
      <c r="A25" s="49" t="s">
        <v>69</v>
      </c>
      <c r="B25" s="49" t="s">
        <v>69</v>
      </c>
      <c r="C25" s="49" t="s">
        <v>1017</v>
      </c>
      <c r="D25" s="49" t="s">
        <v>8600</v>
      </c>
      <c r="E25" s="49" t="s">
        <v>8601</v>
      </c>
      <c r="F25" s="48">
        <v>7</v>
      </c>
    </row>
    <row r="26" spans="1:6" ht="15.75" thickBot="1" x14ac:dyDescent="0.3">
      <c r="A26" s="49" t="s">
        <v>8618</v>
      </c>
      <c r="B26" s="49" t="s">
        <v>8618</v>
      </c>
      <c r="C26" s="49" t="s">
        <v>1884</v>
      </c>
      <c r="D26" s="49" t="s">
        <v>8609</v>
      </c>
      <c r="E26" s="49" t="s">
        <v>8610</v>
      </c>
      <c r="F26" s="48">
        <v>256</v>
      </c>
    </row>
    <row r="27" spans="1:6" ht="15.75" thickBot="1" x14ac:dyDescent="0.3">
      <c r="A27" s="49" t="s">
        <v>2202</v>
      </c>
      <c r="B27" s="49" t="s">
        <v>2202</v>
      </c>
      <c r="C27" s="49" t="s">
        <v>1383</v>
      </c>
      <c r="D27" s="49" t="s">
        <v>8619</v>
      </c>
      <c r="E27" s="49" t="s">
        <v>8620</v>
      </c>
      <c r="F27" s="48">
        <v>3960</v>
      </c>
    </row>
    <row r="28" spans="1:6" ht="15.75" thickBot="1" x14ac:dyDescent="0.3">
      <c r="A28" s="49" t="s">
        <v>8621</v>
      </c>
      <c r="B28" s="49" t="s">
        <v>8621</v>
      </c>
      <c r="C28" s="49" t="s">
        <v>1896</v>
      </c>
      <c r="D28" s="49" t="s">
        <v>8609</v>
      </c>
      <c r="E28" s="49" t="s">
        <v>8610</v>
      </c>
      <c r="F28" s="48">
        <v>312</v>
      </c>
    </row>
    <row r="29" spans="1:6" ht="15.75" thickBot="1" x14ac:dyDescent="0.3">
      <c r="A29" s="49" t="s">
        <v>3288</v>
      </c>
      <c r="B29" s="49" t="s">
        <v>3288</v>
      </c>
      <c r="C29" s="49" t="s">
        <v>919</v>
      </c>
      <c r="D29" s="49" t="s">
        <v>8622</v>
      </c>
      <c r="E29" s="49" t="s">
        <v>8599</v>
      </c>
      <c r="F29" s="48">
        <v>156</v>
      </c>
    </row>
    <row r="30" spans="1:6" ht="15.75" thickBot="1" x14ac:dyDescent="0.3">
      <c r="A30" s="49" t="s">
        <v>8623</v>
      </c>
      <c r="B30" s="49" t="s">
        <v>8623</v>
      </c>
      <c r="C30" s="49" t="s">
        <v>386</v>
      </c>
      <c r="D30" s="49" t="s">
        <v>8613</v>
      </c>
      <c r="E30" s="49" t="s">
        <v>8610</v>
      </c>
      <c r="F30" s="48">
        <v>252</v>
      </c>
    </row>
    <row r="31" spans="1:6" ht="15.75" thickBot="1" x14ac:dyDescent="0.3">
      <c r="A31" s="49" t="s">
        <v>2572</v>
      </c>
      <c r="B31" s="49" t="s">
        <v>2572</v>
      </c>
      <c r="C31" s="49" t="s">
        <v>366</v>
      </c>
      <c r="D31" s="49" t="s">
        <v>8613</v>
      </c>
      <c r="E31" s="49" t="s">
        <v>8610</v>
      </c>
      <c r="F31" s="48">
        <v>60</v>
      </c>
    </row>
    <row r="32" spans="1:6" ht="15.75" thickBot="1" x14ac:dyDescent="0.3">
      <c r="A32" s="49" t="s">
        <v>37</v>
      </c>
      <c r="B32" s="49" t="s">
        <v>37</v>
      </c>
      <c r="C32" s="49" t="s">
        <v>1017</v>
      </c>
      <c r="D32" s="49" t="s">
        <v>8600</v>
      </c>
      <c r="E32" s="49" t="s">
        <v>8601</v>
      </c>
      <c r="F32" s="48">
        <v>3</v>
      </c>
    </row>
    <row r="33" spans="1:6" ht="15.75" thickBot="1" x14ac:dyDescent="0.3">
      <c r="A33" s="49" t="s">
        <v>8624</v>
      </c>
      <c r="B33" s="49" t="s">
        <v>8624</v>
      </c>
      <c r="C33" s="49" t="s">
        <v>1850</v>
      </c>
      <c r="D33" s="49" t="s">
        <v>8605</v>
      </c>
      <c r="E33" s="49" t="s">
        <v>8606</v>
      </c>
      <c r="F33" s="48">
        <v>560</v>
      </c>
    </row>
    <row r="34" spans="1:6" ht="15.75" thickBot="1" x14ac:dyDescent="0.3">
      <c r="A34" s="49" t="s">
        <v>2245</v>
      </c>
      <c r="B34" s="49" t="s">
        <v>2245</v>
      </c>
      <c r="C34" s="49" t="s">
        <v>1646</v>
      </c>
      <c r="D34" s="49" t="s">
        <v>8613</v>
      </c>
      <c r="E34" s="49" t="s">
        <v>8610</v>
      </c>
      <c r="F34" s="48">
        <v>192</v>
      </c>
    </row>
    <row r="35" spans="1:6" ht="15.75" thickBot="1" x14ac:dyDescent="0.3">
      <c r="A35" s="49" t="s">
        <v>2630</v>
      </c>
      <c r="B35" s="49" t="s">
        <v>2630</v>
      </c>
      <c r="C35" s="49" t="s">
        <v>1088</v>
      </c>
      <c r="D35" s="49" t="s">
        <v>8598</v>
      </c>
      <c r="E35" s="49" t="s">
        <v>8599</v>
      </c>
      <c r="F35" s="48">
        <v>3000</v>
      </c>
    </row>
    <row r="36" spans="1:6" ht="15.75" thickBot="1" x14ac:dyDescent="0.3">
      <c r="A36" s="49" t="s">
        <v>2081</v>
      </c>
      <c r="B36" s="49" t="s">
        <v>2081</v>
      </c>
      <c r="C36" s="49" t="s">
        <v>1938</v>
      </c>
      <c r="D36" s="49" t="s">
        <v>8609</v>
      </c>
      <c r="E36" s="49" t="s">
        <v>8610</v>
      </c>
      <c r="F36" s="48">
        <v>910</v>
      </c>
    </row>
    <row r="37" spans="1:6" ht="15.75" thickBot="1" x14ac:dyDescent="0.3">
      <c r="A37" s="49" t="s">
        <v>3834</v>
      </c>
      <c r="B37" s="49" t="s">
        <v>3834</v>
      </c>
      <c r="C37" s="49" t="s">
        <v>511</v>
      </c>
      <c r="D37" s="49" t="s">
        <v>8613</v>
      </c>
      <c r="E37" s="49" t="s">
        <v>8610</v>
      </c>
      <c r="F37" s="48">
        <v>90</v>
      </c>
    </row>
    <row r="38" spans="1:6" ht="15.75" thickBot="1" x14ac:dyDescent="0.3">
      <c r="A38" s="49" t="s">
        <v>158</v>
      </c>
      <c r="B38" s="49" t="s">
        <v>158</v>
      </c>
      <c r="C38" s="49" t="s">
        <v>1032</v>
      </c>
      <c r="D38" s="49" t="s">
        <v>8600</v>
      </c>
      <c r="E38" s="49" t="s">
        <v>8601</v>
      </c>
      <c r="F38" s="48">
        <v>3</v>
      </c>
    </row>
    <row r="39" spans="1:6" ht="15.75" thickBot="1" x14ac:dyDescent="0.3">
      <c r="A39" s="49" t="s">
        <v>2396</v>
      </c>
      <c r="B39" s="49" t="s">
        <v>2396</v>
      </c>
      <c r="C39" s="49" t="s">
        <v>268</v>
      </c>
      <c r="D39" s="49" t="s">
        <v>8613</v>
      </c>
      <c r="E39" s="49" t="s">
        <v>8610</v>
      </c>
      <c r="F39" s="48">
        <v>264</v>
      </c>
    </row>
    <row r="40" spans="1:6" ht="15.75" thickBot="1" x14ac:dyDescent="0.3">
      <c r="A40" s="49" t="s">
        <v>2505</v>
      </c>
      <c r="B40" s="49" t="s">
        <v>2505</v>
      </c>
      <c r="C40" s="49" t="s">
        <v>332</v>
      </c>
      <c r="D40" s="49" t="s">
        <v>8613</v>
      </c>
      <c r="E40" s="49" t="s">
        <v>8610</v>
      </c>
      <c r="F40" s="48">
        <v>640</v>
      </c>
    </row>
    <row r="41" spans="1:6" ht="15.75" thickBot="1" x14ac:dyDescent="0.3">
      <c r="A41" s="49" t="s">
        <v>8625</v>
      </c>
      <c r="B41" s="49" t="s">
        <v>8625</v>
      </c>
      <c r="C41" s="49" t="s">
        <v>926</v>
      </c>
      <c r="D41" s="49" t="s">
        <v>8613</v>
      </c>
      <c r="E41" s="49" t="s">
        <v>8610</v>
      </c>
      <c r="F41" s="48">
        <v>1656</v>
      </c>
    </row>
    <row r="42" spans="1:6" ht="15.75" thickBot="1" x14ac:dyDescent="0.3">
      <c r="A42" s="49" t="s">
        <v>3359</v>
      </c>
      <c r="B42" s="49" t="s">
        <v>3359</v>
      </c>
      <c r="C42" s="49" t="s">
        <v>8626</v>
      </c>
      <c r="D42" s="49" t="s">
        <v>8627</v>
      </c>
      <c r="E42" s="49" t="s">
        <v>8628</v>
      </c>
      <c r="F42" s="48">
        <v>900</v>
      </c>
    </row>
    <row r="43" spans="1:6" ht="15.75" thickBot="1" x14ac:dyDescent="0.3">
      <c r="A43" s="49" t="s">
        <v>3660</v>
      </c>
      <c r="B43" s="49" t="s">
        <v>3660</v>
      </c>
      <c r="C43" s="49" t="s">
        <v>475</v>
      </c>
      <c r="D43" s="49" t="s">
        <v>8602</v>
      </c>
      <c r="E43" s="49" t="s">
        <v>8603</v>
      </c>
      <c r="F43" s="48">
        <v>48</v>
      </c>
    </row>
    <row r="44" spans="1:6" ht="15.75" thickBot="1" x14ac:dyDescent="0.3">
      <c r="A44" s="49" t="s">
        <v>3473</v>
      </c>
      <c r="B44" s="49" t="s">
        <v>3473</v>
      </c>
      <c r="C44" s="49" t="s">
        <v>8629</v>
      </c>
      <c r="D44" s="49" t="s">
        <v>8627</v>
      </c>
      <c r="E44" s="49" t="s">
        <v>8628</v>
      </c>
      <c r="F44" s="48">
        <v>900</v>
      </c>
    </row>
    <row r="45" spans="1:6" ht="15.75" thickBot="1" x14ac:dyDescent="0.3">
      <c r="A45" s="49" t="s">
        <v>2446</v>
      </c>
      <c r="B45" s="49" t="s">
        <v>2446</v>
      </c>
      <c r="C45" s="49" t="s">
        <v>1982</v>
      </c>
      <c r="D45" s="49" t="s">
        <v>8609</v>
      </c>
      <c r="E45" s="49" t="s">
        <v>8610</v>
      </c>
      <c r="F45" s="48">
        <v>240</v>
      </c>
    </row>
    <row r="46" spans="1:6" ht="15.75" thickBot="1" x14ac:dyDescent="0.3">
      <c r="A46" s="49" t="s">
        <v>3032</v>
      </c>
      <c r="B46" s="49" t="s">
        <v>3032</v>
      </c>
      <c r="C46" s="49" t="s">
        <v>1887</v>
      </c>
      <c r="D46" s="49" t="s">
        <v>8609</v>
      </c>
      <c r="E46" s="49" t="s">
        <v>8610</v>
      </c>
      <c r="F46" s="48">
        <v>240</v>
      </c>
    </row>
    <row r="47" spans="1:6" ht="15.75" thickBot="1" x14ac:dyDescent="0.3">
      <c r="A47" s="49" t="s">
        <v>8630</v>
      </c>
      <c r="B47" s="49" t="s">
        <v>8630</v>
      </c>
      <c r="C47" s="49" t="s">
        <v>954</v>
      </c>
      <c r="D47" s="49" t="s">
        <v>8609</v>
      </c>
      <c r="E47" s="49" t="s">
        <v>8610</v>
      </c>
      <c r="F47" s="48">
        <v>756</v>
      </c>
    </row>
    <row r="48" spans="1:6" ht="15.75" thickBot="1" x14ac:dyDescent="0.3">
      <c r="A48" s="49" t="s">
        <v>8631</v>
      </c>
      <c r="B48" s="49" t="s">
        <v>8631</v>
      </c>
      <c r="C48" s="49" t="s">
        <v>424</v>
      </c>
      <c r="D48" s="49" t="s">
        <v>8602</v>
      </c>
      <c r="E48" s="49" t="s">
        <v>8603</v>
      </c>
      <c r="F48" s="48">
        <v>36</v>
      </c>
    </row>
    <row r="49" spans="1:6" ht="15.75" thickBot="1" x14ac:dyDescent="0.3">
      <c r="A49" s="49" t="s">
        <v>5253</v>
      </c>
      <c r="B49" s="49" t="s">
        <v>5253</v>
      </c>
      <c r="C49" s="49" t="s">
        <v>8632</v>
      </c>
      <c r="D49" s="49" t="s">
        <v>8633</v>
      </c>
      <c r="E49" s="49" t="s">
        <v>8634</v>
      </c>
      <c r="F49" s="48">
        <v>60</v>
      </c>
    </row>
    <row r="50" spans="1:6" ht="15.75" thickBot="1" x14ac:dyDescent="0.3">
      <c r="A50" s="49" t="s">
        <v>2306</v>
      </c>
      <c r="B50" s="49" t="s">
        <v>2306</v>
      </c>
      <c r="C50" s="49" t="s">
        <v>412</v>
      </c>
      <c r="D50" s="49" t="s">
        <v>8602</v>
      </c>
      <c r="E50" s="49" t="s">
        <v>8603</v>
      </c>
      <c r="F50" s="48">
        <v>152</v>
      </c>
    </row>
    <row r="51" spans="1:6" ht="15.75" thickBot="1" x14ac:dyDescent="0.3">
      <c r="A51" s="49" t="s">
        <v>7587</v>
      </c>
      <c r="B51" s="49" t="s">
        <v>7587</v>
      </c>
      <c r="C51" s="49" t="s">
        <v>282</v>
      </c>
      <c r="D51" s="49" t="s">
        <v>8613</v>
      </c>
      <c r="E51" s="49" t="s">
        <v>8610</v>
      </c>
      <c r="F51" s="48">
        <v>264</v>
      </c>
    </row>
    <row r="52" spans="1:6" ht="15.75" thickBot="1" x14ac:dyDescent="0.3">
      <c r="A52" s="49" t="s">
        <v>8635</v>
      </c>
      <c r="B52" s="49" t="s">
        <v>8635</v>
      </c>
      <c r="C52" s="49" t="s">
        <v>1611</v>
      </c>
      <c r="D52" s="49" t="s">
        <v>8609</v>
      </c>
      <c r="E52" s="49" t="s">
        <v>8610</v>
      </c>
      <c r="F52" s="48">
        <v>2000</v>
      </c>
    </row>
    <row r="53" spans="1:6" ht="15.75" thickBot="1" x14ac:dyDescent="0.3">
      <c r="A53" s="49" t="s">
        <v>3011</v>
      </c>
      <c r="B53" s="49" t="s">
        <v>3011</v>
      </c>
      <c r="C53" s="49" t="s">
        <v>1190</v>
      </c>
      <c r="D53" s="49" t="s">
        <v>8622</v>
      </c>
      <c r="E53" s="49" t="s">
        <v>8599</v>
      </c>
      <c r="F53" s="48">
        <v>1200</v>
      </c>
    </row>
    <row r="54" spans="1:6" ht="15.75" thickBot="1" x14ac:dyDescent="0.3">
      <c r="A54" s="49" t="s">
        <v>2204</v>
      </c>
      <c r="B54" s="49" t="s">
        <v>2204</v>
      </c>
      <c r="C54" s="49" t="s">
        <v>1385</v>
      </c>
      <c r="D54" s="49" t="s">
        <v>8619</v>
      </c>
      <c r="E54" s="49" t="s">
        <v>8620</v>
      </c>
      <c r="F54" s="48">
        <v>3960</v>
      </c>
    </row>
    <row r="55" spans="1:6" ht="15.75" thickBot="1" x14ac:dyDescent="0.3">
      <c r="A55" s="49" t="s">
        <v>8636</v>
      </c>
      <c r="B55" s="49" t="s">
        <v>8636</v>
      </c>
      <c r="C55" s="49" t="s">
        <v>1890</v>
      </c>
      <c r="D55" s="49" t="s">
        <v>8609</v>
      </c>
      <c r="E55" s="49" t="s">
        <v>8610</v>
      </c>
      <c r="F55" s="48">
        <v>384</v>
      </c>
    </row>
    <row r="56" spans="1:6" ht="15.75" thickBot="1" x14ac:dyDescent="0.3">
      <c r="A56" s="49" t="s">
        <v>8637</v>
      </c>
      <c r="B56" s="49" t="s">
        <v>8637</v>
      </c>
      <c r="C56" s="49" t="s">
        <v>1815</v>
      </c>
      <c r="D56" s="49" t="s">
        <v>8609</v>
      </c>
      <c r="E56" s="49" t="s">
        <v>8610</v>
      </c>
      <c r="F56" s="48">
        <v>800</v>
      </c>
    </row>
    <row r="57" spans="1:6" ht="15.75" thickBot="1" x14ac:dyDescent="0.3">
      <c r="A57" s="49" t="s">
        <v>8638</v>
      </c>
      <c r="B57" s="49" t="s">
        <v>8638</v>
      </c>
      <c r="C57" s="49" t="s">
        <v>940</v>
      </c>
      <c r="D57" s="49" t="s">
        <v>8639</v>
      </c>
      <c r="E57" s="49" t="s">
        <v>8610</v>
      </c>
      <c r="F57" s="48">
        <v>320</v>
      </c>
    </row>
    <row r="58" spans="1:6" ht="15.75" thickBot="1" x14ac:dyDescent="0.3">
      <c r="A58" s="49" t="s">
        <v>8640</v>
      </c>
      <c r="B58" s="49" t="s">
        <v>8640</v>
      </c>
      <c r="C58" s="49" t="s">
        <v>1343</v>
      </c>
      <c r="D58" s="49" t="s">
        <v>8641</v>
      </c>
      <c r="E58" s="49" t="s">
        <v>8642</v>
      </c>
      <c r="F58" s="48">
        <v>3500</v>
      </c>
    </row>
    <row r="59" spans="1:6" ht="15.75" thickBot="1" x14ac:dyDescent="0.3">
      <c r="A59" s="49" t="s">
        <v>2449</v>
      </c>
      <c r="B59" s="49" t="s">
        <v>2449</v>
      </c>
      <c r="C59" s="49" t="s">
        <v>525</v>
      </c>
      <c r="D59" s="49" t="s">
        <v>8613</v>
      </c>
      <c r="E59" s="49" t="s">
        <v>8610</v>
      </c>
      <c r="F59" s="48">
        <v>196</v>
      </c>
    </row>
    <row r="60" spans="1:6" ht="15.75" thickBot="1" x14ac:dyDescent="0.3">
      <c r="A60" s="49" t="s">
        <v>8643</v>
      </c>
      <c r="B60" s="49" t="s">
        <v>8643</v>
      </c>
      <c r="C60" s="49" t="s">
        <v>378</v>
      </c>
      <c r="D60" s="49" t="s">
        <v>8613</v>
      </c>
      <c r="E60" s="49" t="s">
        <v>8610</v>
      </c>
      <c r="F60" s="48">
        <v>192</v>
      </c>
    </row>
    <row r="61" spans="1:6" ht="15.75" thickBot="1" x14ac:dyDescent="0.3">
      <c r="A61" s="49" t="s">
        <v>8644</v>
      </c>
      <c r="B61" s="49" t="s">
        <v>8644</v>
      </c>
      <c r="C61" s="49" t="s">
        <v>373</v>
      </c>
      <c r="D61" s="49" t="s">
        <v>8613</v>
      </c>
      <c r="E61" s="49" t="s">
        <v>8610</v>
      </c>
      <c r="F61" s="48">
        <v>120</v>
      </c>
    </row>
    <row r="62" spans="1:6" ht="15.75" thickBot="1" x14ac:dyDescent="0.3">
      <c r="A62" s="49" t="s">
        <v>5359</v>
      </c>
      <c r="B62" s="49" t="s">
        <v>5359</v>
      </c>
      <c r="C62" s="49" t="s">
        <v>1629</v>
      </c>
      <c r="D62" s="49" t="s">
        <v>8627</v>
      </c>
      <c r="E62" s="49" t="s">
        <v>8628</v>
      </c>
      <c r="F62" s="48">
        <v>700</v>
      </c>
    </row>
    <row r="63" spans="1:6" ht="15.75" thickBot="1" x14ac:dyDescent="0.3">
      <c r="A63" s="49" t="s">
        <v>116</v>
      </c>
      <c r="B63" s="49" t="s">
        <v>116</v>
      </c>
      <c r="C63" s="49" t="s">
        <v>979</v>
      </c>
      <c r="D63" s="49" t="s">
        <v>8600</v>
      </c>
      <c r="E63" s="49" t="s">
        <v>8601</v>
      </c>
      <c r="F63" s="48">
        <v>17</v>
      </c>
    </row>
    <row r="64" spans="1:6" ht="15.75" thickBot="1" x14ac:dyDescent="0.3">
      <c r="A64" s="49" t="s">
        <v>173</v>
      </c>
      <c r="B64" s="49" t="s">
        <v>173</v>
      </c>
      <c r="C64" s="49" t="s">
        <v>1032</v>
      </c>
      <c r="D64" s="49" t="s">
        <v>8600</v>
      </c>
      <c r="E64" s="49" t="s">
        <v>8601</v>
      </c>
      <c r="F64" s="48">
        <v>17</v>
      </c>
    </row>
    <row r="65" spans="1:6" ht="15.75" thickBot="1" x14ac:dyDescent="0.3">
      <c r="A65" s="49" t="s">
        <v>8645</v>
      </c>
      <c r="B65" s="49" t="s">
        <v>8645</v>
      </c>
      <c r="C65" s="49" t="s">
        <v>381</v>
      </c>
      <c r="D65" s="49" t="s">
        <v>8613</v>
      </c>
      <c r="E65" s="49" t="s">
        <v>8610</v>
      </c>
      <c r="F65" s="48">
        <v>252</v>
      </c>
    </row>
    <row r="66" spans="1:6" ht="15.75" thickBot="1" x14ac:dyDescent="0.3">
      <c r="A66" s="49" t="s">
        <v>160</v>
      </c>
      <c r="B66" s="49" t="s">
        <v>160</v>
      </c>
      <c r="C66" s="49" t="s">
        <v>1032</v>
      </c>
      <c r="D66" s="49" t="s">
        <v>8600</v>
      </c>
      <c r="E66" s="49" t="s">
        <v>8601</v>
      </c>
      <c r="F66" s="48">
        <v>2</v>
      </c>
    </row>
    <row r="67" spans="1:6" ht="15.75" thickBot="1" x14ac:dyDescent="0.3">
      <c r="A67" s="49" t="s">
        <v>8646</v>
      </c>
      <c r="B67" s="49" t="s">
        <v>8646</v>
      </c>
      <c r="C67" s="49" t="s">
        <v>1804</v>
      </c>
      <c r="D67" s="49" t="s">
        <v>8605</v>
      </c>
      <c r="E67" s="49" t="s">
        <v>8606</v>
      </c>
      <c r="F67" s="48">
        <v>3456</v>
      </c>
    </row>
    <row r="68" spans="1:6" ht="15.75" thickBot="1" x14ac:dyDescent="0.3">
      <c r="A68" s="49" t="s">
        <v>208</v>
      </c>
      <c r="B68" s="49" t="s">
        <v>208</v>
      </c>
      <c r="C68" s="49" t="s">
        <v>994</v>
      </c>
      <c r="D68" s="49" t="s">
        <v>8600</v>
      </c>
      <c r="E68" s="49" t="s">
        <v>8601</v>
      </c>
      <c r="F68" s="48">
        <v>7</v>
      </c>
    </row>
    <row r="69" spans="1:6" ht="15.75" thickBot="1" x14ac:dyDescent="0.3">
      <c r="A69" s="49" t="s">
        <v>8647</v>
      </c>
      <c r="B69" s="49" t="s">
        <v>8647</v>
      </c>
      <c r="C69" s="49" t="s">
        <v>934</v>
      </c>
      <c r="D69" s="49" t="s">
        <v>8613</v>
      </c>
      <c r="E69" s="49" t="s">
        <v>8610</v>
      </c>
      <c r="F69" s="48">
        <v>1430</v>
      </c>
    </row>
    <row r="70" spans="1:6" ht="15.75" thickBot="1" x14ac:dyDescent="0.3">
      <c r="A70" s="49" t="s">
        <v>131</v>
      </c>
      <c r="B70" s="49" t="s">
        <v>131</v>
      </c>
      <c r="C70" s="49" t="s">
        <v>979</v>
      </c>
      <c r="D70" s="49" t="s">
        <v>8600</v>
      </c>
      <c r="E70" s="49" t="s">
        <v>8601</v>
      </c>
      <c r="F70" s="48">
        <v>7</v>
      </c>
    </row>
    <row r="71" spans="1:6" ht="15.75" thickBot="1" x14ac:dyDescent="0.3">
      <c r="A71" s="49" t="s">
        <v>4473</v>
      </c>
      <c r="B71" s="49" t="s">
        <v>4473</v>
      </c>
      <c r="C71" s="49" t="s">
        <v>479</v>
      </c>
      <c r="D71" s="49" t="s">
        <v>8602</v>
      </c>
      <c r="E71" s="49" t="s">
        <v>8603</v>
      </c>
      <c r="F71" s="48">
        <v>12</v>
      </c>
    </row>
    <row r="72" spans="1:6" ht="15.75" thickBot="1" x14ac:dyDescent="0.3">
      <c r="A72" s="49" t="s">
        <v>2265</v>
      </c>
      <c r="B72" s="49" t="s">
        <v>2265</v>
      </c>
      <c r="C72" s="49" t="s">
        <v>1902</v>
      </c>
      <c r="D72" s="49" t="s">
        <v>8609</v>
      </c>
      <c r="E72" s="49" t="s">
        <v>8610</v>
      </c>
      <c r="F72" s="48">
        <v>1024</v>
      </c>
    </row>
    <row r="73" spans="1:6" ht="15.75" thickBot="1" x14ac:dyDescent="0.3">
      <c r="A73" s="43" t="s">
        <v>2863</v>
      </c>
      <c r="B73" s="43" t="s">
        <v>2863</v>
      </c>
      <c r="C73" s="43" t="s">
        <v>1254</v>
      </c>
      <c r="D73" s="49" t="s">
        <v>8594</v>
      </c>
      <c r="E73" s="49" t="s">
        <v>8595</v>
      </c>
      <c r="F73" s="48">
        <v>270</v>
      </c>
    </row>
    <row r="74" spans="1:6" ht="15.75" thickBot="1" x14ac:dyDescent="0.3">
      <c r="A74" s="50"/>
      <c r="B74" s="50"/>
      <c r="C74" s="50"/>
      <c r="D74" s="49" t="s">
        <v>8596</v>
      </c>
      <c r="E74" s="49" t="s">
        <v>8597</v>
      </c>
      <c r="F74" s="48">
        <v>270</v>
      </c>
    </row>
    <row r="75" spans="1:6" ht="15.75" thickBot="1" x14ac:dyDescent="0.3">
      <c r="A75" s="49" t="s">
        <v>2386</v>
      </c>
      <c r="B75" s="49" t="s">
        <v>2386</v>
      </c>
      <c r="C75" s="49" t="s">
        <v>285</v>
      </c>
      <c r="D75" s="49" t="s">
        <v>8613</v>
      </c>
      <c r="E75" s="49" t="s">
        <v>8610</v>
      </c>
      <c r="F75" s="48">
        <v>240</v>
      </c>
    </row>
    <row r="76" spans="1:6" ht="15.75" thickBot="1" x14ac:dyDescent="0.3">
      <c r="A76" s="43" t="s">
        <v>3148</v>
      </c>
      <c r="B76" s="43" t="s">
        <v>3148</v>
      </c>
      <c r="C76" s="43" t="s">
        <v>1250</v>
      </c>
      <c r="D76" s="49" t="s">
        <v>8596</v>
      </c>
      <c r="E76" s="49" t="s">
        <v>8597</v>
      </c>
      <c r="F76" s="48">
        <v>270</v>
      </c>
    </row>
    <row r="77" spans="1:6" ht="15.75" thickBot="1" x14ac:dyDescent="0.3">
      <c r="A77" s="50"/>
      <c r="B77" s="50"/>
      <c r="C77" s="50"/>
      <c r="D77" s="49" t="s">
        <v>8594</v>
      </c>
      <c r="E77" s="49" t="s">
        <v>8595</v>
      </c>
      <c r="F77" s="48">
        <v>180</v>
      </c>
    </row>
    <row r="78" spans="1:6" ht="15.75" thickBot="1" x14ac:dyDescent="0.3">
      <c r="A78" s="49" t="s">
        <v>2764</v>
      </c>
      <c r="B78" s="49" t="s">
        <v>2764</v>
      </c>
      <c r="C78" s="49" t="s">
        <v>1085</v>
      </c>
      <c r="D78" s="49" t="s">
        <v>8598</v>
      </c>
      <c r="E78" s="49" t="s">
        <v>8599</v>
      </c>
      <c r="F78" s="48">
        <v>3000</v>
      </c>
    </row>
    <row r="79" spans="1:6" ht="15.75" thickBot="1" x14ac:dyDescent="0.3">
      <c r="A79" s="49" t="s">
        <v>8648</v>
      </c>
      <c r="B79" s="49" t="s">
        <v>8648</v>
      </c>
      <c r="C79" s="49" t="s">
        <v>1241</v>
      </c>
      <c r="D79" s="49" t="s">
        <v>8605</v>
      </c>
      <c r="E79" s="49" t="s">
        <v>8606</v>
      </c>
      <c r="F79" s="48">
        <v>860</v>
      </c>
    </row>
    <row r="80" spans="1:6" ht="15.75" thickBot="1" x14ac:dyDescent="0.3">
      <c r="A80" s="49" t="s">
        <v>2256</v>
      </c>
      <c r="B80" s="49" t="s">
        <v>2256</v>
      </c>
      <c r="C80" s="49" t="s">
        <v>1951</v>
      </c>
      <c r="D80" s="49" t="s">
        <v>8609</v>
      </c>
      <c r="E80" s="49" t="s">
        <v>8610</v>
      </c>
      <c r="F80" s="48">
        <v>242</v>
      </c>
    </row>
    <row r="81" spans="1:6" ht="15.75" thickBot="1" x14ac:dyDescent="0.3">
      <c r="A81" s="49" t="s">
        <v>2969</v>
      </c>
      <c r="B81" s="49" t="s">
        <v>2969</v>
      </c>
      <c r="C81" s="49" t="s">
        <v>293</v>
      </c>
      <c r="D81" s="49" t="s">
        <v>8613</v>
      </c>
      <c r="E81" s="49" t="s">
        <v>8610</v>
      </c>
      <c r="F81" s="48">
        <v>500</v>
      </c>
    </row>
    <row r="82" spans="1:6" ht="15.75" thickBot="1" x14ac:dyDescent="0.3">
      <c r="A82" s="49" t="s">
        <v>3018</v>
      </c>
      <c r="B82" s="49" t="s">
        <v>3018</v>
      </c>
      <c r="C82" s="49" t="s">
        <v>1808</v>
      </c>
      <c r="D82" s="49" t="s">
        <v>8605</v>
      </c>
      <c r="E82" s="49" t="s">
        <v>8606</v>
      </c>
      <c r="F82" s="48">
        <v>3600</v>
      </c>
    </row>
    <row r="83" spans="1:6" ht="15.75" thickBot="1" x14ac:dyDescent="0.3">
      <c r="A83" s="49" t="s">
        <v>2860</v>
      </c>
      <c r="B83" s="49" t="s">
        <v>2860</v>
      </c>
      <c r="C83" s="49" t="s">
        <v>368</v>
      </c>
      <c r="D83" s="49" t="s">
        <v>8613</v>
      </c>
      <c r="E83" s="49" t="s">
        <v>8610</v>
      </c>
      <c r="F83" s="48">
        <v>36</v>
      </c>
    </row>
    <row r="84" spans="1:6" ht="15.75" thickBot="1" x14ac:dyDescent="0.3">
      <c r="A84" s="49" t="s">
        <v>3160</v>
      </c>
      <c r="B84" s="49" t="s">
        <v>3160</v>
      </c>
      <c r="C84" s="49" t="s">
        <v>8649</v>
      </c>
      <c r="D84" s="49" t="s">
        <v>8602</v>
      </c>
      <c r="E84" s="49" t="s">
        <v>8603</v>
      </c>
      <c r="F84" s="48">
        <v>48</v>
      </c>
    </row>
    <row r="85" spans="1:6" ht="15.75" thickBot="1" x14ac:dyDescent="0.3">
      <c r="A85" s="49" t="s">
        <v>2502</v>
      </c>
      <c r="B85" s="49" t="s">
        <v>2502</v>
      </c>
      <c r="C85" s="49" t="s">
        <v>334</v>
      </c>
      <c r="D85" s="49" t="s">
        <v>8613</v>
      </c>
      <c r="E85" s="49" t="s">
        <v>8610</v>
      </c>
      <c r="F85" s="48">
        <v>480</v>
      </c>
    </row>
    <row r="86" spans="1:6" ht="15.75" thickBot="1" x14ac:dyDescent="0.3">
      <c r="A86" s="49" t="s">
        <v>7584</v>
      </c>
      <c r="B86" s="49" t="s">
        <v>7584</v>
      </c>
      <c r="C86" s="49" t="s">
        <v>282</v>
      </c>
      <c r="D86" s="49" t="s">
        <v>8613</v>
      </c>
      <c r="E86" s="49" t="s">
        <v>8610</v>
      </c>
      <c r="F86" s="48">
        <v>264</v>
      </c>
    </row>
    <row r="87" spans="1:6" ht="15.75" thickBot="1" x14ac:dyDescent="0.3">
      <c r="A87" s="49" t="s">
        <v>3414</v>
      </c>
      <c r="B87" s="49" t="s">
        <v>3414</v>
      </c>
      <c r="C87" s="49" t="s">
        <v>484</v>
      </c>
      <c r="D87" s="49" t="s">
        <v>8602</v>
      </c>
      <c r="E87" s="49" t="s">
        <v>8603</v>
      </c>
      <c r="F87" s="48">
        <v>66</v>
      </c>
    </row>
    <row r="88" spans="1:6" ht="15.75" thickBot="1" x14ac:dyDescent="0.3">
      <c r="A88" s="49" t="s">
        <v>2678</v>
      </c>
      <c r="B88" s="49" t="s">
        <v>2678</v>
      </c>
      <c r="C88" s="49" t="s">
        <v>511</v>
      </c>
      <c r="D88" s="49" t="s">
        <v>8613</v>
      </c>
      <c r="E88" s="49" t="s">
        <v>8610</v>
      </c>
      <c r="F88" s="48">
        <v>192</v>
      </c>
    </row>
    <row r="89" spans="1:6" ht="15.75" thickBot="1" x14ac:dyDescent="0.3">
      <c r="A89" s="49" t="s">
        <v>8650</v>
      </c>
      <c r="B89" s="49" t="s">
        <v>8650</v>
      </c>
      <c r="C89" s="49" t="s">
        <v>427</v>
      </c>
      <c r="D89" s="49" t="s">
        <v>8602</v>
      </c>
      <c r="E89" s="49" t="s">
        <v>8603</v>
      </c>
      <c r="F89" s="48">
        <v>24</v>
      </c>
    </row>
    <row r="90" spans="1:6" ht="15.75" thickBot="1" x14ac:dyDescent="0.3">
      <c r="A90" s="49" t="s">
        <v>530</v>
      </c>
      <c r="B90" s="49" t="s">
        <v>530</v>
      </c>
      <c r="C90" s="49" t="s">
        <v>531</v>
      </c>
      <c r="D90" s="49" t="s">
        <v>8613</v>
      </c>
      <c r="E90" s="49" t="s">
        <v>8610</v>
      </c>
      <c r="F90" s="48">
        <v>360</v>
      </c>
    </row>
    <row r="91" spans="1:6" ht="15.75" thickBot="1" x14ac:dyDescent="0.3">
      <c r="A91" s="49" t="s">
        <v>55</v>
      </c>
      <c r="B91" s="49" t="s">
        <v>55</v>
      </c>
      <c r="C91" s="49" t="s">
        <v>1017</v>
      </c>
      <c r="D91" s="49" t="s">
        <v>8600</v>
      </c>
      <c r="E91" s="49" t="s">
        <v>8601</v>
      </c>
      <c r="F91" s="48">
        <v>17</v>
      </c>
    </row>
    <row r="92" spans="1:6" ht="15.75" thickBot="1" x14ac:dyDescent="0.3">
      <c r="A92" s="49" t="s">
        <v>2934</v>
      </c>
      <c r="B92" s="49" t="s">
        <v>2934</v>
      </c>
      <c r="C92" s="49" t="s">
        <v>271</v>
      </c>
      <c r="D92" s="49" t="s">
        <v>8613</v>
      </c>
      <c r="E92" s="49" t="s">
        <v>8610</v>
      </c>
      <c r="F92" s="48">
        <v>66</v>
      </c>
    </row>
    <row r="93" spans="1:6" ht="15.75" thickBot="1" x14ac:dyDescent="0.3">
      <c r="A93" s="49" t="s">
        <v>3767</v>
      </c>
      <c r="B93" s="49" t="s">
        <v>3767</v>
      </c>
      <c r="C93" s="49" t="s">
        <v>8651</v>
      </c>
      <c r="D93" s="49" t="s">
        <v>8602</v>
      </c>
      <c r="E93" s="49" t="s">
        <v>8603</v>
      </c>
      <c r="F93" s="48">
        <v>35</v>
      </c>
    </row>
    <row r="94" spans="1:6" ht="15.75" thickBot="1" x14ac:dyDescent="0.3">
      <c r="A94" s="49" t="s">
        <v>2391</v>
      </c>
      <c r="B94" s="49" t="s">
        <v>2391</v>
      </c>
      <c r="C94" s="49" t="s">
        <v>754</v>
      </c>
      <c r="D94" s="49" t="s">
        <v>8613</v>
      </c>
      <c r="E94" s="49" t="s">
        <v>8610</v>
      </c>
      <c r="F94" s="48">
        <v>1080</v>
      </c>
    </row>
    <row r="95" spans="1:6" ht="15.75" thickBot="1" x14ac:dyDescent="0.3">
      <c r="A95" s="49" t="s">
        <v>8652</v>
      </c>
      <c r="B95" s="49" t="s">
        <v>8652</v>
      </c>
      <c r="C95" s="49" t="s">
        <v>1955</v>
      </c>
      <c r="D95" s="49" t="s">
        <v>8609</v>
      </c>
      <c r="E95" s="49" t="s">
        <v>8610</v>
      </c>
      <c r="F95" s="48">
        <v>840</v>
      </c>
    </row>
    <row r="96" spans="1:6" ht="15.75" thickBot="1" x14ac:dyDescent="0.3">
      <c r="A96" s="49" t="s">
        <v>2405</v>
      </c>
      <c r="B96" s="49" t="s">
        <v>2405</v>
      </c>
      <c r="C96" s="49" t="s">
        <v>1946</v>
      </c>
      <c r="D96" s="49" t="s">
        <v>8609</v>
      </c>
      <c r="E96" s="49" t="s">
        <v>8610</v>
      </c>
      <c r="F96" s="48">
        <v>220</v>
      </c>
    </row>
    <row r="97" spans="1:6" ht="15.75" thickBot="1" x14ac:dyDescent="0.3">
      <c r="A97" s="49" t="s">
        <v>3760</v>
      </c>
      <c r="B97" s="49" t="s">
        <v>3760</v>
      </c>
      <c r="C97" s="49" t="s">
        <v>477</v>
      </c>
      <c r="D97" s="49" t="s">
        <v>8602</v>
      </c>
      <c r="E97" s="49" t="s">
        <v>8603</v>
      </c>
      <c r="F97" s="48">
        <v>48</v>
      </c>
    </row>
    <row r="98" spans="1:6" ht="15.75" thickBot="1" x14ac:dyDescent="0.3">
      <c r="A98" s="49" t="s">
        <v>8653</v>
      </c>
      <c r="B98" s="49" t="s">
        <v>8653</v>
      </c>
      <c r="C98" s="49" t="s">
        <v>1112</v>
      </c>
      <c r="D98" s="49" t="s">
        <v>8609</v>
      </c>
      <c r="E98" s="49" t="s">
        <v>8610</v>
      </c>
      <c r="F98" s="48">
        <v>616</v>
      </c>
    </row>
    <row r="99" spans="1:6" ht="15.75" thickBot="1" x14ac:dyDescent="0.3">
      <c r="A99" s="49" t="s">
        <v>40</v>
      </c>
      <c r="B99" s="49" t="s">
        <v>40</v>
      </c>
      <c r="C99" s="49" t="s">
        <v>1017</v>
      </c>
      <c r="D99" s="49" t="s">
        <v>8600</v>
      </c>
      <c r="E99" s="49" t="s">
        <v>8601</v>
      </c>
      <c r="F99" s="48">
        <v>2</v>
      </c>
    </row>
    <row r="100" spans="1:6" ht="15.75" thickBot="1" x14ac:dyDescent="0.3">
      <c r="A100" s="49" t="s">
        <v>115</v>
      </c>
      <c r="B100" s="49" t="s">
        <v>115</v>
      </c>
      <c r="C100" s="49" t="s">
        <v>979</v>
      </c>
      <c r="D100" s="49" t="s">
        <v>8600</v>
      </c>
      <c r="E100" s="49" t="s">
        <v>8601</v>
      </c>
      <c r="F100" s="48">
        <v>5</v>
      </c>
    </row>
    <row r="101" spans="1:6" ht="15.75" thickBot="1" x14ac:dyDescent="0.3">
      <c r="A101" s="49" t="s">
        <v>2451</v>
      </c>
      <c r="B101" s="49" t="s">
        <v>2451</v>
      </c>
      <c r="C101" s="49" t="s">
        <v>1286</v>
      </c>
      <c r="D101" s="49" t="s">
        <v>8609</v>
      </c>
      <c r="E101" s="49" t="s">
        <v>8610</v>
      </c>
      <c r="F101" s="48">
        <v>420</v>
      </c>
    </row>
    <row r="102" spans="1:6" ht="15.75" thickBot="1" x14ac:dyDescent="0.3">
      <c r="A102" s="49" t="s">
        <v>49</v>
      </c>
      <c r="B102" s="49" t="s">
        <v>49</v>
      </c>
      <c r="C102" s="49" t="s">
        <v>1017</v>
      </c>
      <c r="D102" s="49" t="s">
        <v>8600</v>
      </c>
      <c r="E102" s="49" t="s">
        <v>8601</v>
      </c>
      <c r="F102" s="48">
        <v>16</v>
      </c>
    </row>
    <row r="103" spans="1:6" ht="15.75" thickBot="1" x14ac:dyDescent="0.3">
      <c r="A103" s="49" t="s">
        <v>3271</v>
      </c>
      <c r="B103" s="49" t="s">
        <v>3271</v>
      </c>
      <c r="C103" s="49" t="s">
        <v>271</v>
      </c>
      <c r="D103" s="49" t="s">
        <v>8613</v>
      </c>
      <c r="E103" s="49" t="s">
        <v>8610</v>
      </c>
      <c r="F103" s="48">
        <v>66</v>
      </c>
    </row>
    <row r="104" spans="1:6" ht="15.75" thickBot="1" x14ac:dyDescent="0.3">
      <c r="A104" s="49" t="s">
        <v>2412</v>
      </c>
      <c r="B104" s="49" t="s">
        <v>2412</v>
      </c>
      <c r="C104" s="49" t="s">
        <v>278</v>
      </c>
      <c r="D104" s="49" t="s">
        <v>8613</v>
      </c>
      <c r="E104" s="49" t="s">
        <v>8610</v>
      </c>
      <c r="F104" s="48">
        <v>216</v>
      </c>
    </row>
    <row r="105" spans="1:6" ht="15.75" thickBot="1" x14ac:dyDescent="0.3">
      <c r="A105" s="49" t="s">
        <v>4583</v>
      </c>
      <c r="B105" s="49" t="s">
        <v>4583</v>
      </c>
      <c r="C105" s="49" t="s">
        <v>433</v>
      </c>
      <c r="D105" s="49" t="s">
        <v>8602</v>
      </c>
      <c r="E105" s="49" t="s">
        <v>8603</v>
      </c>
      <c r="F105" s="48">
        <v>36</v>
      </c>
    </row>
    <row r="106" spans="1:6" ht="15.75" thickBot="1" x14ac:dyDescent="0.3">
      <c r="A106" s="49" t="s">
        <v>8654</v>
      </c>
      <c r="B106" s="49" t="s">
        <v>8654</v>
      </c>
      <c r="C106" s="49" t="s">
        <v>928</v>
      </c>
      <c r="D106" s="49" t="s">
        <v>8613</v>
      </c>
      <c r="E106" s="49" t="s">
        <v>8610</v>
      </c>
      <c r="F106" s="48">
        <v>1656</v>
      </c>
    </row>
    <row r="107" spans="1:6" ht="15.75" thickBot="1" x14ac:dyDescent="0.3">
      <c r="A107" s="49" t="s">
        <v>528</v>
      </c>
      <c r="B107" s="49" t="s">
        <v>528</v>
      </c>
      <c r="C107" s="49" t="s">
        <v>529</v>
      </c>
      <c r="D107" s="49" t="s">
        <v>8613</v>
      </c>
      <c r="E107" s="49" t="s">
        <v>8610</v>
      </c>
      <c r="F107" s="48">
        <v>450</v>
      </c>
    </row>
    <row r="108" spans="1:6" ht="15.75" thickBot="1" x14ac:dyDescent="0.3">
      <c r="A108" s="49" t="s">
        <v>2432</v>
      </c>
      <c r="B108" s="49" t="s">
        <v>2432</v>
      </c>
      <c r="C108" s="49" t="s">
        <v>522</v>
      </c>
      <c r="D108" s="49" t="s">
        <v>8613</v>
      </c>
      <c r="E108" s="49" t="s">
        <v>8610</v>
      </c>
      <c r="F108" s="48">
        <v>300</v>
      </c>
    </row>
    <row r="109" spans="1:6" ht="15.75" thickBot="1" x14ac:dyDescent="0.3">
      <c r="A109" s="49" t="s">
        <v>137</v>
      </c>
      <c r="B109" s="49" t="s">
        <v>137</v>
      </c>
      <c r="C109" s="49" t="s">
        <v>1032</v>
      </c>
      <c r="D109" s="49" t="s">
        <v>8600</v>
      </c>
      <c r="E109" s="49" t="s">
        <v>8601</v>
      </c>
      <c r="F109" s="48">
        <v>16</v>
      </c>
    </row>
    <row r="110" spans="1:6" ht="15.75" thickBot="1" x14ac:dyDescent="0.3">
      <c r="A110" s="49" t="s">
        <v>3234</v>
      </c>
      <c r="B110" s="49" t="s">
        <v>3234</v>
      </c>
      <c r="C110" s="49" t="s">
        <v>1090</v>
      </c>
      <c r="D110" s="49" t="s">
        <v>8598</v>
      </c>
      <c r="E110" s="49" t="s">
        <v>8599</v>
      </c>
      <c r="F110" s="48">
        <v>3366</v>
      </c>
    </row>
    <row r="111" spans="1:6" ht="15.75" thickBot="1" x14ac:dyDescent="0.3">
      <c r="A111" s="49" t="s">
        <v>4003</v>
      </c>
      <c r="B111" s="49" t="s">
        <v>4003</v>
      </c>
      <c r="C111" s="49" t="s">
        <v>466</v>
      </c>
      <c r="D111" s="49" t="s">
        <v>8602</v>
      </c>
      <c r="E111" s="49" t="s">
        <v>8603</v>
      </c>
      <c r="F111" s="48">
        <v>40</v>
      </c>
    </row>
    <row r="112" spans="1:6" ht="15.75" thickBot="1" x14ac:dyDescent="0.3">
      <c r="A112" s="49" t="s">
        <v>8655</v>
      </c>
      <c r="B112" s="49" t="s">
        <v>8655</v>
      </c>
      <c r="C112" s="49" t="s">
        <v>1958</v>
      </c>
      <c r="D112" s="49" t="s">
        <v>8605</v>
      </c>
      <c r="E112" s="49" t="s">
        <v>8606</v>
      </c>
      <c r="F112" s="48">
        <v>160</v>
      </c>
    </row>
    <row r="113" spans="1:6" ht="15.75" thickBot="1" x14ac:dyDescent="0.3">
      <c r="A113" s="49" t="s">
        <v>4424</v>
      </c>
      <c r="B113" s="49" t="s">
        <v>4424</v>
      </c>
      <c r="C113" s="49" t="s">
        <v>418</v>
      </c>
      <c r="D113" s="49" t="s">
        <v>8602</v>
      </c>
      <c r="E113" s="49" t="s">
        <v>8603</v>
      </c>
      <c r="F113" s="48">
        <v>48</v>
      </c>
    </row>
    <row r="114" spans="1:6" ht="15.75" thickBot="1" x14ac:dyDescent="0.3">
      <c r="A114" s="49" t="s">
        <v>5037</v>
      </c>
      <c r="B114" s="49" t="s">
        <v>5037</v>
      </c>
      <c r="C114" s="49" t="s">
        <v>1380</v>
      </c>
      <c r="D114" s="49" t="s">
        <v>8627</v>
      </c>
      <c r="E114" s="49" t="s">
        <v>8628</v>
      </c>
      <c r="F114" s="48">
        <v>720</v>
      </c>
    </row>
    <row r="115" spans="1:6" ht="15.75" thickBot="1" x14ac:dyDescent="0.3">
      <c r="A115" s="49" t="s">
        <v>2669</v>
      </c>
      <c r="B115" s="49" t="s">
        <v>2669</v>
      </c>
      <c r="C115" s="49" t="s">
        <v>349</v>
      </c>
      <c r="D115" s="49" t="s">
        <v>8613</v>
      </c>
      <c r="E115" s="49" t="s">
        <v>8610</v>
      </c>
      <c r="F115" s="48">
        <v>576</v>
      </c>
    </row>
    <row r="116" spans="1:6" ht="15.75" thickBot="1" x14ac:dyDescent="0.3">
      <c r="A116" s="49" t="s">
        <v>2410</v>
      </c>
      <c r="B116" s="49" t="s">
        <v>2410</v>
      </c>
      <c r="C116" s="49" t="s">
        <v>278</v>
      </c>
      <c r="D116" s="49" t="s">
        <v>8613</v>
      </c>
      <c r="E116" s="49" t="s">
        <v>8610</v>
      </c>
      <c r="F116" s="48">
        <v>216</v>
      </c>
    </row>
    <row r="117" spans="1:6" ht="15.75" thickBot="1" x14ac:dyDescent="0.3">
      <c r="A117" s="49" t="s">
        <v>2448</v>
      </c>
      <c r="B117" s="49" t="s">
        <v>2448</v>
      </c>
      <c r="C117" s="49" t="s">
        <v>1982</v>
      </c>
      <c r="D117" s="49" t="s">
        <v>8609</v>
      </c>
      <c r="E117" s="49" t="s">
        <v>8610</v>
      </c>
      <c r="F117" s="48">
        <v>220</v>
      </c>
    </row>
    <row r="118" spans="1:6" ht="15.75" thickBot="1" x14ac:dyDescent="0.3">
      <c r="A118" s="49" t="s">
        <v>8656</v>
      </c>
      <c r="B118" s="49" t="s">
        <v>8656</v>
      </c>
      <c r="C118" s="49" t="s">
        <v>1349</v>
      </c>
      <c r="D118" s="49" t="s">
        <v>8641</v>
      </c>
      <c r="E118" s="49" t="s">
        <v>8642</v>
      </c>
      <c r="F118" s="48">
        <v>1750</v>
      </c>
    </row>
    <row r="119" spans="1:6" ht="15.75" thickBot="1" x14ac:dyDescent="0.3">
      <c r="A119" s="49" t="s">
        <v>8657</v>
      </c>
      <c r="B119" s="49" t="s">
        <v>8657</v>
      </c>
      <c r="C119" s="49" t="s">
        <v>1795</v>
      </c>
      <c r="D119" s="49" t="s">
        <v>8605</v>
      </c>
      <c r="E119" s="49" t="s">
        <v>8606</v>
      </c>
      <c r="F119" s="48">
        <v>1080</v>
      </c>
    </row>
    <row r="120" spans="1:6" ht="15.75" thickBot="1" x14ac:dyDescent="0.3">
      <c r="A120" s="49" t="s">
        <v>2299</v>
      </c>
      <c r="B120" s="49" t="s">
        <v>2299</v>
      </c>
      <c r="C120" s="49" t="s">
        <v>439</v>
      </c>
      <c r="D120" s="49" t="s">
        <v>8602</v>
      </c>
      <c r="E120" s="49" t="s">
        <v>8603</v>
      </c>
      <c r="F120" s="48">
        <v>96</v>
      </c>
    </row>
    <row r="121" spans="1:6" ht="15.75" thickBot="1" x14ac:dyDescent="0.3">
      <c r="A121" s="49" t="s">
        <v>8658</v>
      </c>
      <c r="B121" s="49" t="s">
        <v>8658</v>
      </c>
      <c r="C121" s="49" t="s">
        <v>8659</v>
      </c>
      <c r="D121" s="49" t="s">
        <v>8613</v>
      </c>
      <c r="E121" s="49" t="s">
        <v>8610</v>
      </c>
      <c r="F121" s="48">
        <v>420</v>
      </c>
    </row>
    <row r="122" spans="1:6" ht="15.75" thickBot="1" x14ac:dyDescent="0.3">
      <c r="A122" s="49" t="s">
        <v>2680</v>
      </c>
      <c r="B122" s="49" t="s">
        <v>2680</v>
      </c>
      <c r="C122" s="49" t="s">
        <v>1315</v>
      </c>
      <c r="D122" s="49" t="s">
        <v>8605</v>
      </c>
      <c r="E122" s="49" t="s">
        <v>8606</v>
      </c>
      <c r="F122" s="48">
        <v>600</v>
      </c>
    </row>
    <row r="123" spans="1:6" ht="15.75" thickBot="1" x14ac:dyDescent="0.3">
      <c r="A123" s="49" t="s">
        <v>54</v>
      </c>
      <c r="B123" s="49" t="s">
        <v>54</v>
      </c>
      <c r="C123" s="49" t="s">
        <v>1017</v>
      </c>
      <c r="D123" s="49" t="s">
        <v>8600</v>
      </c>
      <c r="E123" s="49" t="s">
        <v>8601</v>
      </c>
      <c r="F123" s="48">
        <v>5</v>
      </c>
    </row>
    <row r="124" spans="1:6" ht="15.75" thickBot="1" x14ac:dyDescent="0.3">
      <c r="A124" s="49" t="s">
        <v>216</v>
      </c>
      <c r="B124" s="49" t="s">
        <v>216</v>
      </c>
      <c r="C124" s="49" t="s">
        <v>994</v>
      </c>
      <c r="D124" s="49" t="s">
        <v>8600</v>
      </c>
      <c r="E124" s="49" t="s">
        <v>8601</v>
      </c>
      <c r="F124" s="48">
        <v>17</v>
      </c>
    </row>
    <row r="125" spans="1:6" ht="15.75" thickBot="1" x14ac:dyDescent="0.3">
      <c r="A125" s="49" t="s">
        <v>8660</v>
      </c>
      <c r="B125" s="49" t="s">
        <v>8660</v>
      </c>
      <c r="C125" s="49" t="s">
        <v>1881</v>
      </c>
      <c r="D125" s="49" t="s">
        <v>8605</v>
      </c>
      <c r="E125" s="49" t="s">
        <v>8606</v>
      </c>
      <c r="F125" s="48">
        <v>240</v>
      </c>
    </row>
    <row r="126" spans="1:6" ht="15.75" thickBot="1" x14ac:dyDescent="0.3">
      <c r="A126" s="49" t="s">
        <v>8661</v>
      </c>
      <c r="B126" s="49" t="s">
        <v>8661</v>
      </c>
      <c r="C126" s="49" t="s">
        <v>790</v>
      </c>
      <c r="D126" s="49" t="s">
        <v>8613</v>
      </c>
      <c r="E126" s="49" t="s">
        <v>8610</v>
      </c>
      <c r="F126" s="48">
        <v>640</v>
      </c>
    </row>
    <row r="127" spans="1:6" ht="15.75" thickBot="1" x14ac:dyDescent="0.3">
      <c r="A127" s="49" t="s">
        <v>215</v>
      </c>
      <c r="B127" s="49" t="s">
        <v>215</v>
      </c>
      <c r="C127" s="49" t="s">
        <v>994</v>
      </c>
      <c r="D127" s="49" t="s">
        <v>8600</v>
      </c>
      <c r="E127" s="49" t="s">
        <v>8601</v>
      </c>
      <c r="F127" s="48">
        <v>5</v>
      </c>
    </row>
    <row r="128" spans="1:6" ht="15.75" thickBot="1" x14ac:dyDescent="0.3">
      <c r="A128" s="49" t="s">
        <v>3274</v>
      </c>
      <c r="B128" s="49" t="s">
        <v>3274</v>
      </c>
      <c r="C128" s="49" t="s">
        <v>534</v>
      </c>
      <c r="D128" s="49" t="s">
        <v>8613</v>
      </c>
      <c r="E128" s="49" t="s">
        <v>8610</v>
      </c>
      <c r="F128" s="48">
        <v>90</v>
      </c>
    </row>
    <row r="129" spans="1:6" ht="15.75" thickBot="1" x14ac:dyDescent="0.3">
      <c r="A129" s="49" t="s">
        <v>165</v>
      </c>
      <c r="B129" s="49" t="s">
        <v>165</v>
      </c>
      <c r="C129" s="49" t="s">
        <v>1032</v>
      </c>
      <c r="D129" s="49" t="s">
        <v>8600</v>
      </c>
      <c r="E129" s="49" t="s">
        <v>8601</v>
      </c>
      <c r="F129" s="48">
        <v>7</v>
      </c>
    </row>
    <row r="130" spans="1:6" ht="15.75" thickBot="1" x14ac:dyDescent="0.3">
      <c r="A130" s="49" t="s">
        <v>4257</v>
      </c>
      <c r="B130" s="49" t="s">
        <v>4257</v>
      </c>
      <c r="C130" s="49" t="s">
        <v>481</v>
      </c>
      <c r="D130" s="49" t="s">
        <v>8602</v>
      </c>
      <c r="E130" s="49" t="s">
        <v>8603</v>
      </c>
      <c r="F130" s="48">
        <v>12</v>
      </c>
    </row>
    <row r="131" spans="1:6" ht="15.75" thickBot="1" x14ac:dyDescent="0.3">
      <c r="A131" s="49" t="s">
        <v>4009</v>
      </c>
      <c r="B131" s="49" t="s">
        <v>4009</v>
      </c>
      <c r="C131" s="49" t="s">
        <v>407</v>
      </c>
      <c r="D131" s="49" t="s">
        <v>8602</v>
      </c>
      <c r="E131" s="49" t="s">
        <v>8603</v>
      </c>
      <c r="F131" s="48">
        <v>35</v>
      </c>
    </row>
    <row r="132" spans="1:6" ht="15.75" thickBot="1" x14ac:dyDescent="0.3">
      <c r="A132" s="49" t="s">
        <v>8662</v>
      </c>
      <c r="B132" s="49" t="s">
        <v>8662</v>
      </c>
      <c r="C132" s="49" t="s">
        <v>363</v>
      </c>
      <c r="D132" s="49" t="s">
        <v>8613</v>
      </c>
      <c r="E132" s="49" t="s">
        <v>8610</v>
      </c>
      <c r="F132" s="48">
        <v>744</v>
      </c>
    </row>
    <row r="133" spans="1:6" ht="15.75" thickBot="1" x14ac:dyDescent="0.3">
      <c r="A133" s="49" t="s">
        <v>8663</v>
      </c>
      <c r="B133" s="49" t="s">
        <v>8663</v>
      </c>
      <c r="C133" s="49" t="s">
        <v>1815</v>
      </c>
      <c r="D133" s="49" t="s">
        <v>8609</v>
      </c>
      <c r="E133" s="49" t="s">
        <v>8610</v>
      </c>
      <c r="F133" s="48">
        <v>800</v>
      </c>
    </row>
    <row r="134" spans="1:6" ht="15.75" thickBot="1" x14ac:dyDescent="0.3">
      <c r="A134" s="49" t="s">
        <v>7609</v>
      </c>
      <c r="B134" s="49" t="s">
        <v>7609</v>
      </c>
      <c r="C134" s="49" t="s">
        <v>1154</v>
      </c>
      <c r="D134" s="49" t="s">
        <v>8616</v>
      </c>
      <c r="E134" s="49" t="s">
        <v>8617</v>
      </c>
      <c r="F134" s="48">
        <v>9425</v>
      </c>
    </row>
    <row r="135" spans="1:6" ht="15.75" thickBot="1" x14ac:dyDescent="0.3">
      <c r="A135" s="49" t="s">
        <v>8664</v>
      </c>
      <c r="B135" s="49" t="s">
        <v>8664</v>
      </c>
      <c r="C135" s="49" t="s">
        <v>1859</v>
      </c>
      <c r="D135" s="49" t="s">
        <v>8605</v>
      </c>
      <c r="E135" s="49" t="s">
        <v>8606</v>
      </c>
      <c r="F135" s="48">
        <v>800</v>
      </c>
    </row>
    <row r="136" spans="1:6" ht="15.75" thickBot="1" x14ac:dyDescent="0.3">
      <c r="A136" s="49" t="s">
        <v>2267</v>
      </c>
      <c r="B136" s="49" t="s">
        <v>2267</v>
      </c>
      <c r="C136" s="49" t="s">
        <v>1902</v>
      </c>
      <c r="D136" s="49" t="s">
        <v>8609</v>
      </c>
      <c r="E136" s="49" t="s">
        <v>8610</v>
      </c>
      <c r="F136" s="48">
        <v>1088</v>
      </c>
    </row>
    <row r="137" spans="1:6" ht="15.75" thickBot="1" x14ac:dyDescent="0.3">
      <c r="A137" s="49" t="s">
        <v>159</v>
      </c>
      <c r="B137" s="49" t="s">
        <v>159</v>
      </c>
      <c r="C137" s="49" t="s">
        <v>1032</v>
      </c>
      <c r="D137" s="49" t="s">
        <v>8600</v>
      </c>
      <c r="E137" s="49" t="s">
        <v>8601</v>
      </c>
      <c r="F137" s="48">
        <v>2</v>
      </c>
    </row>
    <row r="138" spans="1:6" ht="15.75" thickBot="1" x14ac:dyDescent="0.3">
      <c r="A138" s="49" t="s">
        <v>3152</v>
      </c>
      <c r="B138" s="49" t="s">
        <v>3152</v>
      </c>
      <c r="C138" s="49" t="s">
        <v>1256</v>
      </c>
      <c r="D138" s="49" t="s">
        <v>8596</v>
      </c>
      <c r="E138" s="49" t="s">
        <v>8597</v>
      </c>
      <c r="F138" s="48">
        <v>270</v>
      </c>
    </row>
    <row r="139" spans="1:6" ht="15.75" thickBot="1" x14ac:dyDescent="0.3">
      <c r="A139" s="49" t="s">
        <v>2652</v>
      </c>
      <c r="B139" s="49" t="s">
        <v>2652</v>
      </c>
      <c r="C139" s="49" t="s">
        <v>1646</v>
      </c>
      <c r="D139" s="49" t="s">
        <v>8613</v>
      </c>
      <c r="E139" s="49" t="s">
        <v>8610</v>
      </c>
      <c r="F139" s="48">
        <v>48</v>
      </c>
    </row>
    <row r="140" spans="1:6" ht="15.75" thickBot="1" x14ac:dyDescent="0.3">
      <c r="A140" s="49" t="s">
        <v>8665</v>
      </c>
      <c r="B140" s="49" t="s">
        <v>8665</v>
      </c>
      <c r="C140" s="49" t="s">
        <v>1899</v>
      </c>
      <c r="D140" s="49" t="s">
        <v>8609</v>
      </c>
      <c r="E140" s="49" t="s">
        <v>8610</v>
      </c>
      <c r="F140" s="48">
        <v>312</v>
      </c>
    </row>
    <row r="141" spans="1:6" ht="15.75" thickBot="1" x14ac:dyDescent="0.3">
      <c r="A141" s="49" t="s">
        <v>202</v>
      </c>
      <c r="B141" s="49" t="s">
        <v>202</v>
      </c>
      <c r="C141" s="49" t="s">
        <v>994</v>
      </c>
      <c r="D141" s="49" t="s">
        <v>8600</v>
      </c>
      <c r="E141" s="49" t="s">
        <v>8601</v>
      </c>
      <c r="F141" s="48">
        <v>2</v>
      </c>
    </row>
    <row r="142" spans="1:6" ht="15.75" thickBot="1" x14ac:dyDescent="0.3">
      <c r="A142" s="49" t="s">
        <v>2815</v>
      </c>
      <c r="B142" s="49" t="s">
        <v>2815</v>
      </c>
      <c r="C142" s="49" t="s">
        <v>338</v>
      </c>
      <c r="D142" s="49" t="s">
        <v>8613</v>
      </c>
      <c r="E142" s="49" t="s">
        <v>8610</v>
      </c>
      <c r="F142" s="48">
        <v>264</v>
      </c>
    </row>
    <row r="143" spans="1:6" ht="15.75" thickBot="1" x14ac:dyDescent="0.3">
      <c r="A143" s="49" t="s">
        <v>2809</v>
      </c>
      <c r="B143" s="49" t="s">
        <v>2809</v>
      </c>
      <c r="C143" s="49" t="s">
        <v>260</v>
      </c>
      <c r="D143" s="49" t="s">
        <v>8613</v>
      </c>
      <c r="E143" s="49" t="s">
        <v>8610</v>
      </c>
      <c r="F143" s="48">
        <v>132</v>
      </c>
    </row>
    <row r="144" spans="1:6" ht="15.75" thickBot="1" x14ac:dyDescent="0.3">
      <c r="A144" s="49" t="s">
        <v>8666</v>
      </c>
      <c r="B144" s="49" t="s">
        <v>8666</v>
      </c>
      <c r="C144" s="49" t="s">
        <v>790</v>
      </c>
      <c r="D144" s="49" t="s">
        <v>8613</v>
      </c>
      <c r="E144" s="49" t="s">
        <v>8610</v>
      </c>
      <c r="F144" s="48">
        <v>640</v>
      </c>
    </row>
    <row r="145" spans="1:6" ht="15.75" thickBot="1" x14ac:dyDescent="0.3">
      <c r="A145" s="49" t="s">
        <v>2430</v>
      </c>
      <c r="B145" s="49" t="s">
        <v>2430</v>
      </c>
      <c r="C145" s="49" t="s">
        <v>280</v>
      </c>
      <c r="D145" s="49" t="s">
        <v>8613</v>
      </c>
      <c r="E145" s="49" t="s">
        <v>8610</v>
      </c>
      <c r="F145" s="48">
        <v>180</v>
      </c>
    </row>
    <row r="146" spans="1:6" ht="15.75" thickBot="1" x14ac:dyDescent="0.3">
      <c r="A146" s="49" t="s">
        <v>203</v>
      </c>
      <c r="B146" s="49" t="s">
        <v>203</v>
      </c>
      <c r="C146" s="49" t="s">
        <v>994</v>
      </c>
      <c r="D146" s="49" t="s">
        <v>8600</v>
      </c>
      <c r="E146" s="49" t="s">
        <v>8601</v>
      </c>
      <c r="F146" s="48">
        <v>2</v>
      </c>
    </row>
    <row r="147" spans="1:6" ht="15.75" thickBot="1" x14ac:dyDescent="0.3">
      <c r="A147" s="49" t="s">
        <v>172</v>
      </c>
      <c r="B147" s="49" t="s">
        <v>172</v>
      </c>
      <c r="C147" s="49" t="s">
        <v>1032</v>
      </c>
      <c r="D147" s="49" t="s">
        <v>8600</v>
      </c>
      <c r="E147" s="49" t="s">
        <v>8601</v>
      </c>
      <c r="F147" s="48">
        <v>5</v>
      </c>
    </row>
    <row r="148" spans="1:6" ht="15.75" thickBot="1" x14ac:dyDescent="0.3">
      <c r="A148" s="49" t="s">
        <v>100</v>
      </c>
      <c r="B148" s="49" t="s">
        <v>100</v>
      </c>
      <c r="C148" s="49" t="s">
        <v>979</v>
      </c>
      <c r="D148" s="49" t="s">
        <v>8600</v>
      </c>
      <c r="E148" s="49" t="s">
        <v>8601</v>
      </c>
      <c r="F148" s="48">
        <v>2</v>
      </c>
    </row>
    <row r="149" spans="1:6" ht="15.75" thickBot="1" x14ac:dyDescent="0.3">
      <c r="A149" s="49" t="s">
        <v>2936</v>
      </c>
      <c r="B149" s="49" t="s">
        <v>2936</v>
      </c>
      <c r="C149" s="49" t="s">
        <v>1315</v>
      </c>
      <c r="D149" s="49" t="s">
        <v>8605</v>
      </c>
      <c r="E149" s="49" t="s">
        <v>8606</v>
      </c>
      <c r="F149" s="48">
        <v>600</v>
      </c>
    </row>
    <row r="150" spans="1:6" ht="15.75" thickBot="1" x14ac:dyDescent="0.3">
      <c r="A150" s="49" t="s">
        <v>8667</v>
      </c>
      <c r="B150" s="49" t="s">
        <v>8667</v>
      </c>
      <c r="C150" s="49" t="s">
        <v>1345</v>
      </c>
      <c r="D150" s="49" t="s">
        <v>8641</v>
      </c>
      <c r="E150" s="49" t="s">
        <v>8642</v>
      </c>
      <c r="F150" s="48">
        <v>1750</v>
      </c>
    </row>
    <row r="151" spans="1:6" ht="15.75" thickBot="1" x14ac:dyDescent="0.3">
      <c r="A151" s="49" t="s">
        <v>8668</v>
      </c>
      <c r="B151" s="49" t="s">
        <v>8668</v>
      </c>
      <c r="C151" s="49" t="s">
        <v>1893</v>
      </c>
      <c r="D151" s="49" t="s">
        <v>8609</v>
      </c>
      <c r="E151" s="49" t="s">
        <v>8610</v>
      </c>
      <c r="F151" s="48">
        <v>384</v>
      </c>
    </row>
    <row r="152" spans="1:6" ht="15.75" thickBot="1" x14ac:dyDescent="0.3">
      <c r="A152" s="49" t="s">
        <v>99</v>
      </c>
      <c r="B152" s="49" t="s">
        <v>99</v>
      </c>
      <c r="C152" s="49" t="s">
        <v>979</v>
      </c>
      <c r="D152" s="49" t="s">
        <v>8600</v>
      </c>
      <c r="E152" s="49" t="s">
        <v>8601</v>
      </c>
      <c r="F152" s="48">
        <v>2</v>
      </c>
    </row>
    <row r="153" spans="1:6" ht="15.75" thickBot="1" x14ac:dyDescent="0.3">
      <c r="A153" s="49" t="s">
        <v>97</v>
      </c>
      <c r="B153" s="49" t="s">
        <v>97</v>
      </c>
      <c r="C153" s="49" t="s">
        <v>979</v>
      </c>
      <c r="D153" s="49" t="s">
        <v>8600</v>
      </c>
      <c r="E153" s="49" t="s">
        <v>8601</v>
      </c>
      <c r="F153" s="48">
        <v>3</v>
      </c>
    </row>
    <row r="154" spans="1:6" ht="15.75" thickBot="1" x14ac:dyDescent="0.3">
      <c r="A154" s="49" t="s">
        <v>2748</v>
      </c>
      <c r="B154" s="49" t="s">
        <v>2748</v>
      </c>
      <c r="C154" s="49" t="s">
        <v>1192</v>
      </c>
      <c r="D154" s="49" t="s">
        <v>8622</v>
      </c>
      <c r="E154" s="49" t="s">
        <v>8599</v>
      </c>
      <c r="F154" s="48">
        <v>1200</v>
      </c>
    </row>
    <row r="155" spans="1:6" ht="15.75" thickBot="1" x14ac:dyDescent="0.3">
      <c r="A155" s="49" t="s">
        <v>8669</v>
      </c>
      <c r="B155" s="49" t="s">
        <v>8669</v>
      </c>
      <c r="C155" s="49" t="s">
        <v>1861</v>
      </c>
      <c r="D155" s="49" t="s">
        <v>8605</v>
      </c>
      <c r="E155" s="49" t="s">
        <v>8606</v>
      </c>
      <c r="F155" s="48">
        <v>480</v>
      </c>
    </row>
    <row r="156" spans="1:6" ht="15.75" thickBot="1" x14ac:dyDescent="0.3">
      <c r="A156" s="49" t="s">
        <v>2689</v>
      </c>
      <c r="B156" s="49" t="s">
        <v>2689</v>
      </c>
      <c r="C156" s="49" t="s">
        <v>490</v>
      </c>
      <c r="D156" s="49" t="s">
        <v>8613</v>
      </c>
      <c r="E156" s="49" t="s">
        <v>8610</v>
      </c>
      <c r="F156" s="48">
        <v>264</v>
      </c>
    </row>
    <row r="157" spans="1:6" ht="15.75" thickBot="1" x14ac:dyDescent="0.3">
      <c r="A157" s="49" t="s">
        <v>8670</v>
      </c>
      <c r="B157" s="49" t="s">
        <v>8670</v>
      </c>
      <c r="C157" s="49" t="s">
        <v>1241</v>
      </c>
      <c r="D157" s="49" t="s">
        <v>8605</v>
      </c>
      <c r="E157" s="49" t="s">
        <v>8606</v>
      </c>
      <c r="F157" s="48">
        <v>860</v>
      </c>
    </row>
  </sheetData>
  <mergeCells count="10">
    <mergeCell ref="A76:A77"/>
    <mergeCell ref="B76:B77"/>
    <mergeCell ref="C76:C77"/>
    <mergeCell ref="A1:F1"/>
    <mergeCell ref="A3:A4"/>
    <mergeCell ref="B3:B4"/>
    <mergeCell ref="C3:C4"/>
    <mergeCell ref="A73:A74"/>
    <mergeCell ref="B73:B74"/>
    <mergeCell ref="C73:C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Sheet6</vt:lpstr>
      <vt:lpstr>Rack Guide</vt:lpstr>
      <vt:lpstr>Unique PNs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Hargrove</dc:creator>
  <cp:lastModifiedBy>Tyler Stefancin</cp:lastModifiedBy>
  <dcterms:created xsi:type="dcterms:W3CDTF">2026-03-31T17:18:04Z</dcterms:created>
  <dcterms:modified xsi:type="dcterms:W3CDTF">2026-04-02T14:44:55Z</dcterms:modified>
</cp:coreProperties>
</file>